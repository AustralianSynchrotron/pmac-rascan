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75" yWindow="489" windowWidth="19725" windowHeight="8898"/>
  </bookViews>
  <sheets>
    <sheet name="Interface" sheetId="1" r:id="rId1"/>
    <sheet name="Presets" sheetId="2" r:id="rId2"/>
    <sheet name="Definitions" sheetId="3" r:id="rId3"/>
    <sheet name="CS" sheetId="4" r:id="rId4"/>
    <sheet name="FalconX" sheetId="5" r:id="rId5"/>
  </sheets>
  <definedNames>
    <definedName name="_xlnm._FilterDatabase" localSheetId="4" hidden="1">FalconX!$A$2:$L$2</definedName>
    <definedName name="_xlnm._FilterDatabase" localSheetId="0" hidden="1">Interface!$A$3:$AI$126</definedName>
    <definedName name="_xlnm._FilterDatabase" localSheetId="1" hidden="1">Presets!$A$2:$B$7</definedName>
    <definedName name="y_ArchiverCode_c">Interface!$AD:$AD</definedName>
    <definedName name="y_archiverXML">Presets!$G$13</definedName>
    <definedName name="y_ArchiverXMLFile">Interface!$AD$2</definedName>
    <definedName name="y_EPICS_DB_c">Interface!$Y:$Y</definedName>
    <definedName name="y_EPICS_Formats">Presets!$A$2:$B$7</definedName>
    <definedName name="y_EPICS_Template">Interface!$X:$X</definedName>
    <definedName name="y_FindReplace_c">Interface!$A$1:$A$126</definedName>
    <definedName name="y_FindReplace_file">Interface!$A$2</definedName>
    <definedName name="y_FindReplace_template">Interface!$A:$A</definedName>
    <definedName name="y_InterfacePMC">Interface!$AC$2</definedName>
    <definedName name="y_InterfacePMCScript">Interface!$AC$4:$AC$119</definedName>
    <definedName name="y_LoadSavepcf_c">Interface!$AB:$AB</definedName>
    <definedName name="y_MaxPmacInt" localSheetId="0">Presets!$D$3</definedName>
    <definedName name="y_MaxPmacInt">Presets!$D$3</definedName>
    <definedName name="y_pmac_Code_c">Interface!$AC:$AC</definedName>
    <definedName name="y_pmacRascanGSVar">Presets!$G$9</definedName>
    <definedName name="y_pmacVariableRead">Presets!#REF!</definedName>
    <definedName name="y_pmacVariableWriteSync" localSheetId="0">Presets!#REF!</definedName>
    <definedName name="y_pmacVariableWriteSyncInt" localSheetId="0">Presets!#REF!</definedName>
    <definedName name="y_Prefix">Interface!$C$1</definedName>
    <definedName name="y_QELabel">Presets!$G$11</definedName>
    <definedName name="y_QELineEdit">Presets!$G$12</definedName>
    <definedName name="y_QLabel">Presets!$G$10</definedName>
    <definedName name="y_rascanExpandableFile">Interface!$Y$2</definedName>
    <definedName name="Z_2E790F67_B1CF_4589_8EE3_FDE1E951836B_.wvu.FilterData" localSheetId="0" hidden="1">Interface!$A$3:$AH$92</definedName>
    <definedName name="Z_2E790F67_B1CF_4589_8EE3_FDE1E951836B_.wvu.FilterData" localSheetId="1" hidden="1">Presets!$A$2:$B$7</definedName>
  </definedNames>
  <calcPr calcId="145621"/>
  <customWorkbookViews>
    <customWorkbookView name="afsharn - Personal View" guid="{2E790F67-B1CF-4589-8EE3-FDE1E951836B}" mergeInterval="0" personalView="1" maximized="1" windowWidth="1019" windowHeight="943" activeSheetId="1"/>
  </customWorkbookViews>
</workbook>
</file>

<file path=xl/calcChain.xml><?xml version="1.0" encoding="utf-8"?>
<calcChain xmlns="http://schemas.openxmlformats.org/spreadsheetml/2006/main">
  <c r="U89" i="1" l="1"/>
  <c r="U65" i="1" l="1"/>
  <c r="U70" i="1"/>
  <c r="U35" i="1"/>
  <c r="U64" i="1"/>
  <c r="U82" i="1"/>
  <c r="U88" i="1"/>
  <c r="U47" i="1"/>
  <c r="U40" i="1"/>
  <c r="U41" i="1"/>
  <c r="U44" i="1"/>
  <c r="U60" i="1"/>
  <c r="AG60" i="1" s="1"/>
  <c r="U81" i="1"/>
  <c r="AG81" i="1" s="1"/>
  <c r="U27" i="1"/>
  <c r="AC27" i="1" s="1"/>
  <c r="U84" i="1"/>
  <c r="AC84" i="1" s="1"/>
  <c r="U29" i="1"/>
  <c r="AC29" i="1" s="1"/>
  <c r="U85" i="1"/>
  <c r="AG85" i="1" s="1"/>
  <c r="U30" i="1"/>
  <c r="AC30" i="1" s="1"/>
  <c r="U53" i="1"/>
  <c r="AC53" i="1" s="1"/>
  <c r="U32" i="1"/>
  <c r="AG32" i="1" s="1"/>
  <c r="U125" i="1"/>
  <c r="U73" i="1"/>
  <c r="U61" i="1"/>
  <c r="U62" i="1"/>
  <c r="U56" i="1"/>
  <c r="U45" i="1"/>
  <c r="U37" i="1"/>
  <c r="U46" i="1"/>
  <c r="U31" i="1"/>
  <c r="U63" i="1"/>
  <c r="U28" i="1"/>
  <c r="AC28" i="1" s="1"/>
  <c r="U48" i="1"/>
  <c r="U92" i="1"/>
  <c r="U93" i="1"/>
  <c r="U94" i="1"/>
  <c r="U95" i="1"/>
  <c r="U74" i="1"/>
  <c r="U17" i="1"/>
  <c r="U10" i="1"/>
  <c r="U14" i="1"/>
  <c r="U23" i="1"/>
  <c r="U6" i="1"/>
  <c r="U19" i="1"/>
  <c r="U21" i="1"/>
  <c r="U25" i="1"/>
  <c r="U12" i="1"/>
  <c r="U8" i="1"/>
  <c r="U96" i="1"/>
  <c r="U97" i="1"/>
  <c r="U98" i="1"/>
  <c r="U99" i="1"/>
  <c r="U57" i="1"/>
  <c r="U43" i="1"/>
  <c r="U49" i="1"/>
  <c r="U68" i="1"/>
  <c r="U71" i="1"/>
  <c r="U100" i="1"/>
  <c r="U101" i="1"/>
  <c r="U102" i="1"/>
  <c r="U103" i="1"/>
  <c r="U104" i="1"/>
  <c r="U105" i="1"/>
  <c r="U106" i="1"/>
  <c r="U107" i="1"/>
  <c r="U108" i="1"/>
  <c r="U109" i="1"/>
  <c r="U110" i="1"/>
  <c r="U111" i="1"/>
  <c r="U91" i="1"/>
  <c r="U77" i="1"/>
  <c r="U90" i="1"/>
  <c r="U78" i="1"/>
  <c r="U66" i="1"/>
  <c r="U67" i="1"/>
  <c r="U75" i="1"/>
  <c r="U76" i="1"/>
  <c r="U112" i="1"/>
  <c r="U7" i="1"/>
  <c r="U13" i="1"/>
  <c r="U113" i="1"/>
  <c r="U114" i="1"/>
  <c r="U115" i="1"/>
  <c r="U116" i="1"/>
  <c r="U117" i="1"/>
  <c r="U15" i="1"/>
  <c r="U24" i="1"/>
  <c r="U26" i="1"/>
  <c r="U22" i="1"/>
  <c r="U20" i="1"/>
  <c r="U18" i="1"/>
  <c r="U11" i="1"/>
  <c r="U9" i="1"/>
  <c r="U118" i="1"/>
  <c r="U72" i="1"/>
  <c r="U52" i="1"/>
  <c r="U36" i="1"/>
  <c r="U16" i="1"/>
  <c r="U50" i="1"/>
  <c r="U58" i="1"/>
  <c r="U51" i="1"/>
  <c r="U34" i="1"/>
  <c r="U83" i="1"/>
  <c r="U86" i="1"/>
  <c r="U87" i="1"/>
  <c r="U39" i="1"/>
  <c r="U79" i="1"/>
  <c r="U69" i="1"/>
  <c r="U80" i="1"/>
  <c r="U38" i="1"/>
  <c r="U126" i="1"/>
  <c r="U55" i="1"/>
  <c r="U54" i="1"/>
  <c r="U59" i="1"/>
  <c r="U4" i="1"/>
  <c r="U5" i="1"/>
  <c r="U42" i="1"/>
  <c r="U119" i="1"/>
  <c r="U120" i="1"/>
  <c r="U121" i="1"/>
  <c r="U122" i="1"/>
  <c r="U123" i="1"/>
  <c r="U124" i="1"/>
  <c r="U33" i="1"/>
  <c r="R60" i="1"/>
  <c r="S60" i="1"/>
  <c r="AE60" i="1" s="1"/>
  <c r="T60" i="1"/>
  <c r="AF60" i="1" s="1"/>
  <c r="V60" i="1"/>
  <c r="W60" i="1"/>
  <c r="X60" i="1"/>
  <c r="AA60" i="1"/>
  <c r="AH60" i="1"/>
  <c r="AI60" i="1"/>
  <c r="R81" i="1"/>
  <c r="S81" i="1"/>
  <c r="AB81" i="1" s="1"/>
  <c r="T81" i="1"/>
  <c r="AF81" i="1" s="1"/>
  <c r="V81" i="1"/>
  <c r="AH81" i="1" s="1"/>
  <c r="W81" i="1"/>
  <c r="X81" i="1"/>
  <c r="Z81" i="1"/>
  <c r="AA81" i="1"/>
  <c r="AE81" i="1"/>
  <c r="AI81" i="1"/>
  <c r="R27" i="1"/>
  <c r="S27" i="1"/>
  <c r="AE27" i="1" s="1"/>
  <c r="T27" i="1"/>
  <c r="AF27" i="1" s="1"/>
  <c r="V27" i="1"/>
  <c r="AH27" i="1" s="1"/>
  <c r="W27" i="1"/>
  <c r="X27" i="1"/>
  <c r="Z27" i="1"/>
  <c r="AA27" i="1"/>
  <c r="AD27" i="1"/>
  <c r="AI27" i="1"/>
  <c r="R84" i="1"/>
  <c r="S84" i="1"/>
  <c r="AB84" i="1" s="1"/>
  <c r="T84" i="1"/>
  <c r="AF84" i="1" s="1"/>
  <c r="V84" i="1"/>
  <c r="AH84" i="1" s="1"/>
  <c r="W84" i="1"/>
  <c r="X84" i="1"/>
  <c r="Z84" i="1"/>
  <c r="AA84" i="1"/>
  <c r="AG84" i="1"/>
  <c r="AI84" i="1"/>
  <c r="R29" i="1"/>
  <c r="S29" i="1"/>
  <c r="AE29" i="1" s="1"/>
  <c r="T29" i="1"/>
  <c r="AF29" i="1" s="1"/>
  <c r="V29" i="1"/>
  <c r="AH29" i="1" s="1"/>
  <c r="W29" i="1"/>
  <c r="X29" i="1"/>
  <c r="Z29" i="1"/>
  <c r="AA29" i="1"/>
  <c r="AI29" i="1"/>
  <c r="R85" i="1"/>
  <c r="S85" i="1"/>
  <c r="AB85" i="1" s="1"/>
  <c r="T85" i="1"/>
  <c r="AF85" i="1" s="1"/>
  <c r="V85" i="1"/>
  <c r="AH85" i="1" s="1"/>
  <c r="W85" i="1"/>
  <c r="X85" i="1"/>
  <c r="Z85" i="1"/>
  <c r="AA85" i="1"/>
  <c r="AI85" i="1"/>
  <c r="R30" i="1"/>
  <c r="S30" i="1"/>
  <c r="T30" i="1"/>
  <c r="AF30" i="1" s="1"/>
  <c r="V30" i="1"/>
  <c r="AH30" i="1" s="1"/>
  <c r="W30" i="1"/>
  <c r="X30" i="1"/>
  <c r="Z30" i="1"/>
  <c r="AA30" i="1"/>
  <c r="AE30" i="1"/>
  <c r="AI30" i="1"/>
  <c r="R53" i="1"/>
  <c r="S53" i="1"/>
  <c r="AB53" i="1" s="1"/>
  <c r="T53" i="1"/>
  <c r="AF53" i="1" s="1"/>
  <c r="V53" i="1"/>
  <c r="AH53" i="1" s="1"/>
  <c r="W53" i="1"/>
  <c r="X53" i="1"/>
  <c r="AA53" i="1"/>
  <c r="AG53" i="1"/>
  <c r="AI53" i="1"/>
  <c r="R32" i="1"/>
  <c r="S32" i="1"/>
  <c r="AE32" i="1" s="1"/>
  <c r="T32" i="1"/>
  <c r="AF32" i="1" s="1"/>
  <c r="V32" i="1"/>
  <c r="AH32" i="1" s="1"/>
  <c r="W32" i="1"/>
  <c r="X32" i="1"/>
  <c r="AA32" i="1"/>
  <c r="AI32" i="1"/>
  <c r="R28" i="1"/>
  <c r="S28" i="1"/>
  <c r="AE28" i="1" s="1"/>
  <c r="T28" i="1"/>
  <c r="AF28" i="1" s="1"/>
  <c r="V28" i="1"/>
  <c r="AH28" i="1" s="1"/>
  <c r="W28" i="1"/>
  <c r="X28" i="1"/>
  <c r="Z28" i="1"/>
  <c r="AA28" i="1"/>
  <c r="AD28" i="1"/>
  <c r="AI28" i="1"/>
  <c r="T65" i="1"/>
  <c r="T70" i="1"/>
  <c r="T35" i="1"/>
  <c r="T64" i="1"/>
  <c r="T82" i="1"/>
  <c r="T88" i="1"/>
  <c r="T47" i="1"/>
  <c r="T40" i="1"/>
  <c r="T41" i="1"/>
  <c r="T89" i="1"/>
  <c r="T44" i="1"/>
  <c r="T125" i="1"/>
  <c r="T73" i="1"/>
  <c r="T61" i="1"/>
  <c r="T62" i="1"/>
  <c r="T56" i="1"/>
  <c r="T45" i="1"/>
  <c r="T37" i="1"/>
  <c r="T46" i="1"/>
  <c r="T31" i="1"/>
  <c r="T63" i="1"/>
  <c r="T48" i="1"/>
  <c r="T92" i="1"/>
  <c r="T93" i="1"/>
  <c r="T94" i="1"/>
  <c r="T95" i="1"/>
  <c r="T74" i="1"/>
  <c r="T17" i="1"/>
  <c r="T10" i="1"/>
  <c r="T14" i="1"/>
  <c r="T23" i="1"/>
  <c r="T6" i="1"/>
  <c r="T19" i="1"/>
  <c r="T21" i="1"/>
  <c r="T25" i="1"/>
  <c r="T12" i="1"/>
  <c r="T8" i="1"/>
  <c r="T96" i="1"/>
  <c r="T97" i="1"/>
  <c r="T98" i="1"/>
  <c r="T99" i="1"/>
  <c r="T57" i="1"/>
  <c r="T43" i="1"/>
  <c r="T49" i="1"/>
  <c r="T68" i="1"/>
  <c r="T71" i="1"/>
  <c r="T100" i="1"/>
  <c r="T101" i="1"/>
  <c r="T102" i="1"/>
  <c r="T103" i="1"/>
  <c r="T104" i="1"/>
  <c r="T105" i="1"/>
  <c r="T106" i="1"/>
  <c r="T107" i="1"/>
  <c r="T108" i="1"/>
  <c r="T109" i="1"/>
  <c r="T110" i="1"/>
  <c r="T111" i="1"/>
  <c r="T91" i="1"/>
  <c r="T77" i="1"/>
  <c r="T90" i="1"/>
  <c r="T78" i="1"/>
  <c r="T66" i="1"/>
  <c r="T67" i="1"/>
  <c r="T75" i="1"/>
  <c r="T76" i="1"/>
  <c r="T112" i="1"/>
  <c r="T7" i="1"/>
  <c r="T13" i="1"/>
  <c r="T113" i="1"/>
  <c r="T114" i="1"/>
  <c r="T115" i="1"/>
  <c r="T116" i="1"/>
  <c r="T117" i="1"/>
  <c r="T15" i="1"/>
  <c r="T24" i="1"/>
  <c r="T26" i="1"/>
  <c r="T22" i="1"/>
  <c r="T20" i="1"/>
  <c r="T18" i="1"/>
  <c r="T11" i="1"/>
  <c r="T9" i="1"/>
  <c r="T118" i="1"/>
  <c r="T72" i="1"/>
  <c r="T52" i="1"/>
  <c r="T36" i="1"/>
  <c r="T16" i="1"/>
  <c r="T50" i="1"/>
  <c r="T58" i="1"/>
  <c r="T51" i="1"/>
  <c r="T34" i="1"/>
  <c r="T83" i="1"/>
  <c r="T86" i="1"/>
  <c r="T87" i="1"/>
  <c r="T39" i="1"/>
  <c r="T79" i="1"/>
  <c r="T69" i="1"/>
  <c r="T80" i="1"/>
  <c r="T38" i="1"/>
  <c r="T126" i="1"/>
  <c r="T55" i="1"/>
  <c r="T54" i="1"/>
  <c r="T59" i="1"/>
  <c r="T4" i="1"/>
  <c r="T5" i="1"/>
  <c r="T42" i="1"/>
  <c r="T119" i="1"/>
  <c r="T120" i="1"/>
  <c r="T121" i="1"/>
  <c r="T122" i="1"/>
  <c r="T123" i="1"/>
  <c r="T124" i="1"/>
  <c r="AD60" i="1" l="1"/>
  <c r="AC81" i="1"/>
  <c r="AC60" i="1"/>
  <c r="AE85" i="1"/>
  <c r="AE84" i="1"/>
  <c r="AD29" i="1"/>
  <c r="AB27" i="1"/>
  <c r="AC85" i="1"/>
  <c r="Y81" i="1"/>
  <c r="Z60" i="1"/>
  <c r="AD32" i="1"/>
  <c r="Z32" i="1"/>
  <c r="AC32" i="1"/>
  <c r="Y32" i="1"/>
  <c r="Y85" i="1"/>
  <c r="AG29" i="1"/>
  <c r="Y60" i="1"/>
  <c r="Z53" i="1"/>
  <c r="AD30" i="1"/>
  <c r="Y29" i="1"/>
  <c r="AE53" i="1"/>
  <c r="AB30" i="1"/>
  <c r="A27" i="1"/>
  <c r="AB32" i="1"/>
  <c r="AB29" i="1"/>
  <c r="AB60" i="1"/>
  <c r="AB28" i="1"/>
  <c r="Y53" i="1"/>
  <c r="AG30" i="1"/>
  <c r="Y30" i="1"/>
  <c r="Y84" i="1"/>
  <c r="AG27" i="1"/>
  <c r="Y27" i="1"/>
  <c r="AD53" i="1"/>
  <c r="AD85" i="1"/>
  <c r="AD84" i="1"/>
  <c r="AD81" i="1"/>
  <c r="A28" i="1"/>
  <c r="AG28" i="1"/>
  <c r="Y28" i="1"/>
  <c r="A30" i="1"/>
  <c r="A29" i="1"/>
  <c r="Z124" i="1"/>
  <c r="Z123" i="1"/>
  <c r="Z122" i="1"/>
  <c r="Z121" i="1"/>
  <c r="Z120" i="1"/>
  <c r="Z119" i="1"/>
  <c r="Z118" i="1"/>
  <c r="Z117" i="1"/>
  <c r="Z116" i="1"/>
  <c r="Z115" i="1"/>
  <c r="Z114" i="1"/>
  <c r="Z113" i="1"/>
  <c r="Z112" i="1"/>
  <c r="Z111" i="1"/>
  <c r="Z110" i="1"/>
  <c r="Z109" i="1"/>
  <c r="Z108" i="1"/>
  <c r="Z107" i="1"/>
  <c r="Z106" i="1"/>
  <c r="Z105" i="1"/>
  <c r="Z104" i="1"/>
  <c r="Z103" i="1"/>
  <c r="Z102" i="1"/>
  <c r="Z101" i="1"/>
  <c r="Z100" i="1"/>
  <c r="Z99" i="1"/>
  <c r="Z98" i="1"/>
  <c r="Z97" i="1"/>
  <c r="Z96" i="1"/>
  <c r="Z95" i="1"/>
  <c r="Z94" i="1"/>
  <c r="Z93" i="1"/>
  <c r="Z92" i="1"/>
  <c r="Z89" i="1"/>
  <c r="Z87" i="1"/>
  <c r="Z86" i="1"/>
  <c r="Z83" i="1"/>
  <c r="Z82" i="1"/>
  <c r="Z80" i="1"/>
  <c r="Z79" i="1"/>
  <c r="Z78" i="1"/>
  <c r="Z77" i="1"/>
  <c r="Z91" i="1"/>
  <c r="Z90" i="1"/>
  <c r="Z76" i="1"/>
  <c r="Z75" i="1"/>
  <c r="Z74" i="1"/>
  <c r="Z73" i="1"/>
  <c r="Z72" i="1"/>
  <c r="Z71" i="1"/>
  <c r="Z70" i="1"/>
  <c r="Z68" i="1"/>
  <c r="Z67" i="1"/>
  <c r="Z66" i="1"/>
  <c r="Z65" i="1"/>
  <c r="Z59" i="1"/>
  <c r="Z47" i="1"/>
  <c r="Z126" i="1"/>
  <c r="Z46" i="1"/>
  <c r="Z45" i="1"/>
  <c r="Z44" i="1"/>
  <c r="Z42" i="1"/>
  <c r="Z26" i="1"/>
  <c r="Z25" i="1"/>
  <c r="Z24" i="1"/>
  <c r="Z23" i="1"/>
  <c r="Z22" i="1"/>
  <c r="Z21" i="1"/>
  <c r="Z20" i="1"/>
  <c r="Z19" i="1"/>
  <c r="Z18" i="1"/>
  <c r="Z17" i="1"/>
  <c r="Z16" i="1"/>
  <c r="Z15" i="1"/>
  <c r="Z14" i="1"/>
  <c r="Z13" i="1"/>
  <c r="Z12" i="1"/>
  <c r="Z11" i="1"/>
  <c r="Z10" i="1"/>
  <c r="Z9" i="1"/>
  <c r="Z8" i="1"/>
  <c r="Z58" i="1"/>
  <c r="Z7" i="1"/>
  <c r="Z6" i="1"/>
  <c r="Z5" i="1"/>
  <c r="Z4" i="1"/>
  <c r="AB5" i="1"/>
  <c r="AB6" i="1"/>
  <c r="AB7" i="1"/>
  <c r="AB8" i="1"/>
  <c r="AB9" i="1"/>
  <c r="AB10" i="1"/>
  <c r="AB11" i="1"/>
  <c r="AB12" i="1"/>
  <c r="AB13" i="1"/>
  <c r="AB14" i="1"/>
  <c r="AB15" i="1"/>
  <c r="AB16" i="1"/>
  <c r="AB17" i="1"/>
  <c r="AB18" i="1"/>
  <c r="AB19" i="1"/>
  <c r="AB20" i="1"/>
  <c r="AB21" i="1"/>
  <c r="AB22" i="1"/>
  <c r="AB23" i="1"/>
  <c r="AB24" i="1"/>
  <c r="AB25" i="1"/>
  <c r="AB26" i="1"/>
  <c r="AB42" i="1"/>
  <c r="AB59" i="1"/>
  <c r="AB66" i="1"/>
  <c r="AB67" i="1"/>
  <c r="AB74" i="1"/>
  <c r="AB75" i="1"/>
  <c r="AB76" i="1"/>
  <c r="AB90" i="1"/>
  <c r="AB91" i="1"/>
  <c r="AB77" i="1"/>
  <c r="AB78" i="1"/>
  <c r="AB79" i="1"/>
  <c r="AB83" i="1"/>
  <c r="AB86" i="1"/>
  <c r="AB87" i="1"/>
  <c r="AB89" i="1"/>
  <c r="AB92" i="1"/>
  <c r="AB93" i="1"/>
  <c r="AB94" i="1"/>
  <c r="AB95" i="1"/>
  <c r="AB96" i="1"/>
  <c r="AB97" i="1"/>
  <c r="AB98" i="1"/>
  <c r="AB99" i="1"/>
  <c r="AB100" i="1"/>
  <c r="AB101" i="1"/>
  <c r="AB102" i="1"/>
  <c r="AB103" i="1"/>
  <c r="AB104" i="1"/>
  <c r="AB105" i="1"/>
  <c r="AB106" i="1"/>
  <c r="AB107" i="1"/>
  <c r="AB108" i="1"/>
  <c r="AB109" i="1"/>
  <c r="AB110" i="1"/>
  <c r="AB111" i="1"/>
  <c r="AB112" i="1"/>
  <c r="AB113" i="1"/>
  <c r="AB114" i="1"/>
  <c r="AB115" i="1"/>
  <c r="AB116" i="1"/>
  <c r="AB117" i="1"/>
  <c r="AB118" i="1"/>
  <c r="AB119" i="1"/>
  <c r="AB120" i="1"/>
  <c r="AB121" i="1"/>
  <c r="AB122" i="1"/>
  <c r="AB123" i="1"/>
  <c r="AB124" i="1"/>
  <c r="AB4" i="1"/>
  <c r="X5" i="1"/>
  <c r="X6" i="1"/>
  <c r="X7" i="1"/>
  <c r="X58" i="1"/>
  <c r="X8" i="1"/>
  <c r="X9" i="1"/>
  <c r="X10" i="1"/>
  <c r="X11" i="1"/>
  <c r="X12" i="1"/>
  <c r="X13" i="1"/>
  <c r="X14" i="1"/>
  <c r="X15" i="1"/>
  <c r="X16" i="1"/>
  <c r="X17" i="1"/>
  <c r="X18" i="1"/>
  <c r="X19" i="1"/>
  <c r="X20" i="1"/>
  <c r="X21" i="1"/>
  <c r="X22" i="1"/>
  <c r="X23" i="1"/>
  <c r="X24" i="1"/>
  <c r="X25" i="1"/>
  <c r="X26" i="1"/>
  <c r="X31" i="1"/>
  <c r="X33" i="1"/>
  <c r="X34" i="1"/>
  <c r="X35" i="1"/>
  <c r="X36" i="1"/>
  <c r="X37" i="1"/>
  <c r="X38" i="1"/>
  <c r="X39" i="1"/>
  <c r="X40" i="1"/>
  <c r="X41" i="1"/>
  <c r="X42" i="1"/>
  <c r="X43" i="1"/>
  <c r="X44" i="1"/>
  <c r="X45" i="1"/>
  <c r="X46" i="1"/>
  <c r="X126" i="1"/>
  <c r="X47" i="1"/>
  <c r="X48" i="1"/>
  <c r="X49" i="1"/>
  <c r="X50" i="1"/>
  <c r="X51" i="1"/>
  <c r="X52" i="1"/>
  <c r="X54" i="1"/>
  <c r="X55" i="1"/>
  <c r="X56" i="1"/>
  <c r="X57" i="1"/>
  <c r="X125" i="1"/>
  <c r="X59" i="1"/>
  <c r="X61" i="1"/>
  <c r="X62" i="1"/>
  <c r="X63" i="1"/>
  <c r="X64" i="1"/>
  <c r="X65" i="1"/>
  <c r="X66" i="1"/>
  <c r="X67" i="1"/>
  <c r="X68" i="1"/>
  <c r="X69" i="1"/>
  <c r="X70" i="1"/>
  <c r="X71" i="1"/>
  <c r="X72" i="1"/>
  <c r="X73" i="1"/>
  <c r="X74" i="1"/>
  <c r="X75" i="1"/>
  <c r="X76" i="1"/>
  <c r="X90" i="1"/>
  <c r="X91" i="1"/>
  <c r="X77" i="1"/>
  <c r="X78" i="1"/>
  <c r="X79" i="1"/>
  <c r="X80" i="1"/>
  <c r="X82" i="1"/>
  <c r="X83" i="1"/>
  <c r="X86" i="1"/>
  <c r="X87" i="1"/>
  <c r="X88" i="1"/>
  <c r="X89" i="1"/>
  <c r="X92" i="1"/>
  <c r="X93" i="1"/>
  <c r="X94" i="1"/>
  <c r="X95" i="1"/>
  <c r="X96" i="1"/>
  <c r="X97" i="1"/>
  <c r="X98" i="1"/>
  <c r="X99" i="1"/>
  <c r="X100" i="1"/>
  <c r="X101" i="1"/>
  <c r="X102" i="1"/>
  <c r="X103" i="1"/>
  <c r="X104" i="1"/>
  <c r="X105" i="1"/>
  <c r="X106" i="1"/>
  <c r="X107" i="1"/>
  <c r="X108" i="1"/>
  <c r="X109" i="1"/>
  <c r="X110" i="1"/>
  <c r="X111" i="1"/>
  <c r="X112" i="1"/>
  <c r="X113" i="1"/>
  <c r="X114" i="1"/>
  <c r="X115" i="1"/>
  <c r="X116" i="1"/>
  <c r="X117" i="1"/>
  <c r="X118" i="1"/>
  <c r="X119" i="1"/>
  <c r="X120" i="1"/>
  <c r="X121" i="1"/>
  <c r="X122" i="1"/>
  <c r="X123" i="1"/>
  <c r="X124" i="1"/>
  <c r="X4" i="1"/>
  <c r="R87" i="1" l="1"/>
  <c r="S87" i="1"/>
  <c r="AC87" i="1"/>
  <c r="V87" i="1"/>
  <c r="W87" i="1"/>
  <c r="AA87" i="1"/>
  <c r="AD87" i="1"/>
  <c r="AE87" i="1"/>
  <c r="AF87" i="1"/>
  <c r="AG87" i="1"/>
  <c r="AH87" i="1"/>
  <c r="AI87" i="1"/>
  <c r="R86" i="1"/>
  <c r="S86" i="1"/>
  <c r="AC86" i="1"/>
  <c r="V86" i="1"/>
  <c r="W86" i="1"/>
  <c r="AA86" i="1"/>
  <c r="AD86" i="1"/>
  <c r="AE86" i="1"/>
  <c r="AF86" i="1"/>
  <c r="AG86" i="1"/>
  <c r="AH86" i="1"/>
  <c r="AI86" i="1"/>
  <c r="R83" i="1"/>
  <c r="S83" i="1"/>
  <c r="AE83" i="1" s="1"/>
  <c r="AC83" i="1"/>
  <c r="V83" i="1"/>
  <c r="W83" i="1"/>
  <c r="AA83" i="1"/>
  <c r="AF83" i="1"/>
  <c r="AH83" i="1"/>
  <c r="AI83" i="1"/>
  <c r="R47" i="1"/>
  <c r="S47" i="1"/>
  <c r="AC47" i="1"/>
  <c r="V47" i="1"/>
  <c r="AH47" i="1" s="1"/>
  <c r="W47" i="1"/>
  <c r="AA47" i="1"/>
  <c r="AI47" i="1"/>
  <c r="R126" i="1"/>
  <c r="S126" i="1"/>
  <c r="AC126" i="1"/>
  <c r="V126" i="1"/>
  <c r="AH126" i="1" s="1"/>
  <c r="W126" i="1"/>
  <c r="AA126" i="1"/>
  <c r="AI126" i="1"/>
  <c r="R46" i="1"/>
  <c r="S46" i="1"/>
  <c r="AB46" i="1" s="1"/>
  <c r="AG46" i="1"/>
  <c r="V46" i="1"/>
  <c r="AH46" i="1" s="1"/>
  <c r="W46" i="1"/>
  <c r="AA46" i="1"/>
  <c r="AI46" i="1"/>
  <c r="AI82" i="1"/>
  <c r="S82" i="1"/>
  <c r="AB82" i="1" s="1"/>
  <c r="R82" i="1"/>
  <c r="R80" i="1"/>
  <c r="S80" i="1"/>
  <c r="AC80" i="1"/>
  <c r="V80" i="1"/>
  <c r="AH80" i="1" s="1"/>
  <c r="W80" i="1"/>
  <c r="AA80" i="1"/>
  <c r="AI80" i="1"/>
  <c r="R79" i="1"/>
  <c r="S79" i="1"/>
  <c r="AC79" i="1"/>
  <c r="V79" i="1"/>
  <c r="W79" i="1"/>
  <c r="AA79" i="1"/>
  <c r="AD79" i="1"/>
  <c r="AE79" i="1"/>
  <c r="AF79" i="1"/>
  <c r="AG79" i="1"/>
  <c r="AH79" i="1"/>
  <c r="AI79" i="1"/>
  <c r="A83" i="1" l="1"/>
  <c r="A87" i="1"/>
  <c r="A79" i="1"/>
  <c r="A82" i="1"/>
  <c r="A47" i="1"/>
  <c r="A81" i="1"/>
  <c r="AE47" i="1"/>
  <c r="AB47" i="1"/>
  <c r="A86" i="1"/>
  <c r="AF80" i="1"/>
  <c r="A80" i="1"/>
  <c r="AF46" i="1"/>
  <c r="A46" i="1"/>
  <c r="AF126" i="1"/>
  <c r="A126" i="1"/>
  <c r="AE80" i="1"/>
  <c r="AB80" i="1"/>
  <c r="AD126" i="1"/>
  <c r="AB126" i="1"/>
  <c r="AF47" i="1"/>
  <c r="A84" i="1"/>
  <c r="A85" i="1"/>
  <c r="AD47" i="1"/>
  <c r="AE126" i="1"/>
  <c r="Y126" i="1"/>
  <c r="Y87" i="1"/>
  <c r="Y86" i="1"/>
  <c r="AD83" i="1"/>
  <c r="AG83" i="1"/>
  <c r="Y83" i="1"/>
  <c r="AG47" i="1"/>
  <c r="Y47" i="1"/>
  <c r="AG126" i="1"/>
  <c r="AD80" i="1"/>
  <c r="AE46" i="1"/>
  <c r="Y46" i="1"/>
  <c r="AC46" i="1"/>
  <c r="AD46" i="1"/>
  <c r="Y79" i="1"/>
  <c r="AG80" i="1"/>
  <c r="Y80" i="1"/>
  <c r="AE5" i="1" l="1"/>
  <c r="AF5" i="1"/>
  <c r="AG5" i="1"/>
  <c r="AH5" i="1"/>
  <c r="AE6" i="1"/>
  <c r="AF6" i="1"/>
  <c r="AG6" i="1"/>
  <c r="AH6" i="1"/>
  <c r="AE8" i="1"/>
  <c r="AF8" i="1"/>
  <c r="AG8" i="1"/>
  <c r="AH8" i="1"/>
  <c r="AE10" i="1"/>
  <c r="AF10" i="1"/>
  <c r="AG10" i="1"/>
  <c r="AH10" i="1"/>
  <c r="AE12" i="1"/>
  <c r="AF12" i="1"/>
  <c r="AG12" i="1"/>
  <c r="AH12" i="1"/>
  <c r="AE14" i="1"/>
  <c r="AF14" i="1"/>
  <c r="AG14" i="1"/>
  <c r="AH14" i="1"/>
  <c r="AE17" i="1"/>
  <c r="AF17" i="1"/>
  <c r="AG17" i="1"/>
  <c r="AH17" i="1"/>
  <c r="AE19" i="1"/>
  <c r="AF19" i="1"/>
  <c r="AG19" i="1"/>
  <c r="AH19" i="1"/>
  <c r="AE21" i="1"/>
  <c r="AF21" i="1"/>
  <c r="AG21" i="1"/>
  <c r="AH21" i="1"/>
  <c r="AE23" i="1"/>
  <c r="AF23" i="1"/>
  <c r="AG23" i="1"/>
  <c r="AH23" i="1"/>
  <c r="AE25" i="1"/>
  <c r="AF25" i="1"/>
  <c r="AG25" i="1"/>
  <c r="AH25" i="1"/>
  <c r="AE7" i="1"/>
  <c r="AF7" i="1"/>
  <c r="AG7" i="1"/>
  <c r="AH7" i="1"/>
  <c r="AE9" i="1"/>
  <c r="AF9" i="1"/>
  <c r="AG9" i="1"/>
  <c r="AH9" i="1"/>
  <c r="AE11" i="1"/>
  <c r="AF11" i="1"/>
  <c r="AG11" i="1"/>
  <c r="AH11" i="1"/>
  <c r="AE13" i="1"/>
  <c r="AF13" i="1"/>
  <c r="AG13" i="1"/>
  <c r="AH13" i="1"/>
  <c r="AE15" i="1"/>
  <c r="AF15" i="1"/>
  <c r="AG15" i="1"/>
  <c r="AH15" i="1"/>
  <c r="AE18" i="1"/>
  <c r="AF18" i="1"/>
  <c r="AG18" i="1"/>
  <c r="AH18" i="1"/>
  <c r="AE20" i="1"/>
  <c r="AF20" i="1"/>
  <c r="AG20" i="1"/>
  <c r="AH20" i="1"/>
  <c r="AE22" i="1"/>
  <c r="AF22" i="1"/>
  <c r="AG22" i="1"/>
  <c r="AH22" i="1"/>
  <c r="AE24" i="1"/>
  <c r="AF24" i="1"/>
  <c r="AG24" i="1"/>
  <c r="AH24" i="1"/>
  <c r="AE26" i="1"/>
  <c r="AF26" i="1"/>
  <c r="AG26" i="1"/>
  <c r="AH26" i="1"/>
  <c r="AE16" i="1"/>
  <c r="AF16" i="1"/>
  <c r="AG16" i="1"/>
  <c r="AH16" i="1"/>
  <c r="AE42" i="1"/>
  <c r="AF42" i="1"/>
  <c r="AG42" i="1"/>
  <c r="AH42" i="1"/>
  <c r="AE59" i="1"/>
  <c r="AF59" i="1"/>
  <c r="AG59" i="1"/>
  <c r="AH59" i="1"/>
  <c r="AE66" i="1"/>
  <c r="AF66" i="1"/>
  <c r="AG66" i="1"/>
  <c r="AH66" i="1"/>
  <c r="AE67" i="1"/>
  <c r="AF67" i="1"/>
  <c r="AG67" i="1"/>
  <c r="AH67" i="1"/>
  <c r="AE74" i="1"/>
  <c r="AF74" i="1"/>
  <c r="AG74" i="1"/>
  <c r="AH74" i="1"/>
  <c r="AE75" i="1"/>
  <c r="AF75" i="1"/>
  <c r="AG75" i="1"/>
  <c r="AH75" i="1"/>
  <c r="AE76" i="1"/>
  <c r="AF76" i="1"/>
  <c r="AG76" i="1"/>
  <c r="AH76" i="1"/>
  <c r="AE90" i="1"/>
  <c r="AF90" i="1"/>
  <c r="AG90" i="1"/>
  <c r="AH90" i="1"/>
  <c r="AE91" i="1"/>
  <c r="AF91" i="1"/>
  <c r="AG91" i="1"/>
  <c r="AH91" i="1"/>
  <c r="AE77" i="1"/>
  <c r="AF77" i="1"/>
  <c r="AG77" i="1"/>
  <c r="AH77" i="1"/>
  <c r="AE78" i="1"/>
  <c r="AF78" i="1"/>
  <c r="AG78" i="1"/>
  <c r="AH78" i="1"/>
  <c r="AE119" i="1"/>
  <c r="AF119" i="1"/>
  <c r="AG119" i="1"/>
  <c r="AH119" i="1"/>
  <c r="AE120" i="1"/>
  <c r="AF120" i="1"/>
  <c r="AG120" i="1"/>
  <c r="AH120" i="1"/>
  <c r="AE121" i="1"/>
  <c r="AF121" i="1"/>
  <c r="AG121" i="1"/>
  <c r="AH121" i="1"/>
  <c r="AE122" i="1"/>
  <c r="AF122" i="1"/>
  <c r="AG122" i="1"/>
  <c r="AH122" i="1"/>
  <c r="AE123" i="1"/>
  <c r="AF123" i="1"/>
  <c r="AG123" i="1"/>
  <c r="AH123" i="1"/>
  <c r="AE124" i="1"/>
  <c r="AF124" i="1"/>
  <c r="AG124" i="1"/>
  <c r="AH124" i="1"/>
  <c r="AE93" i="1"/>
  <c r="AF93" i="1"/>
  <c r="AG93" i="1"/>
  <c r="AH93" i="1"/>
  <c r="AE94" i="1"/>
  <c r="AF94" i="1"/>
  <c r="AG94" i="1"/>
  <c r="AH94" i="1"/>
  <c r="AE95" i="1"/>
  <c r="AF95" i="1"/>
  <c r="AG95" i="1"/>
  <c r="AH95" i="1"/>
  <c r="AE92" i="1"/>
  <c r="AF92" i="1"/>
  <c r="AG92" i="1"/>
  <c r="AH92" i="1"/>
  <c r="AE97" i="1"/>
  <c r="AF97" i="1"/>
  <c r="AG97" i="1"/>
  <c r="AH97" i="1"/>
  <c r="AE98" i="1"/>
  <c r="AF98" i="1"/>
  <c r="AG98" i="1"/>
  <c r="AH98" i="1"/>
  <c r="AE99" i="1"/>
  <c r="AF99" i="1"/>
  <c r="AG99" i="1"/>
  <c r="AH99" i="1"/>
  <c r="AE96" i="1"/>
  <c r="AF96" i="1"/>
  <c r="AG96" i="1"/>
  <c r="AH96" i="1"/>
  <c r="AE101" i="1"/>
  <c r="AF101" i="1"/>
  <c r="AG101" i="1"/>
  <c r="AH101" i="1"/>
  <c r="AE102" i="1"/>
  <c r="AF102" i="1"/>
  <c r="AG102" i="1"/>
  <c r="AH102" i="1"/>
  <c r="AE103" i="1"/>
  <c r="AF103" i="1"/>
  <c r="AG103" i="1"/>
  <c r="AH103" i="1"/>
  <c r="AE100" i="1"/>
  <c r="AF100" i="1"/>
  <c r="AG100" i="1"/>
  <c r="AH100" i="1"/>
  <c r="AE105" i="1"/>
  <c r="AF105" i="1"/>
  <c r="AG105" i="1"/>
  <c r="AH105" i="1"/>
  <c r="AE106" i="1"/>
  <c r="AF106" i="1"/>
  <c r="AG106" i="1"/>
  <c r="AH106" i="1"/>
  <c r="AE107" i="1"/>
  <c r="AF107" i="1"/>
  <c r="AG107" i="1"/>
  <c r="AH107" i="1"/>
  <c r="AE104" i="1"/>
  <c r="AF104" i="1"/>
  <c r="AG104" i="1"/>
  <c r="AH104" i="1"/>
  <c r="AE109" i="1"/>
  <c r="AF109" i="1"/>
  <c r="AG109" i="1"/>
  <c r="AH109" i="1"/>
  <c r="AE110" i="1"/>
  <c r="AF110" i="1"/>
  <c r="AG110" i="1"/>
  <c r="AH110" i="1"/>
  <c r="AE111" i="1"/>
  <c r="AF111" i="1"/>
  <c r="AG111" i="1"/>
  <c r="AH111" i="1"/>
  <c r="AE108" i="1"/>
  <c r="AF108" i="1"/>
  <c r="AG108" i="1"/>
  <c r="AH108" i="1"/>
  <c r="AF4" i="1"/>
  <c r="AG4" i="1"/>
  <c r="AH4" i="1"/>
  <c r="AE4" i="1"/>
  <c r="T33" i="1" l="1"/>
  <c r="AF58" i="1"/>
  <c r="R118" i="1"/>
  <c r="R117" i="1"/>
  <c r="R116" i="1"/>
  <c r="R115" i="1"/>
  <c r="R114" i="1"/>
  <c r="R113" i="1"/>
  <c r="R112" i="1"/>
  <c r="R108" i="1"/>
  <c r="R111" i="1"/>
  <c r="R110" i="1"/>
  <c r="R109" i="1"/>
  <c r="R104" i="1"/>
  <c r="R107" i="1"/>
  <c r="R106" i="1"/>
  <c r="R105" i="1"/>
  <c r="R100" i="1"/>
  <c r="R103" i="1"/>
  <c r="R102" i="1"/>
  <c r="R101" i="1"/>
  <c r="R96" i="1"/>
  <c r="R99" i="1"/>
  <c r="R98" i="1"/>
  <c r="R97" i="1"/>
  <c r="R92" i="1"/>
  <c r="R95" i="1"/>
  <c r="R94" i="1"/>
  <c r="R93" i="1"/>
  <c r="R89" i="1"/>
  <c r="R88" i="1"/>
  <c r="R78" i="1"/>
  <c r="R77" i="1"/>
  <c r="R91" i="1"/>
  <c r="R90" i="1"/>
  <c r="R76" i="1"/>
  <c r="R75" i="1"/>
  <c r="R74" i="1"/>
  <c r="R73" i="1"/>
  <c r="R72" i="1"/>
  <c r="R71" i="1"/>
  <c r="R70" i="1"/>
  <c r="R38" i="1"/>
  <c r="R68" i="1"/>
  <c r="R67" i="1"/>
  <c r="R66" i="1"/>
  <c r="R65" i="1"/>
  <c r="R64" i="1"/>
  <c r="R63" i="1"/>
  <c r="R62" i="1"/>
  <c r="R61" i="1"/>
  <c r="R59" i="1"/>
  <c r="R125" i="1"/>
  <c r="R57" i="1"/>
  <c r="R56" i="1"/>
  <c r="R55" i="1"/>
  <c r="R54" i="1"/>
  <c r="R52" i="1"/>
  <c r="R51" i="1"/>
  <c r="R50" i="1"/>
  <c r="R49" i="1"/>
  <c r="R48" i="1"/>
  <c r="R45" i="1"/>
  <c r="R44" i="1"/>
  <c r="R43" i="1"/>
  <c r="R42" i="1"/>
  <c r="R41" i="1"/>
  <c r="R40" i="1"/>
  <c r="R39" i="1"/>
  <c r="R69" i="1"/>
  <c r="R37" i="1"/>
  <c r="R36" i="1"/>
  <c r="R35" i="1"/>
  <c r="R34" i="1"/>
  <c r="R33" i="1"/>
  <c r="R31" i="1"/>
  <c r="R16" i="1"/>
  <c r="R58" i="1"/>
  <c r="R26" i="1"/>
  <c r="R24" i="1"/>
  <c r="R22" i="1"/>
  <c r="R20" i="1"/>
  <c r="R18" i="1"/>
  <c r="R15" i="1"/>
  <c r="R13" i="1"/>
  <c r="R11" i="1"/>
  <c r="R9" i="1"/>
  <c r="R7" i="1"/>
  <c r="R25" i="1"/>
  <c r="R23" i="1"/>
  <c r="R21" i="1"/>
  <c r="R19" i="1"/>
  <c r="R17" i="1"/>
  <c r="R14" i="1"/>
  <c r="R12" i="1"/>
  <c r="R10" i="1"/>
  <c r="R8" i="1"/>
  <c r="R6" i="1"/>
  <c r="R5" i="1"/>
  <c r="R4" i="1"/>
  <c r="AC119" i="1"/>
  <c r="AC120" i="1"/>
  <c r="AC121" i="1"/>
  <c r="AC122" i="1"/>
  <c r="AC123" i="1"/>
  <c r="AC124" i="1"/>
  <c r="AC93" i="1"/>
  <c r="AC94" i="1"/>
  <c r="AC95" i="1"/>
  <c r="AC92" i="1"/>
  <c r="AC97" i="1"/>
  <c r="AC98" i="1"/>
  <c r="AC99" i="1"/>
  <c r="AC96" i="1"/>
  <c r="AC101" i="1"/>
  <c r="AC102" i="1"/>
  <c r="AC103" i="1"/>
  <c r="AC100" i="1"/>
  <c r="AC105" i="1"/>
  <c r="AC106" i="1"/>
  <c r="AC107" i="1"/>
  <c r="AC104" i="1"/>
  <c r="AC109" i="1"/>
  <c r="AC110" i="1"/>
  <c r="AC111" i="1"/>
  <c r="AC108" i="1"/>
  <c r="AG112" i="1"/>
  <c r="AC23" i="1"/>
  <c r="AC25" i="1"/>
  <c r="AC7" i="1"/>
  <c r="AC9" i="1"/>
  <c r="AC11" i="1"/>
  <c r="AC13" i="1"/>
  <c r="AC15" i="1"/>
  <c r="AC18" i="1"/>
  <c r="AC20" i="1"/>
  <c r="AC22" i="1"/>
  <c r="AC24" i="1"/>
  <c r="AG58" i="1"/>
  <c r="AG31" i="1"/>
  <c r="AG33" i="1"/>
  <c r="AG34" i="1"/>
  <c r="AG35" i="1"/>
  <c r="AG36" i="1"/>
  <c r="AG37" i="1"/>
  <c r="AC42" i="1"/>
  <c r="AC59" i="1"/>
  <c r="AC66" i="1"/>
  <c r="AC67" i="1"/>
  <c r="AC74" i="1"/>
  <c r="AC75" i="1"/>
  <c r="AC76" i="1"/>
  <c r="AC90" i="1"/>
  <c r="AC91" i="1"/>
  <c r="AC77" i="1"/>
  <c r="AC78" i="1"/>
  <c r="AC4" i="1"/>
  <c r="A11" i="1" l="1"/>
  <c r="A20" i="1"/>
  <c r="AF33" i="1"/>
  <c r="AF37" i="1"/>
  <c r="AF41" i="1"/>
  <c r="AF45" i="1"/>
  <c r="AF51" i="1"/>
  <c r="AF55" i="1"/>
  <c r="A59" i="1"/>
  <c r="AF63" i="1"/>
  <c r="AF71" i="1"/>
  <c r="A119" i="1"/>
  <c r="A123" i="1"/>
  <c r="AF114" i="1"/>
  <c r="A114" i="1"/>
  <c r="AF118" i="1"/>
  <c r="A118" i="1"/>
  <c r="A13" i="1"/>
  <c r="A22" i="1"/>
  <c r="AF34" i="1"/>
  <c r="AF69" i="1"/>
  <c r="A42" i="1"/>
  <c r="AF48" i="1"/>
  <c r="AF52" i="1"/>
  <c r="AF56" i="1"/>
  <c r="AF64" i="1"/>
  <c r="AF68" i="1"/>
  <c r="AF72" i="1"/>
  <c r="A120" i="1"/>
  <c r="A124" i="1"/>
  <c r="AF115" i="1"/>
  <c r="A115" i="1"/>
  <c r="A4" i="1"/>
  <c r="A7" i="1"/>
  <c r="A15" i="1"/>
  <c r="A24" i="1"/>
  <c r="AF31" i="1"/>
  <c r="AF35" i="1"/>
  <c r="AF39" i="1"/>
  <c r="AF43" i="1"/>
  <c r="AF49" i="1"/>
  <c r="AF57" i="1"/>
  <c r="AF61" i="1"/>
  <c r="AF65" i="1"/>
  <c r="AF38" i="1"/>
  <c r="AF73" i="1"/>
  <c r="A90" i="1"/>
  <c r="AF88" i="1"/>
  <c r="A121" i="1"/>
  <c r="AF112" i="1"/>
  <c r="A112" i="1"/>
  <c r="AF116" i="1"/>
  <c r="A116" i="1"/>
  <c r="A5" i="1"/>
  <c r="A9" i="1"/>
  <c r="A18" i="1"/>
  <c r="A26" i="1"/>
  <c r="AF36" i="1"/>
  <c r="AF40" i="1"/>
  <c r="AF44" i="1"/>
  <c r="AF50" i="1"/>
  <c r="AF54" i="1"/>
  <c r="AF125" i="1"/>
  <c r="AF62" i="1"/>
  <c r="AF70" i="1"/>
  <c r="A74" i="1"/>
  <c r="A91" i="1"/>
  <c r="AF89" i="1"/>
  <c r="A89" i="1"/>
  <c r="A122" i="1"/>
  <c r="AF113" i="1"/>
  <c r="A113" i="1"/>
  <c r="AF117" i="1"/>
  <c r="A117" i="1"/>
  <c r="AC51" i="1"/>
  <c r="AG51" i="1"/>
  <c r="AC116" i="1"/>
  <c r="AG116" i="1"/>
  <c r="AC88" i="1"/>
  <c r="AG88" i="1"/>
  <c r="AC118" i="1"/>
  <c r="AG118" i="1"/>
  <c r="AC114" i="1"/>
  <c r="AG114" i="1"/>
  <c r="AC72" i="1"/>
  <c r="AG72" i="1"/>
  <c r="AC52" i="1"/>
  <c r="AG52" i="1"/>
  <c r="AC48" i="1"/>
  <c r="AG48" i="1"/>
  <c r="AC117" i="1"/>
  <c r="AG117" i="1"/>
  <c r="AC113" i="1"/>
  <c r="AG113" i="1"/>
  <c r="AC89" i="1"/>
  <c r="AG89" i="1"/>
  <c r="AC40" i="1"/>
  <c r="AG40" i="1"/>
  <c r="AC115" i="1"/>
  <c r="AG115" i="1"/>
  <c r="AC63" i="1"/>
  <c r="AG63" i="1"/>
  <c r="AC64" i="1"/>
  <c r="AG64" i="1"/>
  <c r="AC62" i="1"/>
  <c r="AG62" i="1"/>
  <c r="AC61" i="1"/>
  <c r="AG61" i="1"/>
  <c r="AC56" i="1"/>
  <c r="AG56" i="1"/>
  <c r="AC55" i="1"/>
  <c r="AG55" i="1"/>
  <c r="AC54" i="1"/>
  <c r="AG54" i="1"/>
  <c r="AC45" i="1"/>
  <c r="AG45" i="1"/>
  <c r="AC73" i="1"/>
  <c r="AG73" i="1"/>
  <c r="AC70" i="1"/>
  <c r="AG70" i="1"/>
  <c r="AC65" i="1"/>
  <c r="AG65" i="1"/>
  <c r="AC125" i="1"/>
  <c r="AG125" i="1"/>
  <c r="AC44" i="1"/>
  <c r="AG44" i="1"/>
  <c r="AC41" i="1"/>
  <c r="AG41" i="1"/>
  <c r="AC39" i="1"/>
  <c r="AG39" i="1"/>
  <c r="AC50" i="1"/>
  <c r="AG50" i="1"/>
  <c r="AC68" i="1"/>
  <c r="AG68" i="1"/>
  <c r="AC57" i="1"/>
  <c r="AG57" i="1"/>
  <c r="AC49" i="1"/>
  <c r="AG49" i="1"/>
  <c r="AC43" i="1"/>
  <c r="AG43" i="1"/>
  <c r="AC71" i="1"/>
  <c r="AG71" i="1"/>
  <c r="AC69" i="1"/>
  <c r="AG69" i="1"/>
  <c r="AC38" i="1"/>
  <c r="AG38" i="1"/>
  <c r="AC36" i="1"/>
  <c r="AC26" i="1"/>
  <c r="AC21" i="1"/>
  <c r="AC12" i="1"/>
  <c r="AC5" i="1"/>
  <c r="AC35" i="1"/>
  <c r="AC31" i="1"/>
  <c r="AC19" i="1"/>
  <c r="AC10" i="1"/>
  <c r="AC34" i="1"/>
  <c r="AC16" i="1"/>
  <c r="AC17" i="1"/>
  <c r="AC8" i="1"/>
  <c r="AC112" i="1"/>
  <c r="AC37" i="1"/>
  <c r="AC33" i="1"/>
  <c r="AC58" i="1"/>
  <c r="AC14" i="1"/>
  <c r="AC6" i="1"/>
  <c r="AD5" i="1"/>
  <c r="AD6" i="1"/>
  <c r="AD8" i="1"/>
  <c r="AD10" i="1"/>
  <c r="AD12" i="1"/>
  <c r="AD14" i="1"/>
  <c r="AD17" i="1"/>
  <c r="AD19" i="1"/>
  <c r="AD21" i="1"/>
  <c r="AD23" i="1"/>
  <c r="AD25" i="1"/>
  <c r="AD7" i="1"/>
  <c r="AD9" i="1"/>
  <c r="AD11" i="1"/>
  <c r="AD13" i="1"/>
  <c r="AD15" i="1"/>
  <c r="AD18" i="1"/>
  <c r="AD20" i="1"/>
  <c r="AD22" i="1"/>
  <c r="AD24" i="1"/>
  <c r="AD26" i="1"/>
  <c r="AD16" i="1"/>
  <c r="AD42" i="1"/>
  <c r="AD57" i="1"/>
  <c r="AD59" i="1"/>
  <c r="AD66" i="1"/>
  <c r="AD67" i="1"/>
  <c r="AD68" i="1"/>
  <c r="AD71" i="1"/>
  <c r="AD74" i="1"/>
  <c r="AD75" i="1"/>
  <c r="AD76" i="1"/>
  <c r="AD90" i="1"/>
  <c r="AD91" i="1"/>
  <c r="AD77" i="1"/>
  <c r="AD78" i="1"/>
  <c r="AD119" i="1"/>
  <c r="AD120" i="1"/>
  <c r="AD121" i="1"/>
  <c r="AD122" i="1"/>
  <c r="AD123" i="1"/>
  <c r="AD124" i="1"/>
  <c r="AD93" i="1"/>
  <c r="AD94" i="1"/>
  <c r="AD95" i="1"/>
  <c r="AD92" i="1"/>
  <c r="AD105" i="1"/>
  <c r="AD106" i="1"/>
  <c r="AD107" i="1"/>
  <c r="AD104" i="1"/>
  <c r="AD112" i="1"/>
  <c r="AD113" i="1"/>
  <c r="AD114" i="1"/>
  <c r="AD115" i="1"/>
  <c r="AD116" i="1"/>
  <c r="AD117" i="1"/>
  <c r="AD118" i="1"/>
  <c r="AD4" i="1"/>
  <c r="AI78" i="1" l="1"/>
  <c r="AA78" i="1"/>
  <c r="W78" i="1"/>
  <c r="V78" i="1"/>
  <c r="S78" i="1"/>
  <c r="A78" i="1" s="1"/>
  <c r="AI77" i="1"/>
  <c r="AA77" i="1"/>
  <c r="W77" i="1"/>
  <c r="V77" i="1"/>
  <c r="S77" i="1"/>
  <c r="A77" i="1" s="1"/>
  <c r="Y77" i="1" l="1"/>
  <c r="Y78" i="1"/>
  <c r="AI73" i="1" l="1"/>
  <c r="AA73" i="1"/>
  <c r="W73" i="1"/>
  <c r="V73" i="1"/>
  <c r="AH73" i="1" s="1"/>
  <c r="S73" i="1"/>
  <c r="AI74" i="1"/>
  <c r="AA74" i="1"/>
  <c r="W74" i="1"/>
  <c r="V74" i="1"/>
  <c r="S74" i="1"/>
  <c r="AB73" i="1" l="1"/>
  <c r="A73" i="1"/>
  <c r="AE73" i="1"/>
  <c r="AD73" i="1"/>
  <c r="Y74" i="1"/>
  <c r="Y73" i="1"/>
  <c r="AI72" i="1"/>
  <c r="AA72" i="1"/>
  <c r="W72" i="1"/>
  <c r="V72" i="1"/>
  <c r="AH72" i="1" s="1"/>
  <c r="S72" i="1"/>
  <c r="AB72" i="1" l="1"/>
  <c r="A72" i="1"/>
  <c r="AE72" i="1"/>
  <c r="AD72" i="1"/>
  <c r="Y72" i="1"/>
  <c r="AI5" i="1"/>
  <c r="AI6" i="1"/>
  <c r="AI8" i="1"/>
  <c r="AI10" i="1"/>
  <c r="AI12" i="1"/>
  <c r="AI14" i="1"/>
  <c r="AI17" i="1"/>
  <c r="AI19" i="1"/>
  <c r="AI21" i="1"/>
  <c r="AI23" i="1"/>
  <c r="AI25" i="1"/>
  <c r="AI31" i="1"/>
  <c r="AI33" i="1"/>
  <c r="AI34" i="1"/>
  <c r="AI35" i="1"/>
  <c r="AI36" i="1"/>
  <c r="AI37" i="1"/>
  <c r="AI69" i="1"/>
  <c r="AI39" i="1"/>
  <c r="AI40" i="1"/>
  <c r="AI41" i="1"/>
  <c r="AI42" i="1"/>
  <c r="AI43" i="1"/>
  <c r="AI44" i="1"/>
  <c r="AI45" i="1"/>
  <c r="AI48" i="1"/>
  <c r="AI49" i="1"/>
  <c r="AI50" i="1"/>
  <c r="AI51" i="1"/>
  <c r="AI52" i="1"/>
  <c r="AI54" i="1"/>
  <c r="AI55" i="1"/>
  <c r="AI56" i="1"/>
  <c r="AI57" i="1"/>
  <c r="AI125" i="1"/>
  <c r="AI59" i="1"/>
  <c r="AI61" i="1"/>
  <c r="AI62" i="1"/>
  <c r="AI63" i="1"/>
  <c r="AI64" i="1"/>
  <c r="AI65" i="1"/>
  <c r="AI66" i="1"/>
  <c r="AI67" i="1"/>
  <c r="AI68" i="1"/>
  <c r="AI38" i="1"/>
  <c r="AI70" i="1"/>
  <c r="AI71" i="1"/>
  <c r="AI75" i="1"/>
  <c r="AI76" i="1"/>
  <c r="AI90" i="1"/>
  <c r="AI91" i="1"/>
  <c r="AI88" i="1"/>
  <c r="AI89" i="1"/>
  <c r="AI7" i="1"/>
  <c r="AI9" i="1"/>
  <c r="AI11" i="1"/>
  <c r="AI13" i="1"/>
  <c r="AI15" i="1"/>
  <c r="AI18" i="1"/>
  <c r="AI20" i="1"/>
  <c r="AI22" i="1"/>
  <c r="AI24" i="1"/>
  <c r="AI26" i="1"/>
  <c r="AI58" i="1"/>
  <c r="AI16" i="1"/>
  <c r="AI119" i="1"/>
  <c r="AI120" i="1"/>
  <c r="AI121" i="1"/>
  <c r="AI122" i="1"/>
  <c r="AI123" i="1"/>
  <c r="AI124" i="1"/>
  <c r="AI93" i="1"/>
  <c r="AI94" i="1"/>
  <c r="AI95" i="1"/>
  <c r="AI92" i="1"/>
  <c r="AI97" i="1"/>
  <c r="AI98" i="1"/>
  <c r="AI99" i="1"/>
  <c r="AI96" i="1"/>
  <c r="AI101" i="1"/>
  <c r="AI102" i="1"/>
  <c r="AI103" i="1"/>
  <c r="AI100" i="1"/>
  <c r="AI105" i="1"/>
  <c r="AI106" i="1"/>
  <c r="AI107" i="1"/>
  <c r="AI104" i="1"/>
  <c r="AI109" i="1"/>
  <c r="AI110" i="1"/>
  <c r="AI111" i="1"/>
  <c r="AI108" i="1"/>
  <c r="AI112" i="1"/>
  <c r="AI113" i="1"/>
  <c r="AI114" i="1"/>
  <c r="AI115" i="1"/>
  <c r="AI116" i="1"/>
  <c r="AI117" i="1"/>
  <c r="AI118" i="1"/>
  <c r="AI4" i="1"/>
  <c r="S70" i="1"/>
  <c r="V70" i="1"/>
  <c r="AH70" i="1" s="1"/>
  <c r="W70" i="1"/>
  <c r="AA70" i="1"/>
  <c r="AB70" i="1" l="1"/>
  <c r="A70" i="1"/>
  <c r="AE70" i="1"/>
  <c r="AD70" i="1"/>
  <c r="Y70" i="1"/>
  <c r="S89" i="1"/>
  <c r="V89" i="1"/>
  <c r="AH89" i="1" s="1"/>
  <c r="W89" i="1"/>
  <c r="AA89" i="1"/>
  <c r="S114" i="1"/>
  <c r="AE114" i="1" s="1"/>
  <c r="AE89" i="1" l="1"/>
  <c r="AD89" i="1"/>
  <c r="Y89" i="1"/>
  <c r="AA38" i="1"/>
  <c r="W38" i="1"/>
  <c r="V38" i="1"/>
  <c r="AH38" i="1" s="1"/>
  <c r="S38" i="1"/>
  <c r="Z38" i="1" s="1"/>
  <c r="AA36" i="1"/>
  <c r="W36" i="1"/>
  <c r="V36" i="1"/>
  <c r="AH36" i="1" s="1"/>
  <c r="S36" i="1"/>
  <c r="Z36" i="1" s="1"/>
  <c r="AB36" i="1" l="1"/>
  <c r="A36" i="1"/>
  <c r="AB38" i="1"/>
  <c r="A38" i="1"/>
  <c r="AE38" i="1"/>
  <c r="AE36" i="1"/>
  <c r="AD38" i="1"/>
  <c r="AD36" i="1"/>
  <c r="Y38" i="1"/>
  <c r="Y36" i="1"/>
  <c r="S71" i="1"/>
  <c r="S68" i="1"/>
  <c r="V68" i="1"/>
  <c r="AH68" i="1" s="1"/>
  <c r="AB71" i="1" l="1"/>
  <c r="A71" i="1"/>
  <c r="AB68" i="1"/>
  <c r="A68" i="1"/>
  <c r="AE68" i="1"/>
  <c r="AE71" i="1"/>
  <c r="S97" i="1"/>
  <c r="A97" i="1" s="1"/>
  <c r="S101" i="1"/>
  <c r="A101" i="1" s="1"/>
  <c r="S93" i="1"/>
  <c r="A93" i="1" s="1"/>
  <c r="S105" i="1"/>
  <c r="A105" i="1" s="1"/>
  <c r="S110" i="1"/>
  <c r="A110" i="1" s="1"/>
  <c r="S98" i="1"/>
  <c r="A98" i="1" s="1"/>
  <c r="S102" i="1"/>
  <c r="A102" i="1" s="1"/>
  <c r="S94" i="1"/>
  <c r="A94" i="1" s="1"/>
  <c r="S106" i="1"/>
  <c r="A106" i="1" s="1"/>
  <c r="S111" i="1"/>
  <c r="A111" i="1" s="1"/>
  <c r="S99" i="1"/>
  <c r="A99" i="1" s="1"/>
  <c r="S103" i="1"/>
  <c r="A103" i="1" s="1"/>
  <c r="S95" i="1"/>
  <c r="A95" i="1" s="1"/>
  <c r="S107" i="1"/>
  <c r="A107" i="1" s="1"/>
  <c r="S108" i="1"/>
  <c r="A108" i="1" s="1"/>
  <c r="S96" i="1"/>
  <c r="A96" i="1" s="1"/>
  <c r="S100" i="1"/>
  <c r="A100" i="1" s="1"/>
  <c r="S92" i="1"/>
  <c r="A92" i="1" s="1"/>
  <c r="S104" i="1"/>
  <c r="A104" i="1" s="1"/>
  <c r="S109" i="1"/>
  <c r="A109" i="1" s="1"/>
  <c r="V71" i="1"/>
  <c r="AH71" i="1" s="1"/>
  <c r="W71" i="1"/>
  <c r="AA71" i="1"/>
  <c r="V114" i="1"/>
  <c r="AH114" i="1" s="1"/>
  <c r="W114" i="1"/>
  <c r="AA114" i="1"/>
  <c r="V119" i="1"/>
  <c r="W119" i="1"/>
  <c r="AA119" i="1"/>
  <c r="V120" i="1"/>
  <c r="W120" i="1"/>
  <c r="AA120" i="1"/>
  <c r="V121" i="1"/>
  <c r="W121" i="1"/>
  <c r="AA121" i="1"/>
  <c r="V122" i="1"/>
  <c r="W122" i="1"/>
  <c r="AA122" i="1"/>
  <c r="V123" i="1"/>
  <c r="W123" i="1"/>
  <c r="AA123" i="1"/>
  <c r="V124" i="1"/>
  <c r="W124" i="1"/>
  <c r="AA124" i="1"/>
  <c r="V109" i="1"/>
  <c r="W109" i="1"/>
  <c r="AA109" i="1"/>
  <c r="V97" i="1"/>
  <c r="W97" i="1"/>
  <c r="AA97" i="1"/>
  <c r="V101" i="1"/>
  <c r="W101" i="1"/>
  <c r="AA101" i="1"/>
  <c r="V93" i="1"/>
  <c r="W93" i="1"/>
  <c r="AA93" i="1"/>
  <c r="V105" i="1"/>
  <c r="W105" i="1"/>
  <c r="AA105" i="1"/>
  <c r="V110" i="1"/>
  <c r="W110" i="1"/>
  <c r="AA110" i="1"/>
  <c r="V98" i="1"/>
  <c r="W98" i="1"/>
  <c r="AA98" i="1"/>
  <c r="V102" i="1"/>
  <c r="W102" i="1"/>
  <c r="AA102" i="1"/>
  <c r="V94" i="1"/>
  <c r="W94" i="1"/>
  <c r="AA94" i="1"/>
  <c r="V106" i="1"/>
  <c r="W106" i="1"/>
  <c r="AA106" i="1"/>
  <c r="V111" i="1"/>
  <c r="W111" i="1"/>
  <c r="AA111" i="1"/>
  <c r="V99" i="1"/>
  <c r="W99" i="1"/>
  <c r="AA99" i="1"/>
  <c r="V103" i="1"/>
  <c r="W103" i="1"/>
  <c r="AA103" i="1"/>
  <c r="V95" i="1"/>
  <c r="W95" i="1"/>
  <c r="AA95" i="1"/>
  <c r="V107" i="1"/>
  <c r="W107" i="1"/>
  <c r="AA107" i="1"/>
  <c r="V108" i="1"/>
  <c r="W108" i="1"/>
  <c r="AA108" i="1"/>
  <c r="V96" i="1"/>
  <c r="W96" i="1"/>
  <c r="AA96" i="1"/>
  <c r="V100" i="1"/>
  <c r="W100" i="1"/>
  <c r="AA100" i="1"/>
  <c r="V92" i="1"/>
  <c r="W92" i="1"/>
  <c r="AA92" i="1"/>
  <c r="V104" i="1"/>
  <c r="W104" i="1"/>
  <c r="AA104" i="1"/>
  <c r="AD109" i="1" l="1"/>
  <c r="AD96" i="1"/>
  <c r="AD103" i="1"/>
  <c r="AD108" i="1"/>
  <c r="AD99" i="1"/>
  <c r="AD102" i="1"/>
  <c r="AD111" i="1"/>
  <c r="AD98" i="1"/>
  <c r="AD101" i="1"/>
  <c r="AD100" i="1"/>
  <c r="AD110" i="1"/>
  <c r="AD97" i="1"/>
  <c r="Y99" i="1"/>
  <c r="Y109" i="1"/>
  <c r="Y121" i="1"/>
  <c r="Y71" i="1"/>
  <c r="Y124" i="1"/>
  <c r="Y120" i="1"/>
  <c r="Y95" i="1"/>
  <c r="Y108" i="1"/>
  <c r="Y100" i="1"/>
  <c r="Y104" i="1"/>
  <c r="Y106" i="1"/>
  <c r="Y102" i="1"/>
  <c r="Y110" i="1"/>
  <c r="Y93" i="1"/>
  <c r="Y97" i="1"/>
  <c r="Y123" i="1"/>
  <c r="Y122" i="1"/>
  <c r="Y119" i="1"/>
  <c r="Y114" i="1"/>
  <c r="Y92" i="1"/>
  <c r="Y96" i="1"/>
  <c r="Y107" i="1"/>
  <c r="Y103" i="1"/>
  <c r="Y111" i="1"/>
  <c r="Y94" i="1"/>
  <c r="Y98" i="1"/>
  <c r="Y105" i="1"/>
  <c r="Y101" i="1"/>
  <c r="AA65" i="1"/>
  <c r="W65" i="1"/>
  <c r="V65" i="1"/>
  <c r="AH65" i="1" s="1"/>
  <c r="S65" i="1"/>
  <c r="AB65" i="1" l="1"/>
  <c r="A65" i="1"/>
  <c r="AE65" i="1"/>
  <c r="AD65" i="1"/>
  <c r="Y65" i="1"/>
  <c r="S88" i="1" l="1"/>
  <c r="V88" i="1"/>
  <c r="AH88" i="1" s="1"/>
  <c r="W88" i="1"/>
  <c r="AA88" i="1"/>
  <c r="S113" i="1"/>
  <c r="AE113" i="1" s="1"/>
  <c r="V113" i="1"/>
  <c r="AH113" i="1" s="1"/>
  <c r="W113" i="1"/>
  <c r="AA113" i="1"/>
  <c r="S116" i="1"/>
  <c r="AE116" i="1" s="1"/>
  <c r="V116" i="1"/>
  <c r="AH116" i="1" s="1"/>
  <c r="W116" i="1"/>
  <c r="AA116" i="1"/>
  <c r="S115" i="1"/>
  <c r="AE115" i="1" s="1"/>
  <c r="V115" i="1"/>
  <c r="AH115" i="1" s="1"/>
  <c r="W115" i="1"/>
  <c r="AA115" i="1"/>
  <c r="S118" i="1"/>
  <c r="AE118" i="1" s="1"/>
  <c r="V118" i="1"/>
  <c r="AH118" i="1" s="1"/>
  <c r="W118" i="1"/>
  <c r="AA118" i="1"/>
  <c r="S117" i="1"/>
  <c r="AE117" i="1" s="1"/>
  <c r="V117" i="1"/>
  <c r="AH117" i="1" s="1"/>
  <c r="W117" i="1"/>
  <c r="AA117" i="1"/>
  <c r="S112" i="1"/>
  <c r="AE112" i="1" s="1"/>
  <c r="V112" i="1"/>
  <c r="AH112" i="1" s="1"/>
  <c r="W112" i="1"/>
  <c r="AA112" i="1"/>
  <c r="W68" i="1"/>
  <c r="AA68" i="1"/>
  <c r="Z88" i="1" l="1"/>
  <c r="A88" i="1"/>
  <c r="AE88" i="1"/>
  <c r="AB88" i="1"/>
  <c r="AD88" i="1"/>
  <c r="Y112" i="1"/>
  <c r="Y116" i="1"/>
  <c r="Y118" i="1"/>
  <c r="Y88" i="1"/>
  <c r="Y68" i="1"/>
  <c r="Y115" i="1"/>
  <c r="Y117" i="1"/>
  <c r="Y113" i="1"/>
  <c r="AE1" i="1"/>
  <c r="AF1" i="1"/>
  <c r="AG1" i="1"/>
  <c r="S8" i="1" l="1"/>
  <c r="A8" i="1" s="1"/>
  <c r="S10" i="1"/>
  <c r="A10" i="1" s="1"/>
  <c r="S12" i="1"/>
  <c r="A12" i="1" s="1"/>
  <c r="S14" i="1"/>
  <c r="A14" i="1" s="1"/>
  <c r="S17" i="1"/>
  <c r="A17" i="1" s="1"/>
  <c r="S19" i="1"/>
  <c r="A19" i="1" s="1"/>
  <c r="S21" i="1"/>
  <c r="A21" i="1" s="1"/>
  <c r="S23" i="1"/>
  <c r="A23" i="1" s="1"/>
  <c r="S6" i="1"/>
  <c r="A6" i="1" s="1"/>
  <c r="S57" i="1"/>
  <c r="S90" i="1"/>
  <c r="S24" i="1"/>
  <c r="S48" i="1"/>
  <c r="S15" i="1"/>
  <c r="S13" i="1"/>
  <c r="S7" i="1"/>
  <c r="S9" i="1"/>
  <c r="S11" i="1"/>
  <c r="S18" i="1"/>
  <c r="S20" i="1"/>
  <c r="S26" i="1"/>
  <c r="S22" i="1"/>
  <c r="S51" i="1"/>
  <c r="S34" i="1"/>
  <c r="S50" i="1"/>
  <c r="S16" i="1"/>
  <c r="A16" i="1" s="1"/>
  <c r="S58" i="1"/>
  <c r="S41" i="1"/>
  <c r="S52" i="1"/>
  <c r="S66" i="1"/>
  <c r="A66" i="1" s="1"/>
  <c r="S67" i="1"/>
  <c r="A67" i="1" s="1"/>
  <c r="S33" i="1"/>
  <c r="S59" i="1"/>
  <c r="S125" i="1"/>
  <c r="S44" i="1"/>
  <c r="S39" i="1"/>
  <c r="S69" i="1"/>
  <c r="S75" i="1"/>
  <c r="A75" i="1" s="1"/>
  <c r="S76" i="1"/>
  <c r="A76" i="1" s="1"/>
  <c r="S64" i="1"/>
  <c r="S35" i="1"/>
  <c r="S61" i="1"/>
  <c r="S62" i="1"/>
  <c r="S56" i="1"/>
  <c r="S45" i="1"/>
  <c r="S37" i="1"/>
  <c r="S40" i="1"/>
  <c r="S55" i="1"/>
  <c r="S54" i="1"/>
  <c r="S4" i="1"/>
  <c r="S5" i="1"/>
  <c r="S42" i="1"/>
  <c r="S31" i="1"/>
  <c r="S49" i="1"/>
  <c r="AD49" i="1" s="1"/>
  <c r="S43" i="1"/>
  <c r="S63" i="1"/>
  <c r="S25" i="1"/>
  <c r="A25" i="1" s="1"/>
  <c r="S91" i="1"/>
  <c r="A58" i="1" l="1"/>
  <c r="AB58" i="1"/>
  <c r="AE58" i="1"/>
  <c r="AD58" i="1"/>
  <c r="AB37" i="1"/>
  <c r="A37" i="1"/>
  <c r="AB61" i="1"/>
  <c r="A61" i="1"/>
  <c r="A32" i="1"/>
  <c r="AB52" i="1"/>
  <c r="A52" i="1"/>
  <c r="AB50" i="1"/>
  <c r="A50" i="1"/>
  <c r="AB48" i="1"/>
  <c r="A48" i="1"/>
  <c r="AB31" i="1"/>
  <c r="A31" i="1"/>
  <c r="AB54" i="1"/>
  <c r="A54" i="1"/>
  <c r="AB45" i="1"/>
  <c r="A45" i="1"/>
  <c r="AB35" i="1"/>
  <c r="A35" i="1"/>
  <c r="AB69" i="1"/>
  <c r="A69" i="1"/>
  <c r="AB125" i="1"/>
  <c r="A125" i="1"/>
  <c r="AB33" i="1"/>
  <c r="A33" i="1"/>
  <c r="AB41" i="1"/>
  <c r="A41" i="1"/>
  <c r="AB34" i="1"/>
  <c r="A34" i="1"/>
  <c r="AB49" i="1"/>
  <c r="A49" i="1"/>
  <c r="AB63" i="1"/>
  <c r="A63" i="1"/>
  <c r="AB55" i="1"/>
  <c r="A55" i="1"/>
  <c r="AB56" i="1"/>
  <c r="A56" i="1"/>
  <c r="AB64" i="1"/>
  <c r="A64" i="1"/>
  <c r="AB39" i="1"/>
  <c r="A39" i="1"/>
  <c r="A60" i="1"/>
  <c r="AB51" i="1"/>
  <c r="A51" i="1"/>
  <c r="AB43" i="1"/>
  <c r="A43" i="1"/>
  <c r="AB40" i="1"/>
  <c r="A40" i="1"/>
  <c r="AB62" i="1"/>
  <c r="A62" i="1"/>
  <c r="AB44" i="1"/>
  <c r="A44" i="1"/>
  <c r="A53" i="1"/>
  <c r="AB57" i="1"/>
  <c r="A57" i="1"/>
  <c r="AE43" i="1"/>
  <c r="AE31" i="1"/>
  <c r="AE41" i="1"/>
  <c r="AE51" i="1"/>
  <c r="AE40" i="1"/>
  <c r="AE49" i="1"/>
  <c r="AE52" i="1"/>
  <c r="AE64" i="1"/>
  <c r="AE62" i="1"/>
  <c r="AE61" i="1"/>
  <c r="AE125" i="1"/>
  <c r="AE56" i="1"/>
  <c r="AE55" i="1"/>
  <c r="AE54" i="1"/>
  <c r="AE45" i="1"/>
  <c r="AE44" i="1"/>
  <c r="AE39" i="1"/>
  <c r="AE69" i="1"/>
  <c r="AE37" i="1"/>
  <c r="AE34" i="1"/>
  <c r="AE35" i="1"/>
  <c r="AE33" i="1"/>
  <c r="AE48" i="1"/>
  <c r="AE63" i="1"/>
  <c r="AE50" i="1"/>
  <c r="AE57" i="1"/>
  <c r="V12" i="1"/>
  <c r="W12" i="1"/>
  <c r="AA12" i="1"/>
  <c r="V14" i="1"/>
  <c r="W14" i="1"/>
  <c r="AA14" i="1"/>
  <c r="V17" i="1"/>
  <c r="W17" i="1"/>
  <c r="AA17" i="1"/>
  <c r="V19" i="1"/>
  <c r="W19" i="1"/>
  <c r="AA19" i="1"/>
  <c r="V21" i="1"/>
  <c r="W21" i="1"/>
  <c r="AA21" i="1"/>
  <c r="V23" i="1"/>
  <c r="W23" i="1"/>
  <c r="AA23" i="1"/>
  <c r="V25" i="1"/>
  <c r="W25" i="1"/>
  <c r="AA25" i="1"/>
  <c r="M8" i="1"/>
  <c r="M10" i="1"/>
  <c r="M12" i="1"/>
  <c r="M14" i="1"/>
  <c r="M17" i="1"/>
  <c r="M19" i="1"/>
  <c r="M21" i="1"/>
  <c r="M23" i="1"/>
  <c r="M25" i="1"/>
  <c r="AA6" i="1"/>
  <c r="W6" i="1"/>
  <c r="V6" i="1"/>
  <c r="M6" i="1"/>
  <c r="Y23" i="1" l="1"/>
  <c r="Y17" i="1"/>
  <c r="Y12" i="1"/>
  <c r="Y6" i="1"/>
  <c r="Y19" i="1"/>
  <c r="Y14" i="1"/>
  <c r="Y25" i="1"/>
  <c r="Y21" i="1"/>
  <c r="V8" i="1"/>
  <c r="W8" i="1"/>
  <c r="AA8" i="1"/>
  <c r="Y8" i="1" l="1"/>
  <c r="V44" i="1"/>
  <c r="AH44" i="1" s="1"/>
  <c r="W44" i="1"/>
  <c r="AD44" i="1"/>
  <c r="AA44" i="1"/>
  <c r="V45" i="1"/>
  <c r="AH45" i="1" s="1"/>
  <c r="W45" i="1"/>
  <c r="AD45" i="1"/>
  <c r="AA45" i="1"/>
  <c r="Y44" i="1" l="1"/>
  <c r="Y45" i="1"/>
  <c r="V5" i="1" l="1"/>
  <c r="W5" i="1"/>
  <c r="AA5" i="1"/>
  <c r="V7" i="1"/>
  <c r="W7" i="1"/>
  <c r="AA7" i="1"/>
  <c r="V9" i="1"/>
  <c r="W9" i="1"/>
  <c r="AA9" i="1"/>
  <c r="V58" i="1"/>
  <c r="AH58" i="1" s="1"/>
  <c r="W58" i="1"/>
  <c r="AA58" i="1"/>
  <c r="V11" i="1"/>
  <c r="W11" i="1"/>
  <c r="AA11" i="1"/>
  <c r="V13" i="1"/>
  <c r="W13" i="1"/>
  <c r="AA13" i="1"/>
  <c r="V15" i="1"/>
  <c r="W15" i="1"/>
  <c r="AA15" i="1"/>
  <c r="V18" i="1"/>
  <c r="W18" i="1"/>
  <c r="AA18" i="1"/>
  <c r="V20" i="1"/>
  <c r="W20" i="1"/>
  <c r="AA20" i="1"/>
  <c r="V22" i="1"/>
  <c r="W22" i="1"/>
  <c r="AA22" i="1"/>
  <c r="V24" i="1"/>
  <c r="W24" i="1"/>
  <c r="AA24" i="1"/>
  <c r="V26" i="1"/>
  <c r="W26" i="1"/>
  <c r="AA26" i="1"/>
  <c r="V16" i="1"/>
  <c r="W16" i="1"/>
  <c r="AA16" i="1"/>
  <c r="V31" i="1"/>
  <c r="W31" i="1"/>
  <c r="AD31" i="1"/>
  <c r="AA31" i="1"/>
  <c r="V33" i="1"/>
  <c r="W33" i="1"/>
  <c r="AD33" i="1"/>
  <c r="AA33" i="1"/>
  <c r="V34" i="1"/>
  <c r="W34" i="1"/>
  <c r="AD34" i="1"/>
  <c r="AA34" i="1"/>
  <c r="V35" i="1"/>
  <c r="W35" i="1"/>
  <c r="AD35" i="1"/>
  <c r="AA35" i="1"/>
  <c r="V37" i="1"/>
  <c r="W37" i="1"/>
  <c r="AD37" i="1"/>
  <c r="AA37" i="1"/>
  <c r="V69" i="1"/>
  <c r="W69" i="1"/>
  <c r="AD69" i="1"/>
  <c r="AA69" i="1"/>
  <c r="V39" i="1"/>
  <c r="W39" i="1"/>
  <c r="AD39" i="1"/>
  <c r="AA39" i="1"/>
  <c r="V40" i="1"/>
  <c r="W40" i="1"/>
  <c r="AD40" i="1"/>
  <c r="AA40" i="1"/>
  <c r="V41" i="1"/>
  <c r="W41" i="1"/>
  <c r="AD41" i="1"/>
  <c r="AA41" i="1"/>
  <c r="V42" i="1"/>
  <c r="W42" i="1"/>
  <c r="AA42" i="1"/>
  <c r="V43" i="1"/>
  <c r="W43" i="1"/>
  <c r="AD43" i="1"/>
  <c r="AA43" i="1"/>
  <c r="V48" i="1"/>
  <c r="W48" i="1"/>
  <c r="AD48" i="1"/>
  <c r="AA48" i="1"/>
  <c r="V49" i="1"/>
  <c r="Z49" i="1" s="1"/>
  <c r="W49" i="1"/>
  <c r="AA49" i="1"/>
  <c r="V50" i="1"/>
  <c r="W50" i="1"/>
  <c r="AD50" i="1"/>
  <c r="AA50" i="1"/>
  <c r="V51" i="1"/>
  <c r="W51" i="1"/>
  <c r="AD51" i="1"/>
  <c r="AA51" i="1"/>
  <c r="V52" i="1"/>
  <c r="W52" i="1"/>
  <c r="AD52" i="1"/>
  <c r="AA52" i="1"/>
  <c r="V54" i="1"/>
  <c r="W54" i="1"/>
  <c r="AD54" i="1"/>
  <c r="AA54" i="1"/>
  <c r="V55" i="1"/>
  <c r="W55" i="1"/>
  <c r="AD55" i="1"/>
  <c r="AA55" i="1"/>
  <c r="V56" i="1"/>
  <c r="W56" i="1"/>
  <c r="AD56" i="1"/>
  <c r="AA56" i="1"/>
  <c r="V57" i="1"/>
  <c r="W57" i="1"/>
  <c r="AA57" i="1"/>
  <c r="V125" i="1"/>
  <c r="Z125" i="1" s="1"/>
  <c r="W125" i="1"/>
  <c r="AD125" i="1"/>
  <c r="AA125" i="1"/>
  <c r="V59" i="1"/>
  <c r="W59" i="1"/>
  <c r="AA59" i="1"/>
  <c r="V61" i="1"/>
  <c r="W61" i="1"/>
  <c r="AD61" i="1"/>
  <c r="AA61" i="1"/>
  <c r="V62" i="1"/>
  <c r="W62" i="1"/>
  <c r="AD62" i="1"/>
  <c r="AA62" i="1"/>
  <c r="V63" i="1"/>
  <c r="W63" i="1"/>
  <c r="AD63" i="1"/>
  <c r="AA63" i="1"/>
  <c r="V64" i="1"/>
  <c r="W64" i="1"/>
  <c r="AD64" i="1"/>
  <c r="AA64" i="1"/>
  <c r="V66" i="1"/>
  <c r="W66" i="1"/>
  <c r="AA66" i="1"/>
  <c r="V67" i="1"/>
  <c r="W67" i="1"/>
  <c r="AA67" i="1"/>
  <c r="V75" i="1"/>
  <c r="W75" i="1"/>
  <c r="AA75" i="1"/>
  <c r="V76" i="1"/>
  <c r="W76" i="1"/>
  <c r="AA76" i="1"/>
  <c r="V90" i="1"/>
  <c r="W90" i="1"/>
  <c r="AA90" i="1"/>
  <c r="V91" i="1"/>
  <c r="W91" i="1"/>
  <c r="AA91" i="1"/>
  <c r="V10" i="1"/>
  <c r="W10" i="1"/>
  <c r="AA10" i="1"/>
  <c r="Z64" i="1" l="1"/>
  <c r="Z63" i="1"/>
  <c r="Z62" i="1"/>
  <c r="Z61" i="1"/>
  <c r="Z41" i="1"/>
  <c r="Z40" i="1"/>
  <c r="Z39" i="1"/>
  <c r="Z69" i="1"/>
  <c r="Z37" i="1"/>
  <c r="Z35" i="1"/>
  <c r="Z34" i="1"/>
  <c r="Z33" i="1"/>
  <c r="Z31" i="1"/>
  <c r="Z48" i="1"/>
  <c r="Z43" i="1"/>
  <c r="Z57" i="1"/>
  <c r="Z56" i="1"/>
  <c r="Z55" i="1"/>
  <c r="Z54" i="1"/>
  <c r="Z52" i="1"/>
  <c r="Z51" i="1"/>
  <c r="Z50" i="1"/>
  <c r="AH49" i="1"/>
  <c r="AH43" i="1"/>
  <c r="AH125" i="1"/>
  <c r="AH64" i="1"/>
  <c r="AH63" i="1"/>
  <c r="AH62" i="1"/>
  <c r="AH61" i="1"/>
  <c r="AH41" i="1"/>
  <c r="AH40" i="1"/>
  <c r="AH39" i="1"/>
  <c r="AH69" i="1"/>
  <c r="AH37" i="1"/>
  <c r="AH35" i="1"/>
  <c r="AH34" i="1"/>
  <c r="AH33" i="1"/>
  <c r="AH31" i="1"/>
  <c r="AH48" i="1"/>
  <c r="AH57" i="1"/>
  <c r="AH56" i="1"/>
  <c r="AH55" i="1"/>
  <c r="AH54" i="1"/>
  <c r="AH52" i="1"/>
  <c r="AH51" i="1"/>
  <c r="AH50" i="1"/>
  <c r="Y90" i="1"/>
  <c r="Y67" i="1"/>
  <c r="Y61" i="1"/>
  <c r="Y57" i="1"/>
  <c r="Y56" i="1"/>
  <c r="Y49" i="1"/>
  <c r="Y48" i="1"/>
  <c r="Y37" i="1"/>
  <c r="Y35" i="1"/>
  <c r="Y18" i="1"/>
  <c r="Y58" i="1"/>
  <c r="Y10" i="1"/>
  <c r="Y76" i="1"/>
  <c r="Y66" i="1"/>
  <c r="Y54" i="1"/>
  <c r="Y64" i="1"/>
  <c r="Y55" i="1"/>
  <c r="Y43" i="1"/>
  <c r="Y42" i="1"/>
  <c r="Y34" i="1"/>
  <c r="Y33" i="1"/>
  <c r="Y15" i="1"/>
  <c r="Y9" i="1"/>
  <c r="Y75" i="1"/>
  <c r="Y63" i="1"/>
  <c r="Y59" i="1"/>
  <c r="Y52" i="1"/>
  <c r="Y41" i="1"/>
  <c r="Y40" i="1"/>
  <c r="Y31" i="1"/>
  <c r="Y13" i="1"/>
  <c r="Y7" i="1"/>
  <c r="Y91" i="1"/>
  <c r="Y62" i="1"/>
  <c r="Y125" i="1"/>
  <c r="Y51" i="1"/>
  <c r="Y50" i="1"/>
  <c r="Y39" i="1"/>
  <c r="Y69" i="1"/>
  <c r="Y16" i="1"/>
  <c r="Y26" i="1"/>
  <c r="Y24" i="1"/>
  <c r="Y22" i="1"/>
  <c r="Y20" i="1"/>
  <c r="Y11" i="1"/>
  <c r="Y5" i="1"/>
  <c r="V4" i="1"/>
  <c r="W4" i="1"/>
  <c r="W3" i="1"/>
  <c r="V3" i="1"/>
  <c r="M9" i="1"/>
  <c r="M11" i="1"/>
  <c r="M13" i="1"/>
  <c r="M15" i="1"/>
  <c r="M18" i="1"/>
  <c r="M20" i="1"/>
  <c r="M22" i="1"/>
  <c r="M24" i="1"/>
  <c r="M26" i="1"/>
  <c r="M7" i="1"/>
  <c r="B5" i="2"/>
  <c r="D3" i="2"/>
  <c r="O49" i="1"/>
  <c r="O43" i="1"/>
  <c r="O41" i="1"/>
  <c r="AA4" i="1"/>
  <c r="H20" i="4"/>
  <c r="H21" i="4"/>
  <c r="H22" i="4"/>
  <c r="H19" i="4"/>
  <c r="I22" i="4"/>
  <c r="I21" i="4"/>
  <c r="I20" i="4"/>
  <c r="I19" i="4"/>
  <c r="E8" i="4"/>
  <c r="H8" i="4"/>
  <c r="I8" i="4"/>
  <c r="H9" i="4"/>
  <c r="I9" i="4"/>
  <c r="E10" i="4"/>
  <c r="I10" i="4"/>
  <c r="H10" i="4"/>
  <c r="H11" i="4"/>
  <c r="I11" i="4"/>
  <c r="D17" i="3"/>
  <c r="D18" i="3"/>
  <c r="Y4" i="1" l="1"/>
</calcChain>
</file>

<file path=xl/comments1.xml><?xml version="1.0" encoding="utf-8"?>
<comments xmlns="http://schemas.openxmlformats.org/spreadsheetml/2006/main">
  <authors>
    <author>afsharn</author>
  </authors>
  <commentList>
    <comment ref="C3" authorId="0">
      <text>
        <r>
          <rPr>
            <b/>
            <sz val="9"/>
            <color indexed="81"/>
            <rFont val="Tahoma"/>
            <family val="2"/>
          </rPr>
          <t>afsharn:</t>
        </r>
        <r>
          <rPr>
            <sz val="9"/>
            <color indexed="81"/>
            <rFont val="Tahoma"/>
            <family val="2"/>
          </rPr>
          <t xml:space="preserve">
pmac internal</t>
        </r>
      </text>
    </comment>
  </commentList>
</comments>
</file>

<file path=xl/sharedStrings.xml><?xml version="1.0" encoding="utf-8"?>
<sst xmlns="http://schemas.openxmlformats.org/spreadsheetml/2006/main" count="2168" uniqueCount="644">
  <si>
    <t>RaScan</t>
  </si>
  <si>
    <t>Module</t>
  </si>
  <si>
    <t>Definition</t>
  </si>
  <si>
    <t>Controller governed X-Y PassCan</t>
  </si>
  <si>
    <t>Kinematic definitions</t>
  </si>
  <si>
    <t>Function</t>
  </si>
  <si>
    <t>PMAC</t>
  </si>
  <si>
    <t>Definied</t>
  </si>
  <si>
    <t>m1</t>
  </si>
  <si>
    <t>m2</t>
  </si>
  <si>
    <t>m3</t>
  </si>
  <si>
    <t>m4</t>
  </si>
  <si>
    <t>X</t>
  </si>
  <si>
    <t>Y</t>
  </si>
  <si>
    <t>BACKWARD multiplier</t>
  </si>
  <si>
    <t>k_Yth</t>
  </si>
  <si>
    <t>Deg</t>
  </si>
  <si>
    <t>T_X_Gear</t>
  </si>
  <si>
    <t>Deg/mm</t>
  </si>
  <si>
    <t>Pos FORWARD</t>
  </si>
  <si>
    <t>Pos INVERSE</t>
  </si>
  <si>
    <t>10000*YY</t>
  </si>
  <si>
    <t>XX*-sin(Yth)</t>
  </si>
  <si>
    <t>XX*cos(Yth)+YY</t>
  </si>
  <si>
    <t>Epics/Tango control variable mappings</t>
  </si>
  <si>
    <t>RSCN</t>
  </si>
  <si>
    <t>Epics</t>
  </si>
  <si>
    <t>Description</t>
  </si>
  <si>
    <t>Flags</t>
  </si>
  <si>
    <t>Units</t>
  </si>
  <si>
    <t>enum</t>
  </si>
  <si>
    <t>min</t>
  </si>
  <si>
    <t>max</t>
  </si>
  <si>
    <t>prec</t>
  </si>
  <si>
    <t>EPICS Template</t>
  </si>
  <si>
    <t>EPICS DB</t>
  </si>
  <si>
    <t>EPICS Format</t>
  </si>
  <si>
    <t>pmac Code</t>
  </si>
  <si>
    <t>#define</t>
  </si>
  <si>
    <t>p</t>
  </si>
  <si>
    <t>Active CS number on pmac</t>
  </si>
  <si>
    <t>int</t>
  </si>
  <si>
    <t>gs</t>
  </si>
  <si>
    <t>real</t>
  </si>
  <si>
    <t>X-Z scan angle</t>
  </si>
  <si>
    <t>deg</t>
  </si>
  <si>
    <t>g</t>
  </si>
  <si>
    <t>SkipScan fault code</t>
  </si>
  <si>
    <t>Pmac internal variable</t>
  </si>
  <si>
    <t>Xd1</t>
  </si>
  <si>
    <t>Num_Formats</t>
  </si>
  <si>
    <t>EPICS_Formats</t>
  </si>
  <si>
    <t>Max pmac integer</t>
  </si>
  <si>
    <t>%s</t>
  </si>
  <si>
    <t>%d</t>
  </si>
  <si>
    <t>none</t>
  </si>
  <si>
    <t>%f</t>
  </si>
  <si>
    <t>string</t>
  </si>
  <si>
    <t>Default</t>
  </si>
  <si>
    <t>P2090</t>
  </si>
  <si>
    <t>Running scan</t>
  </si>
  <si>
    <t>Moving to begin position to start scan</t>
  </si>
  <si>
    <t>CanGet</t>
  </si>
  <si>
    <t>CanSet</t>
  </si>
  <si>
    <t>UI_Entry</t>
  </si>
  <si>
    <t>&lt;item row="~ROW" column="1"&gt;
            &lt;widget class="QELabel" name="QL_~VAR"&gt;
             &lt;property name="variable" stdset="0"&gt;
              &lt;string&gt;"SR99ID01FST01:~PVNAME:SYNC"&lt;/string&gt;
             &lt;/property&gt;
            &lt;/widget&gt;
           &lt;/item&gt;</t>
  </si>
  <si>
    <t>&lt;item row="~ROW" column="2"&gt;
            &lt;widget class="QELineEdit" name="QLD_~VAR"&gt;
             &lt;property name="variable" stdset="0"&gt;
              &lt;string&gt;"SR99ID01FST01:~PVNAME"&lt;/string&gt;
             &lt;/property&gt;
            &lt;/widget&gt;
           &lt;/item&gt;</t>
  </si>
  <si>
    <t>&lt;item row="~ROW" column="0"&gt;
            &lt;widget class="QLabel" name="L_~VAR"&gt;
             &lt;property name="sizePolicy"&gt;
              &lt;sizepolicy hsizetype="MinimumExpanding" vsizetype="Preferred"&gt;
               &lt;horstretch&gt;0&lt;/horstretch&gt;
               &lt;verstretch&gt;0&lt;/verstretch&gt;
              &lt;/sizepolicy&gt;
             &lt;/property&gt;
             &lt;property name="minimumSize"&gt;
              &lt;size&gt;
               &lt;width&gt;88&lt;/width&gt;
               &lt;height&gt;8&lt;/height&gt;
              &lt;/size&gt;
             &lt;/property&gt;
             &lt;property name="text"&gt;
              &lt;string&gt;~NAME&lt;/string&gt;
             &lt;/property&gt;
            &lt;/widget&gt;
           &lt;/item&gt;</t>
  </si>
  <si>
    <t>mbbi</t>
  </si>
  <si>
    <t>ST_NEVER</t>
  </si>
  <si>
    <t>;;;</t>
  </si>
  <si>
    <t>LoadSavepcf</t>
  </si>
  <si>
    <t>No Fault</t>
  </si>
  <si>
    <t>s</t>
  </si>
  <si>
    <t>;;Free</t>
  </si>
  <si>
    <t>Display Order</t>
  </si>
  <si>
    <t>SLSA MC Development &amp; Configuration tool for TurboPMAC by Nader.Afshar@synchrotron.org.au</t>
  </si>
  <si>
    <t>;Header</t>
  </si>
  <si>
    <t>Auto generated pmac definition script</t>
  </si>
  <si>
    <t>P2000</t>
  </si>
  <si>
    <t>P2001</t>
  </si>
  <si>
    <t>P2002</t>
  </si>
  <si>
    <t>P2003</t>
  </si>
  <si>
    <t>P2004</t>
  </si>
  <si>
    <t>P2006</t>
  </si>
  <si>
    <t>P2007</t>
  </si>
  <si>
    <t>P2008</t>
  </si>
  <si>
    <t>P2009</t>
  </si>
  <si>
    <t>P2010</t>
  </si>
  <si>
    <t>P2011</t>
  </si>
  <si>
    <t>P2012</t>
  </si>
  <si>
    <t>P2013</t>
  </si>
  <si>
    <t>P2014</t>
  </si>
  <si>
    <t>P2040</t>
  </si>
  <si>
    <t>P2041</t>
  </si>
  <si>
    <t>P2042</t>
  </si>
  <si>
    <t>P2043</t>
  </si>
  <si>
    <t>P2044</t>
  </si>
  <si>
    <t>P2045</t>
  </si>
  <si>
    <t>P2046</t>
  </si>
  <si>
    <t>P2047</t>
  </si>
  <si>
    <t>P2048</t>
  </si>
  <si>
    <t>P2049</t>
  </si>
  <si>
    <t>P2050</t>
  </si>
  <si>
    <t>P2051</t>
  </si>
  <si>
    <t>P2052</t>
  </si>
  <si>
    <t>P2053</t>
  </si>
  <si>
    <t>P2054</t>
  </si>
  <si>
    <t>P2055</t>
  </si>
  <si>
    <t>P2056</t>
  </si>
  <si>
    <t>P2058</t>
  </si>
  <si>
    <t>P2059</t>
  </si>
  <si>
    <t>P2061</t>
  </si>
  <si>
    <t>P2063</t>
  </si>
  <si>
    <t>P2068</t>
  </si>
  <si>
    <t>P2069</t>
  </si>
  <si>
    <t>rscn program terminated via CTRL</t>
  </si>
  <si>
    <t>Changed</t>
  </si>
  <si>
    <t>Compiled and moved into position to start scan</t>
  </si>
  <si>
    <t>Standby, waiting for user setup</t>
  </si>
  <si>
    <t>Compiling scan</t>
  </si>
  <si>
    <t>Tomo-X scan gear ratio</t>
  </si>
  <si>
    <t>expand("pmacRascanGSVar.vdb", GSVar~VAR) {
  macro(VAR, "~VAR")
  macro(EGU, "~EGU")
  macro(P, "$(P)")
  macro(Q, ":~PVNAME")
  macro(PORT, "$(PORT)")
  macro(CanGet, "~CANGET")
  macro(CanSet, "~CANSET")
  macro(PREC, "$(PREC=~PREC)")
  macro(DESC,"~DESC")
}</t>
  </si>
  <si>
    <t>cs_Active</t>
  </si>
  <si>
    <t>PV Name LENGTH</t>
  </si>
  <si>
    <t>DESC LENGTH</t>
  </si>
  <si>
    <t>GETPV LEN</t>
  </si>
  <si>
    <t>SETPV LEN</t>
  </si>
  <si>
    <t>e</t>
  </si>
  <si>
    <t>st_Never</t>
  </si>
  <si>
    <t>st_CSSetup</t>
  </si>
  <si>
    <t>st_Always</t>
  </si>
  <si>
    <t>State: coordinate system setup</t>
  </si>
  <si>
    <t>st_TrajSet</t>
  </si>
  <si>
    <t>st_Monitor</t>
  </si>
  <si>
    <t>st_InProg</t>
  </si>
  <si>
    <t>ST_INPROG</t>
  </si>
  <si>
    <t>ST_TRAJSET</t>
  </si>
  <si>
    <t>ST_MONITOR</t>
  </si>
  <si>
    <t>State: MONITOR</t>
  </si>
  <si>
    <t>Scan control word</t>
  </si>
  <si>
    <t>Scan state word</t>
  </si>
  <si>
    <t>outer-skip move time</t>
  </si>
  <si>
    <t>Scanline total time including inner-skip</t>
  </si>
  <si>
    <t>inner-skip move time</t>
  </si>
  <si>
    <t>ST_CSSETUP</t>
  </si>
  <si>
    <t>ST_ALWAYS</t>
  </si>
  <si>
    <t>P2057</t>
  </si>
  <si>
    <t>Archiver</t>
  </si>
  <si>
    <t xml:space="preserve">      &lt;channel&gt;
         &lt;name&gt;~PREFIX~PVNAME&lt;/name&gt;
         &lt;period&gt;~PERIOD&lt;/period&gt;
         &lt;monitor/&gt;
      &lt;/channel&gt;</t>
  </si>
  <si>
    <t>OFF</t>
  </si>
  <si>
    <t>DIR</t>
  </si>
  <si>
    <t>MRES</t>
  </si>
  <si>
    <t>P2060</t>
  </si>
  <si>
    <t>Number of subsegments</t>
  </si>
  <si>
    <t>subsegment counter</t>
  </si>
  <si>
    <t>P2005</t>
  </si>
  <si>
    <t>ST_GLOBAL</t>
  </si>
  <si>
    <t>st_Global</t>
  </si>
  <si>
    <t>cs_Status</t>
  </si>
  <si>
    <t>P2091</t>
  </si>
  <si>
    <t>CS status for active CS number on pmac (CSSTRS)</t>
  </si>
  <si>
    <t>P2062</t>
  </si>
  <si>
    <t>Sort</t>
  </si>
  <si>
    <t>x</t>
  </si>
  <si>
    <t>;</t>
  </si>
  <si>
    <t>P2064</t>
  </si>
  <si>
    <t>P2065</t>
  </si>
  <si>
    <t>P2066</t>
  </si>
  <si>
    <t>EGU</t>
  </si>
  <si>
    <t>EGU/s2</t>
  </si>
  <si>
    <t>EGU/s</t>
  </si>
  <si>
    <t>SR05ID01FST01:</t>
  </si>
  <si>
    <t>ArchiverPeriod</t>
  </si>
  <si>
    <t>deg/mm</t>
  </si>
  <si>
    <t>Edge-skip move time</t>
  </si>
  <si>
    <t>P2072</t>
  </si>
  <si>
    <t>P2073</t>
  </si>
  <si>
    <t xml:space="preserve">Key                                 </t>
  </si>
  <si>
    <t xml:space="preserve">Type  </t>
  </si>
  <si>
    <t xml:space="preserve">Value                 </t>
  </si>
  <si>
    <t xml:space="preserve">Default value         </t>
  </si>
  <si>
    <t xml:space="preserve">Name                   </t>
  </si>
  <si>
    <t xml:space="preserve">    Min</t>
  </si>
  <si>
    <t xml:space="preserve">         Max</t>
  </si>
  <si>
    <t xml:space="preserve">   Inc</t>
  </si>
  <si>
    <t xml:space="preserve">Units  </t>
  </si>
  <si>
    <t>Access</t>
  </si>
  <si>
    <t>Source</t>
  </si>
  <si>
    <t>Options</t>
  </si>
  <si>
    <t xml:space="preserve">afe.attn                            </t>
  </si>
  <si>
    <t>option</t>
  </si>
  <si>
    <t xml:space="preserve">-6dB                  </t>
  </si>
  <si>
    <t xml:space="preserve">0dB                   </t>
  </si>
  <si>
    <t xml:space="preserve">Attenuation         </t>
  </si>
  <si>
    <t xml:space="preserve">      -</t>
  </si>
  <si>
    <t xml:space="preserve">           -</t>
  </si>
  <si>
    <t xml:space="preserve">     -</t>
  </si>
  <si>
    <t xml:space="preserve">       </t>
  </si>
  <si>
    <t>r/w</t>
  </si>
  <si>
    <t>brd</t>
  </si>
  <si>
    <t>[0dB, -6dB, ground]</t>
  </si>
  <si>
    <t xml:space="preserve">afe.coupling                        </t>
  </si>
  <si>
    <t xml:space="preserve">ac                    </t>
  </si>
  <si>
    <t xml:space="preserve">Coupling            </t>
  </si>
  <si>
    <t>[ac, dc]</t>
  </si>
  <si>
    <t xml:space="preserve">afe.dacGain                         </t>
  </si>
  <si>
    <t>float</t>
  </si>
  <si>
    <t xml:space="preserve">Gain                </t>
  </si>
  <si>
    <t xml:space="preserve">afe.dacOffset                       </t>
  </si>
  <si>
    <t xml:space="preserve">Offset              </t>
  </si>
  <si>
    <t xml:space="preserve">afe.decayTime                       </t>
  </si>
  <si>
    <t xml:space="preserve">short                 </t>
  </si>
  <si>
    <t xml:space="preserve">Decay time          </t>
  </si>
  <si>
    <t>[long, medium, short, very-short]</t>
  </si>
  <si>
    <t xml:space="preserve">afe.invert                          </t>
  </si>
  <si>
    <t>bool</t>
  </si>
  <si>
    <t xml:space="preserve">false                 </t>
  </si>
  <si>
    <t xml:space="preserve">Invert              </t>
  </si>
  <si>
    <t xml:space="preserve">afe.sampleRate                      </t>
  </si>
  <si>
    <t xml:space="preserve">-                   </t>
  </si>
  <si>
    <t xml:space="preserve">Sample Rate         </t>
  </si>
  <si>
    <t xml:space="preserve">Mhz    </t>
  </si>
  <si>
    <t>r/o</t>
  </si>
  <si>
    <t>-</t>
  </si>
  <si>
    <t xml:space="preserve">afe.termination                     </t>
  </si>
  <si>
    <t xml:space="preserve">1kohm                 </t>
  </si>
  <si>
    <t xml:space="preserve">Termination         </t>
  </si>
  <si>
    <t>[1kohm, 50ohm]</t>
  </si>
  <si>
    <t xml:space="preserve">baseline.dcOffset                   </t>
  </si>
  <si>
    <t xml:space="preserve">DC Offset           </t>
  </si>
  <si>
    <t xml:space="preserve">baseline.dcTrackingMode             </t>
  </si>
  <si>
    <t xml:space="preserve">off                   </t>
  </si>
  <si>
    <t xml:space="preserve">DC Tracking Mode    </t>
  </si>
  <si>
    <t>[off, slow, medium, fast]</t>
  </si>
  <si>
    <t xml:space="preserve">blanking.enable                     </t>
  </si>
  <si>
    <t xml:space="preserve">true                  </t>
  </si>
  <si>
    <t xml:space="preserve">Enable              </t>
  </si>
  <si>
    <t xml:space="preserve">blanking.postSamples                </t>
  </si>
  <si>
    <t xml:space="preserve">Post Samples        </t>
  </si>
  <si>
    <t xml:space="preserve">blanking.preSamples                 </t>
  </si>
  <si>
    <t xml:space="preserve">Pre Samples         </t>
  </si>
  <si>
    <t xml:space="preserve">blanking.threshold                  </t>
  </si>
  <si>
    <t xml:space="preserve">Threshold           </t>
  </si>
  <si>
    <t xml:space="preserve">channel.id                          </t>
  </si>
  <si>
    <t xml:space="preserve">Channel Id          </t>
  </si>
  <si>
    <t xml:space="preserve">channel.state                       </t>
  </si>
  <si>
    <t xml:space="preserve">ready                 </t>
  </si>
  <si>
    <t xml:space="preserve">Channel State       </t>
  </si>
  <si>
    <t>[ready, error, osc, histo, fft, listMode, calibrate, dcOffset]</t>
  </si>
  <si>
    <t xml:space="preserve">gate.statsCollectionMode            </t>
  </si>
  <si>
    <t xml:space="preserve">always                </t>
  </si>
  <si>
    <t xml:space="preserve">Collection Mode     </t>
  </si>
  <si>
    <t>[off, risingEdge, fallingEdge, whenHigh, whenLow, always]</t>
  </si>
  <si>
    <t xml:space="preserve">histogram.binSubRegion.highIndex    </t>
  </si>
  <si>
    <t xml:space="preserve">High Bin Index      </t>
  </si>
  <si>
    <t xml:space="preserve">histogram.binSubRegion.lowIndex     </t>
  </si>
  <si>
    <t xml:space="preserve">Low Bin Index       </t>
  </si>
  <si>
    <t xml:space="preserve">histogram.coarseBinScaleDown        </t>
  </si>
  <si>
    <t>Coarse Bin Scale Down</t>
  </si>
  <si>
    <t xml:space="preserve">histogram.coarseBinScaling          </t>
  </si>
  <si>
    <t xml:space="preserve">Coarse Bin Scaling  </t>
  </si>
  <si>
    <t xml:space="preserve">histogram.datagram.enable           </t>
  </si>
  <si>
    <t xml:space="preserve">Datagram tx enable  </t>
  </si>
  <si>
    <t>conn</t>
  </si>
  <si>
    <t xml:space="preserve">histogram.datagram.ip               </t>
  </si>
  <si>
    <t xml:space="preserve">10.114.2.117          </t>
  </si>
  <si>
    <t xml:space="preserve">Datagram dest. IP   </t>
  </si>
  <si>
    <t xml:space="preserve">histogram.datagram.port             </t>
  </si>
  <si>
    <t xml:space="preserve">Datagram dest. port </t>
  </si>
  <si>
    <t xml:space="preserve">histogram.fixedInputCount.count     </t>
  </si>
  <si>
    <t xml:space="preserve">Fixed Input Count   </t>
  </si>
  <si>
    <t xml:space="preserve">histogram.fixedOutputCount.count    </t>
  </si>
  <si>
    <t xml:space="preserve">Fixed Output Count  </t>
  </si>
  <si>
    <t xml:space="preserve">histogram.fixedTime.duration        </t>
  </si>
  <si>
    <t xml:space="preserve">Fixed Time Duration </t>
  </si>
  <si>
    <t xml:space="preserve">s      </t>
  </si>
  <si>
    <t xml:space="preserve">histogram.mode                      </t>
  </si>
  <si>
    <t xml:space="preserve">movingAverage         </t>
  </si>
  <si>
    <t xml:space="preserve">continuous            </t>
  </si>
  <si>
    <t xml:space="preserve">Histogram Mode      </t>
  </si>
  <si>
    <t>[continuous, fixedTime, fixedInputCount, fixedOutputCount, movingAverage, gated, spatial]</t>
  </si>
  <si>
    <t>histogram.movingAverage.windowPeriod</t>
  </si>
  <si>
    <t>Moving Average Window</t>
  </si>
  <si>
    <t xml:space="preserve">histogram.options                   </t>
  </si>
  <si>
    <t xml:space="preserve">                      </t>
  </si>
  <si>
    <t xml:space="preserve">Histogram Options   </t>
  </si>
  <si>
    <t xml:space="preserve">histogram.refreshRate               </t>
  </si>
  <si>
    <t xml:space="preserve">Refresh Rate        </t>
  </si>
  <si>
    <t xml:space="preserve">histogram.spectrumSelect.accepted   </t>
  </si>
  <si>
    <t xml:space="preserve">Accepted Spectrum   </t>
  </si>
  <si>
    <t xml:space="preserve">histogram.spectrumSelect.rejected   </t>
  </si>
  <si>
    <t xml:space="preserve">Rejected Spectrum   </t>
  </si>
  <si>
    <t xml:space="preserve">instrument.analog.modStrike         </t>
  </si>
  <si>
    <t xml:space="preserve">Analog Mod Level    </t>
  </si>
  <si>
    <t>brd,ins</t>
  </si>
  <si>
    <t xml:space="preserve">instrument.analog.partNumber        </t>
  </si>
  <si>
    <t xml:space="preserve">GA3FG00004            </t>
  </si>
  <si>
    <t xml:space="preserve">Analog Board Part#  </t>
  </si>
  <si>
    <t xml:space="preserve">instrument.analog.revision          </t>
  </si>
  <si>
    <t xml:space="preserve">Analog Revision     </t>
  </si>
  <si>
    <t xml:space="preserve">instrument.analog.serialNumber      </t>
  </si>
  <si>
    <t xml:space="preserve">017233002-0001        </t>
  </si>
  <si>
    <t xml:space="preserve">Analog Board Ser#   </t>
  </si>
  <si>
    <t xml:space="preserve">instrument.assembly.serialNumber    </t>
  </si>
  <si>
    <t xml:space="preserve">016454001-0002        </t>
  </si>
  <si>
    <t xml:space="preserve">Assembly Ser#       </t>
  </si>
  <si>
    <t xml:space="preserve">instrument.digital.config           </t>
  </si>
  <si>
    <t xml:space="preserve">16in-16out            </t>
  </si>
  <si>
    <t xml:space="preserve">Digital GPIO Config </t>
  </si>
  <si>
    <t>ins</t>
  </si>
  <si>
    <t>[16in-16out, 8in-24out]</t>
  </si>
  <si>
    <t xml:space="preserve">instrument.digital.modStrike        </t>
  </si>
  <si>
    <t xml:space="preserve">Digital Mod Level   </t>
  </si>
  <si>
    <t xml:space="preserve">instrument.digital.partNumber       </t>
  </si>
  <si>
    <t xml:space="preserve">GA3FG00001            </t>
  </si>
  <si>
    <t xml:space="preserve">Digital Board Part# </t>
  </si>
  <si>
    <t xml:space="preserve">instrument.digital.revision         </t>
  </si>
  <si>
    <t xml:space="preserve">Digital Revision    </t>
  </si>
  <si>
    <t xml:space="preserve">instrument.digital.serialNumber     </t>
  </si>
  <si>
    <t xml:space="preserve">Digital Board Ser#  </t>
  </si>
  <si>
    <t xml:space="preserve">instrument.firmwareVersion          </t>
  </si>
  <si>
    <t xml:space="preserve">0.8.3                 </t>
  </si>
  <si>
    <t xml:space="preserve">Firmware Version    </t>
  </si>
  <si>
    <t xml:space="preserve">instrument.hash.fpga                </t>
  </si>
  <si>
    <t xml:space="preserve">57a9e077              </t>
  </si>
  <si>
    <t xml:space="preserve">FPGA Hash Id        </t>
  </si>
  <si>
    <t xml:space="preserve">instrument.hash.software            </t>
  </si>
  <si>
    <t xml:space="preserve">508f388               </t>
  </si>
  <si>
    <t xml:space="preserve">Software Hash Id    </t>
  </si>
  <si>
    <t xml:space="preserve">instrument.network.hostName         </t>
  </si>
  <si>
    <t xml:space="preserve">SITORO-016454001-0002 </t>
  </si>
  <si>
    <t xml:space="preserve">Network host name   </t>
  </si>
  <si>
    <t xml:space="preserve">instrument.network.mac              </t>
  </si>
  <si>
    <t xml:space="preserve">00:0c:79:01:1c:12     </t>
  </si>
  <si>
    <t xml:space="preserve">MAC network address </t>
  </si>
  <si>
    <t xml:space="preserve">instrument.numChannels              </t>
  </si>
  <si>
    <t xml:space="preserve">Number of Channels  </t>
  </si>
  <si>
    <t xml:space="preserve">instrument.productName              </t>
  </si>
  <si>
    <t xml:space="preserve">Falcon X1             </t>
  </si>
  <si>
    <t xml:space="preserve">Product Name        </t>
  </si>
  <si>
    <t xml:space="preserve">instrument.protocolVersion          </t>
  </si>
  <si>
    <t xml:space="preserve">instrument.sca.generationTrigger    </t>
  </si>
  <si>
    <t xml:space="preserve">Generation Trigger  </t>
  </si>
  <si>
    <t>[off, whenHigh, whenLow, always]</t>
  </si>
  <si>
    <t xml:space="preserve">instrument.sca.pulseDuration        </t>
  </si>
  <si>
    <t xml:space="preserve">Ns Per Pulse        </t>
  </si>
  <si>
    <t xml:space="preserve">ns     </t>
  </si>
  <si>
    <t xml:space="preserve">instrument.temperature              </t>
  </si>
  <si>
    <t xml:space="preserve">Temperature         </t>
  </si>
  <si>
    <t xml:space="preserve">°C    </t>
  </si>
  <si>
    <t xml:space="preserve">instrument.temperatureMax           </t>
  </si>
  <si>
    <t xml:space="preserve">Temperature Max     </t>
  </si>
  <si>
    <t xml:space="preserve">listMode.enableTimeOfArrival        </t>
  </si>
  <si>
    <t xml:space="preserve">Enable TOA Data     </t>
  </si>
  <si>
    <t xml:space="preserve">oscilloscope.options                </t>
  </si>
  <si>
    <t xml:space="preserve">fullRate              </t>
  </si>
  <si>
    <t>Oscilloscope Options</t>
  </si>
  <si>
    <t xml:space="preserve">oscilloscope.range.max              </t>
  </si>
  <si>
    <t xml:space="preserve">Maximum Value       </t>
  </si>
  <si>
    <t xml:space="preserve">oscilloscope.range.min              </t>
  </si>
  <si>
    <t xml:space="preserve">Minimum Value       </t>
  </si>
  <si>
    <t xml:space="preserve">oscilloscope.runContinuously        </t>
  </si>
  <si>
    <t xml:space="preserve">Run Continuously    </t>
  </si>
  <si>
    <t xml:space="preserve">oscilloscope.samples                </t>
  </si>
  <si>
    <t>Oscilloscope Samples</t>
  </si>
  <si>
    <t xml:space="preserve">pulse.calibrated                    </t>
  </si>
  <si>
    <t xml:space="preserve">Calibrated          </t>
  </si>
  <si>
    <t xml:space="preserve">pulse.calibration.optPercent        </t>
  </si>
  <si>
    <t xml:space="preserve">Percent Optimized   </t>
  </si>
  <si>
    <t xml:space="preserve">pulse.calibration.optimize          </t>
  </si>
  <si>
    <t xml:space="preserve">Enable Optimization </t>
  </si>
  <si>
    <t xml:space="preserve">pulse.detectionThreshold            </t>
  </si>
  <si>
    <t xml:space="preserve">Detection Threshold </t>
  </si>
  <si>
    <t xml:space="preserve">pulse.minPulsePairSeparation        </t>
  </si>
  <si>
    <t xml:space="preserve">Min Pulse Pair Sep. </t>
  </si>
  <si>
    <t xml:space="preserve">pulse.scaleFactor                   </t>
  </si>
  <si>
    <t xml:space="preserve">Scale Factor        </t>
  </si>
  <si>
    <t xml:space="preserve">pulse.sourceType                    </t>
  </si>
  <si>
    <t xml:space="preserve">lowEnergy             </t>
  </si>
  <si>
    <t xml:space="preserve">midRate               </t>
  </si>
  <si>
    <t xml:space="preserve">Source Type         </t>
  </si>
  <si>
    <t>[lowEnergy, lowRate, midRate, highRate, maxThroughput]</t>
  </si>
  <si>
    <t xml:space="preserve">sca.numRegions                      </t>
  </si>
  <si>
    <t xml:space="preserve">Number of Regions   </t>
  </si>
  <si>
    <t xml:space="preserve">sca.region_01.endBin                </t>
  </si>
  <si>
    <t xml:space="preserve">Region End Bin      </t>
  </si>
  <si>
    <t xml:space="preserve">sca.region_01.startBin              </t>
  </si>
  <si>
    <t xml:space="preserve">Region Start Bin    </t>
  </si>
  <si>
    <t xml:space="preserve">sca.region_02.endBin                </t>
  </si>
  <si>
    <t xml:space="preserve">sca.region_02.startBin              </t>
  </si>
  <si>
    <t xml:space="preserve">sca.region_03.endBin                </t>
  </si>
  <si>
    <t xml:space="preserve">sca.region_03.startBin              </t>
  </si>
  <si>
    <t xml:space="preserve">sca.region_04.endBin                </t>
  </si>
  <si>
    <t xml:space="preserve">sca.region_04.startBin              </t>
  </si>
  <si>
    <t xml:space="preserve">sca.region_05.endBin                </t>
  </si>
  <si>
    <t xml:space="preserve">sca.region_05.startBin              </t>
  </si>
  <si>
    <t xml:space="preserve">sca.region_06.endBin                </t>
  </si>
  <si>
    <t xml:space="preserve">sca.region_06.startBin              </t>
  </si>
  <si>
    <t xml:space="preserve">sca.region_07.endBin                </t>
  </si>
  <si>
    <t xml:space="preserve">sca.region_07.startBin              </t>
  </si>
  <si>
    <t xml:space="preserve">sca.region_08.endBin                </t>
  </si>
  <si>
    <t xml:space="preserve">sca.region_08.startBin              </t>
  </si>
  <si>
    <t xml:space="preserve">sca.region_09.endBin                </t>
  </si>
  <si>
    <t xml:space="preserve">sca.region_09.startBin              </t>
  </si>
  <si>
    <t xml:space="preserve">sca.region_10.endBin                </t>
  </si>
  <si>
    <t xml:space="preserve">sca.region_10.startBin              </t>
  </si>
  <si>
    <t xml:space="preserve">sca.region_11.endBin                </t>
  </si>
  <si>
    <t xml:space="preserve">sca.region_11.startBin              </t>
  </si>
  <si>
    <t xml:space="preserve">sca.region_12.endBin                </t>
  </si>
  <si>
    <t xml:space="preserve">sca.region_12.startBin              </t>
  </si>
  <si>
    <t xml:space="preserve">sca.region_13.endBin                </t>
  </si>
  <si>
    <t xml:space="preserve">sca.region_13.startBin              </t>
  </si>
  <si>
    <t xml:space="preserve">sca.region_14.endBin                </t>
  </si>
  <si>
    <t xml:space="preserve">sca.region_14.startBin              </t>
  </si>
  <si>
    <t xml:space="preserve">sca.region_15.endBin                </t>
  </si>
  <si>
    <t xml:space="preserve">sca.region_15.startBin              </t>
  </si>
  <si>
    <t xml:space="preserve">sca.region_16.endBin                </t>
  </si>
  <si>
    <t xml:space="preserve">sca.region_16.startBin              </t>
  </si>
  <si>
    <t xml:space="preserve">sca.region_17.endBin                </t>
  </si>
  <si>
    <t xml:space="preserve">no value              </t>
  </si>
  <si>
    <t xml:space="preserve">sca.region_17.startBin              </t>
  </si>
  <si>
    <t xml:space="preserve">sca.region_18.endBin                </t>
  </si>
  <si>
    <t xml:space="preserve">sca.region_18.startBin              </t>
  </si>
  <si>
    <t xml:space="preserve">sca.region_19.endBin                </t>
  </si>
  <si>
    <t xml:space="preserve">sca.region_19.startBin              </t>
  </si>
  <si>
    <t xml:space="preserve">sca.region_20.endBin                </t>
  </si>
  <si>
    <t xml:space="preserve">sca.region_20.startBin              </t>
  </si>
  <si>
    <t xml:space="preserve">sca.region_21.endBin                </t>
  </si>
  <si>
    <t xml:space="preserve">sca.region_21.startBin              </t>
  </si>
  <si>
    <t xml:space="preserve">sca.region_22.endBin                </t>
  </si>
  <si>
    <t xml:space="preserve">sca.region_22.startBin              </t>
  </si>
  <si>
    <t xml:space="preserve">sca.region_23.endBin                </t>
  </si>
  <si>
    <t xml:space="preserve">sca.region_23.startBin              </t>
  </si>
  <si>
    <t xml:space="preserve">sca.region_24.endBin                </t>
  </si>
  <si>
    <t xml:space="preserve">sca.region_24.startBin              </t>
  </si>
  <si>
    <t xml:space="preserve">spatial.axis_1.enable               </t>
  </si>
  <si>
    <t xml:space="preserve">Axis Enable         </t>
  </si>
  <si>
    <t xml:space="preserve">spatial.axis_1.inputType            </t>
  </si>
  <si>
    <t xml:space="preserve">quadrature            </t>
  </si>
  <si>
    <t xml:space="preserve">stepDirection         </t>
  </si>
  <si>
    <t xml:space="preserve">Input Type          </t>
  </si>
  <si>
    <t>[quadrature, stepDirection]</t>
  </si>
  <si>
    <t xml:space="preserve">spatial.axis_1.stepPosOnReset       </t>
  </si>
  <si>
    <t>Step Position on Reset</t>
  </si>
  <si>
    <t xml:space="preserve">spatial.axis_1.stepsPerUnit         </t>
  </si>
  <si>
    <t xml:space="preserve">Steps Per Unit      </t>
  </si>
  <si>
    <t xml:space="preserve">spatial.axis_1.unitPosOnReset       </t>
  </si>
  <si>
    <t>Unit Position on Reset</t>
  </si>
  <si>
    <t xml:space="preserve">spatial.axis_2.enable               </t>
  </si>
  <si>
    <t xml:space="preserve">spatial.axis_2.inputType            </t>
  </si>
  <si>
    <t xml:space="preserve">spatial.axis_2.stepPosOnReset       </t>
  </si>
  <si>
    <t xml:space="preserve">spatial.axis_2.stepsPerUnit         </t>
  </si>
  <si>
    <t xml:space="preserve">spatial.axis_2.unitPosOnReset       </t>
  </si>
  <si>
    <t xml:space="preserve">spatial.axis_3.enable               </t>
  </si>
  <si>
    <t xml:space="preserve">spatial.axis_3.inputType            </t>
  </si>
  <si>
    <t xml:space="preserve">spatial.axis_3.stepPosOnReset       </t>
  </si>
  <si>
    <t xml:space="preserve">spatial.axis_3.stepsPerUnit         </t>
  </si>
  <si>
    <t xml:space="preserve">spatial.axis_3.unitPosOnReset       </t>
  </si>
  <si>
    <t xml:space="preserve">spatial.axis_4.enable               </t>
  </si>
  <si>
    <t xml:space="preserve">spatial.axis_4.inputType            </t>
  </si>
  <si>
    <t xml:space="preserve">spatial.axis_4.stepPosOnReset       </t>
  </si>
  <si>
    <t xml:space="preserve">spatial.axis_4.stepsPerUnit         </t>
  </si>
  <si>
    <t xml:space="preserve">spatial.axis_4.unitPosOnReset       </t>
  </si>
  <si>
    <t xml:space="preserve">spatial.enableGateReset             </t>
  </si>
  <si>
    <t xml:space="preserve">Enable Gate Reset   </t>
  </si>
  <si>
    <t xml:space="preserve">spatial.enableStatistics            </t>
  </si>
  <si>
    <t xml:space="preserve">Enable Statistics   </t>
  </si>
  <si>
    <t xml:space="preserve">spatial.enableUnitEvents            </t>
  </si>
  <si>
    <t xml:space="preserve">Enable Unit Events  </t>
  </si>
  <si>
    <t xml:space="preserve">spatial.numAxes                     </t>
  </si>
  <si>
    <t xml:space="preserve">Number of Axes      </t>
  </si>
  <si>
    <t>141 parameters found</t>
  </si>
  <si>
    <t>DeviceKey</t>
  </si>
  <si>
    <t>VarName</t>
  </si>
  <si>
    <t>VarName.Old</t>
  </si>
  <si>
    <t>DeviceScriptKeyword</t>
  </si>
  <si>
    <t>./torero -h 10.114.2.50 -- listparams &gt; FalconX_parameters.txt</t>
  </si>
  <si>
    <t>EPICS Type</t>
  </si>
  <si>
    <t>device varname</t>
  </si>
  <si>
    <t>PV name</t>
  </si>
  <si>
    <t>PV name OLD</t>
  </si>
  <si>
    <t>device varname OLD</t>
  </si>
  <si>
    <t>c:\p4c\RaScanFR.AF9</t>
  </si>
  <si>
    <t>er_NONE</t>
  </si>
  <si>
    <t>er_Standby</t>
  </si>
  <si>
    <t>er_ERROR8</t>
  </si>
  <si>
    <t>st_Terminated</t>
  </si>
  <si>
    <t>st_Standby</t>
  </si>
  <si>
    <t>st_Compiling</t>
  </si>
  <si>
    <t>st_Ready</t>
  </si>
  <si>
    <t>st_Setting</t>
  </si>
  <si>
    <t>st_Set</t>
  </si>
  <si>
    <t>st_Running</t>
  </si>
  <si>
    <t>st_Blank</t>
  </si>
  <si>
    <t>st_Reserved</t>
  </si>
  <si>
    <t>st_Resetting</t>
  </si>
  <si>
    <t>er_TrjBuilder</t>
  </si>
  <si>
    <t>Velocity parameters non-consistent</t>
  </si>
  <si>
    <t>inner-skip range non-consistent</t>
  </si>
  <si>
    <t>trajectory builder error</t>
  </si>
  <si>
    <t>er_ERROR4</t>
  </si>
  <si>
    <t>reserved</t>
  </si>
  <si>
    <t>Inner-skip acceleration exceeds limits</t>
  </si>
  <si>
    <t>Defined motion range exceeds Fly axis limits</t>
  </si>
  <si>
    <t>Fly axis span (span)</t>
  </si>
  <si>
    <t>Fly axis acceleration desired limit</t>
  </si>
  <si>
    <t>Fly axis min allowd outer-skip time</t>
  </si>
  <si>
    <t>Fly axis min allowd inner-skip time</t>
  </si>
  <si>
    <t>Fly axis scan starting position</t>
  </si>
  <si>
    <t>Fly axis outer-skip band</t>
  </si>
  <si>
    <t>Fly axis scan line inner-skip distance</t>
  </si>
  <si>
    <t>Fly axis accel. at inner skip move</t>
  </si>
  <si>
    <t>t_Min</t>
  </si>
  <si>
    <t>t_Max</t>
  </si>
  <si>
    <t>Setup is being verified</t>
  </si>
  <si>
    <t>OSkipScan controls variable</t>
  </si>
  <si>
    <t>Defined motion range exceeds Increment axis limits</t>
  </si>
  <si>
    <t>Increment axis acceleration desired limit</t>
  </si>
  <si>
    <t>Increment axis planned trajectory max accel.</t>
  </si>
  <si>
    <t>Increment axis Edge-skip distance</t>
  </si>
  <si>
    <t>Increment axis inner-skip move distance</t>
  </si>
  <si>
    <t>Increment axis line exit velocity</t>
  </si>
  <si>
    <t>Increment axis scan starting position</t>
  </si>
  <si>
    <t>Increment axis skip distance</t>
  </si>
  <si>
    <t xml:space="preserve">Increment axis outer-skip velocity at return point </t>
  </si>
  <si>
    <t>Increment axis scan span (span)</t>
  </si>
  <si>
    <t>Increment axis line separation (step size)</t>
  </si>
  <si>
    <t>End scan line</t>
  </si>
  <si>
    <t>Current scan line</t>
  </si>
  <si>
    <t>Current line direction</t>
  </si>
  <si>
    <t>Fly axis acceleration actual maximum</t>
  </si>
  <si>
    <t>cs_AngleXZ</t>
  </si>
  <si>
    <t>cs_GearTX</t>
  </si>
  <si>
    <t>line_N</t>
  </si>
  <si>
    <t>t_Out</t>
  </si>
  <si>
    <t>t_In</t>
  </si>
  <si>
    <t>line_Dir</t>
  </si>
  <si>
    <t>t_Edge</t>
  </si>
  <si>
    <t>er_Range1</t>
  </si>
  <si>
    <t>er_Range2</t>
  </si>
  <si>
    <t>t_Out_LLM</t>
  </si>
  <si>
    <t>t_In_LLM</t>
  </si>
  <si>
    <t>LLMM</t>
  </si>
  <si>
    <t>HLMM</t>
  </si>
  <si>
    <t>d1_Span</t>
  </si>
  <si>
    <t>a1_HLM</t>
  </si>
  <si>
    <t>a2_HLM</t>
  </si>
  <si>
    <t>d2_Step</t>
  </si>
  <si>
    <t>v1_Scan</t>
  </si>
  <si>
    <t>v1_Delta</t>
  </si>
  <si>
    <t>d1_Centre</t>
  </si>
  <si>
    <t>d1_Out</t>
  </si>
  <si>
    <t>v2_Out</t>
  </si>
  <si>
    <t>v2_In</t>
  </si>
  <si>
    <t>d2_Span</t>
  </si>
  <si>
    <t>d1_In</t>
  </si>
  <si>
    <t>d2_In</t>
  </si>
  <si>
    <t>d2_Out</t>
  </si>
  <si>
    <t>a2_Max</t>
  </si>
  <si>
    <t>a1_In</t>
  </si>
  <si>
    <t>a1_Max</t>
  </si>
  <si>
    <t>d2_Edge</t>
  </si>
  <si>
    <t>line_End</t>
  </si>
  <si>
    <t>er_v1_Delta</t>
  </si>
  <si>
    <t>er_d1_In</t>
  </si>
  <si>
    <t>er_a1_In</t>
  </si>
  <si>
    <t>dev_State</t>
  </si>
  <si>
    <t>dev_Error</t>
  </si>
  <si>
    <t>t_Mid</t>
  </si>
  <si>
    <t>d1_SpanOBS</t>
  </si>
  <si>
    <t>d2_Start</t>
  </si>
  <si>
    <t>dev_CMD</t>
  </si>
  <si>
    <t>line_SubEnd</t>
  </si>
  <si>
    <t>line_SubN</t>
  </si>
  <si>
    <t>p_Y0</t>
  </si>
  <si>
    <t>p_Y1</t>
  </si>
  <si>
    <t>p_Sin</t>
  </si>
  <si>
    <t>p_Cos</t>
  </si>
  <si>
    <t>p_delta</t>
  </si>
  <si>
    <t>p_tau</t>
  </si>
  <si>
    <t>dum</t>
  </si>
  <si>
    <t>p_X0</t>
  </si>
  <si>
    <t>p_X1</t>
  </si>
  <si>
    <t>P2074</t>
  </si>
  <si>
    <t>v1_Diff</t>
  </si>
  <si>
    <t>Fly axis line scan velocity tolerance delta</t>
  </si>
  <si>
    <t>Fly axis line scan velocity actual delta</t>
  </si>
  <si>
    <t>v1_Out</t>
  </si>
  <si>
    <t>P2075</t>
  </si>
  <si>
    <t>Fly axis velocity at exit point</t>
  </si>
  <si>
    <t>P2076</t>
  </si>
  <si>
    <t>Fly axis scan line inner-skip distance high limit</t>
  </si>
  <si>
    <t>Fly axis line exit velocity</t>
  </si>
  <si>
    <t>Fly axis line scan velocity</t>
  </si>
  <si>
    <t>d1_In_HLM</t>
  </si>
  <si>
    <t>a2_Out</t>
  </si>
  <si>
    <t>P2077</t>
  </si>
  <si>
    <t>Increment axis planned trajectory accel. Out</t>
  </si>
  <si>
    <t>P2015</t>
  </si>
  <si>
    <t>d2_TolRatio</t>
  </si>
  <si>
    <t>Increment axis error band to step ratio</t>
  </si>
  <si>
    <t>v1_TolRatio</t>
  </si>
  <si>
    <t>Fly axis line scan velocity tolerance ratio</t>
  </si>
  <si>
    <t>P2017</t>
  </si>
  <si>
    <t>cs_AngleXY</t>
  </si>
  <si>
    <t>X-Y scan angle</t>
  </si>
  <si>
    <t>t_OutOld</t>
  </si>
  <si>
    <t>P2078</t>
  </si>
  <si>
    <t>t_EdgeOld</t>
  </si>
  <si>
    <t>P2079</t>
  </si>
  <si>
    <t>internal</t>
  </si>
  <si>
    <t>d2_InOld</t>
  </si>
  <si>
    <t>P2080</t>
  </si>
  <si>
    <t>t_OvrHd</t>
  </si>
  <si>
    <t>P2081</t>
  </si>
  <si>
    <t>t_OvrHdOld</t>
  </si>
  <si>
    <t>P2082</t>
  </si>
  <si>
    <t>gsu</t>
  </si>
  <si>
    <t xml:space="preserve">e@1=non-expanded, p@1=no epics, g@1=expand get, s@2=expand settable, u@3=user only </t>
  </si>
  <si>
    <t>Q401</t>
  </si>
  <si>
    <t>Q402</t>
  </si>
  <si>
    <t>CS specific Sin(angle)</t>
  </si>
  <si>
    <t>CS specific Cos(angle)</t>
  </si>
  <si>
    <t>;defined in CS</t>
  </si>
  <si>
    <t>d1_IndL</t>
  </si>
  <si>
    <t>d1_IndR</t>
  </si>
  <si>
    <t>Fly axis indent from Right</t>
  </si>
  <si>
    <t>Fly axis indent from Left</t>
  </si>
  <si>
    <t>Fly axis indent from Left request</t>
  </si>
  <si>
    <t>Fly axis indent from Right request</t>
  </si>
  <si>
    <t>P200?</t>
  </si>
  <si>
    <t>d1_IndL_Req</t>
  </si>
  <si>
    <t>d1_IndR_Req</t>
  </si>
  <si>
    <t>P20??</t>
  </si>
  <si>
    <t>Device indentation live switch</t>
  </si>
  <si>
    <t>dev_IndSt</t>
  </si>
  <si>
    <t>d1_Ind_HLM</t>
  </si>
  <si>
    <t>Fly axis indentation total limit</t>
  </si>
  <si>
    <t>n</t>
  </si>
  <si>
    <t>ps</t>
  </si>
  <si>
    <t>c:\P4C\tec\mc\pmacUtil\trunk\pmacUtilApp\Db\rascanExpandables.1707.vdb</t>
  </si>
  <si>
    <t>C:\P4C\opa\xfm\arc\FST01archiver.autogen.1707.xml</t>
  </si>
  <si>
    <t>\P4C\tec\mc\pmacUtil\trunk\pmc\rascan\RaScan_Interface_def.autogen.1707.pmc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</si>
</sst>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9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1"/>
      <color rgb="FF00610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6" tint="-0.499984740745262"/>
      <name val="Calibri"/>
      <family val="2"/>
      <scheme val="minor"/>
    </font>
    <font>
      <sz val="11"/>
      <color rgb="FF9C650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A5A5A5"/>
      </patternFill>
    </fill>
    <fill>
      <patternFill patternType="solid">
        <fgColor theme="9"/>
        <bgColor indexed="64"/>
      </patternFill>
    </fill>
    <fill>
      <patternFill patternType="solid">
        <fgColor rgb="FFFFFFCC"/>
      </patternFill>
    </fill>
    <fill>
      <patternFill patternType="solid">
        <fgColor rgb="FFFFEB9C"/>
      </patternFill>
    </fill>
  </fills>
  <borders count="2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4">
    <xf numFmtId="0" fontId="0" fillId="0" borderId="0"/>
    <xf numFmtId="0" fontId="3" fillId="2" borderId="0" applyNumberFormat="0" applyBorder="0" applyAlignment="0" applyProtection="0"/>
    <xf numFmtId="0" fontId="6" fillId="6" borderId="1" applyNumberFormat="0" applyFont="0" applyAlignment="0" applyProtection="0"/>
    <xf numFmtId="0" fontId="8" fillId="7" borderId="0" applyNumberFormat="0" applyBorder="0" applyAlignment="0" applyProtection="0"/>
  </cellStyleXfs>
  <cellXfs count="34">
    <xf numFmtId="0" fontId="0" fillId="0" borderId="0" xfId="0"/>
    <xf numFmtId="0" fontId="0" fillId="0" borderId="0" xfId="0" applyAlignment="1">
      <alignment wrapText="1"/>
    </xf>
    <xf numFmtId="0" fontId="0" fillId="0" borderId="0" xfId="0" applyProtection="1">
      <protection locked="0"/>
    </xf>
    <xf numFmtId="0" fontId="0" fillId="0" borderId="0" xfId="0" applyNumberFormat="1" applyFont="1" applyFill="1" applyBorder="1" applyAlignment="1" applyProtection="1">
      <protection locked="0"/>
    </xf>
    <xf numFmtId="0" fontId="0" fillId="0" borderId="0" xfId="0" applyAlignment="1" applyProtection="1">
      <alignment wrapText="1"/>
      <protection locked="0"/>
    </xf>
    <xf numFmtId="0" fontId="4" fillId="0" borderId="0" xfId="0" applyFont="1" applyProtection="1"/>
    <xf numFmtId="0" fontId="4" fillId="0" borderId="0" xfId="0" applyFont="1" applyFill="1" applyProtection="1"/>
    <xf numFmtId="0" fontId="0" fillId="0" borderId="0" xfId="0" applyFill="1" applyProtection="1">
      <protection locked="0"/>
    </xf>
    <xf numFmtId="0" fontId="0" fillId="0" borderId="0" xfId="0" applyFill="1" applyAlignment="1" applyProtection="1">
      <alignment wrapText="1"/>
      <protection locked="0"/>
    </xf>
    <xf numFmtId="0" fontId="3" fillId="2" borderId="0" xfId="1" applyProtection="1"/>
    <xf numFmtId="0" fontId="5" fillId="4" borderId="0" xfId="0" applyFont="1" applyFill="1" applyBorder="1" applyProtection="1">
      <protection locked="0"/>
    </xf>
    <xf numFmtId="0" fontId="5" fillId="4" borderId="0" xfId="0" applyNumberFormat="1" applyFont="1" applyFill="1" applyBorder="1" applyAlignment="1" applyProtection="1">
      <protection locked="0"/>
    </xf>
    <xf numFmtId="0" fontId="5" fillId="4" borderId="0" xfId="0" applyFont="1" applyFill="1" applyBorder="1" applyAlignment="1" applyProtection="1">
      <alignment wrapText="1"/>
      <protection locked="0"/>
    </xf>
    <xf numFmtId="0" fontId="5" fillId="4" borderId="0" xfId="1" applyFont="1" applyFill="1" applyBorder="1" applyProtection="1"/>
    <xf numFmtId="0" fontId="0" fillId="0" borderId="0" xfId="0" applyFill="1" applyBorder="1" applyProtection="1">
      <protection locked="0"/>
    </xf>
    <xf numFmtId="0" fontId="0" fillId="0" borderId="0" xfId="0" applyFill="1" applyBorder="1" applyAlignment="1" applyProtection="1">
      <alignment wrapText="1"/>
      <protection locked="0"/>
    </xf>
    <xf numFmtId="0" fontId="3" fillId="2" borderId="0" xfId="1" applyBorder="1" applyProtection="1"/>
    <xf numFmtId="0" fontId="3" fillId="5" borderId="0" xfId="0" applyFont="1" applyFill="1" applyProtection="1"/>
    <xf numFmtId="0" fontId="3" fillId="5" borderId="0" xfId="0" applyFont="1" applyFill="1" applyBorder="1" applyProtection="1"/>
    <xf numFmtId="0" fontId="5" fillId="5" borderId="0" xfId="0" applyFont="1" applyFill="1" applyBorder="1" applyProtection="1"/>
    <xf numFmtId="38" fontId="7" fillId="3" borderId="0" xfId="0" applyNumberFormat="1" applyFont="1" applyFill="1" applyProtection="1">
      <protection locked="0"/>
    </xf>
    <xf numFmtId="0" fontId="4" fillId="0" borderId="0" xfId="0" applyFont="1" applyAlignment="1" applyProtection="1">
      <alignment horizontal="left" vertical="top" textRotation="135"/>
    </xf>
    <xf numFmtId="0" fontId="0" fillId="0" borderId="0" xfId="0" applyAlignment="1" applyProtection="1">
      <alignment horizontal="left" vertical="top" textRotation="135"/>
      <protection locked="0"/>
    </xf>
    <xf numFmtId="0" fontId="0" fillId="0" borderId="0" xfId="0" applyNumberFormat="1" applyFont="1" applyFill="1" applyBorder="1" applyAlignment="1" applyProtection="1">
      <alignment horizontal="left" vertical="top" textRotation="135"/>
      <protection locked="0"/>
    </xf>
    <xf numFmtId="0" fontId="0" fillId="0" borderId="0" xfId="0" applyAlignment="1" applyProtection="1">
      <alignment horizontal="left" vertical="top" textRotation="135" wrapText="1"/>
      <protection locked="0"/>
    </xf>
    <xf numFmtId="0" fontId="3" fillId="5" borderId="0" xfId="0" applyFont="1" applyFill="1" applyAlignment="1" applyProtection="1">
      <alignment horizontal="left" vertical="top" textRotation="135"/>
    </xf>
    <xf numFmtId="0" fontId="3" fillId="2" borderId="0" xfId="1" applyAlignment="1" applyProtection="1">
      <alignment horizontal="left" vertical="top" textRotation="135"/>
    </xf>
    <xf numFmtId="38" fontId="7" fillId="3" borderId="0" xfId="0" applyNumberFormat="1" applyFont="1" applyFill="1" applyAlignment="1" applyProtection="1">
      <alignment horizontal="left" vertical="top" textRotation="135"/>
      <protection locked="0"/>
    </xf>
    <xf numFmtId="0" fontId="0" fillId="6" borderId="1" xfId="2" applyFont="1" applyProtection="1"/>
    <xf numFmtId="0" fontId="0" fillId="6" borderId="1" xfId="2" applyFont="1" applyAlignment="1" applyProtection="1">
      <alignment horizontal="left" vertical="top" textRotation="135"/>
    </xf>
    <xf numFmtId="0" fontId="0" fillId="6" borderId="1" xfId="2" applyFont="1" applyProtection="1">
      <protection locked="0"/>
    </xf>
    <xf numFmtId="0" fontId="5" fillId="6" borderId="1" xfId="2" applyFont="1" applyProtection="1"/>
    <xf numFmtId="0" fontId="8" fillId="7" borderId="0" xfId="3" applyProtection="1"/>
    <xf numFmtId="0" fontId="8" fillId="7" borderId="0" xfId="3" applyAlignment="1" applyProtection="1">
      <alignment horizontal="left" vertical="top" textRotation="135"/>
    </xf>
  </cellXfs>
  <cellStyles count="4">
    <cellStyle name="Good" xfId="1" builtinId="26"/>
    <cellStyle name="Neutral" xfId="3" builtinId="28"/>
    <cellStyle name="Normal" xfId="0" builtinId="0"/>
    <cellStyle name="Note" xfId="2" builtinId="1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77638</xdr:colOff>
          <xdr:row>2</xdr:row>
          <xdr:rowOff>25879</xdr:rowOff>
        </xdr:from>
        <xdr:to>
          <xdr:col>28</xdr:col>
          <xdr:colOff>508958</xdr:colOff>
          <xdr:row>2</xdr:row>
          <xdr:rowOff>388189</xdr:rowOff>
        </xdr:to>
        <xdr:sp macro="" textlink="">
          <xdr:nvSpPr>
            <xdr:cNvPr id="3077" name="L_ExportPMAC" hidden="1">
              <a:extLst>
                <a:ext uri="{63B3BB69-23CF-44E3-9099-C40C66FF867C}">
                  <a14:compatExt spid="_x0000_s30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51758</xdr:colOff>
          <xdr:row>2</xdr:row>
          <xdr:rowOff>25879</xdr:rowOff>
        </xdr:from>
        <xdr:to>
          <xdr:col>24</xdr:col>
          <xdr:colOff>483079</xdr:colOff>
          <xdr:row>2</xdr:row>
          <xdr:rowOff>388189</xdr:rowOff>
        </xdr:to>
        <xdr:sp macro="" textlink="">
          <xdr:nvSpPr>
            <xdr:cNvPr id="3079" name="L_ExportEPICS" hidden="1">
              <a:extLst>
                <a:ext uri="{63B3BB69-23CF-44E3-9099-C40C66FF867C}">
                  <a14:compatExt spid="_x0000_s30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120770</xdr:colOff>
          <xdr:row>2</xdr:row>
          <xdr:rowOff>25879</xdr:rowOff>
        </xdr:from>
        <xdr:to>
          <xdr:col>29</xdr:col>
          <xdr:colOff>552091</xdr:colOff>
          <xdr:row>2</xdr:row>
          <xdr:rowOff>388189</xdr:rowOff>
        </xdr:to>
        <xdr:sp macro="" textlink="">
          <xdr:nvSpPr>
            <xdr:cNvPr id="3080" name="L_ExportArchiverXML" hidden="1">
              <a:extLst>
                <a:ext uri="{63B3BB69-23CF-44E3-9099-C40C66FF867C}">
                  <a14:compatExt spid="_x0000_s30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8626</xdr:colOff>
          <xdr:row>2</xdr:row>
          <xdr:rowOff>86264</xdr:rowOff>
        </xdr:from>
        <xdr:to>
          <xdr:col>1</xdr:col>
          <xdr:colOff>69011</xdr:colOff>
          <xdr:row>2</xdr:row>
          <xdr:rowOff>448574</xdr:rowOff>
        </xdr:to>
        <xdr:sp macro="" textlink="">
          <xdr:nvSpPr>
            <xdr:cNvPr id="3081" name="L_ExportFindReplace" hidden="1">
              <a:extLst>
                <a:ext uri="{63B3BB69-23CF-44E3-9099-C40C66FF867C}">
                  <a14:compatExt spid="_x0000_s30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12" Type="http://schemas.openxmlformats.org/officeDocument/2006/relationships/image" Target="../media/image4.emf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11" Type="http://schemas.openxmlformats.org/officeDocument/2006/relationships/control" Target="../activeX/activeX4.xml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3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I126"/>
  <sheetViews>
    <sheetView tabSelected="1" zoomScale="85" zoomScaleNormal="85" workbookViewId="0">
      <pane xSplit="4" ySplit="3" topLeftCell="G4" activePane="bottomRight" state="frozen"/>
      <selection pane="topRight" activeCell="E1" sqref="E1"/>
      <selection pane="bottomLeft" activeCell="A4" sqref="A4"/>
      <selection pane="bottomRight" activeCell="K147" sqref="K147"/>
    </sheetView>
  </sheetViews>
  <sheetFormatPr defaultColWidth="9.125" defaultRowHeight="16.3" x14ac:dyDescent="0.3"/>
  <cols>
    <col min="1" max="1" width="5.375" style="5" customWidth="1"/>
    <col min="2" max="2" width="9.75" style="2" customWidth="1"/>
    <col min="3" max="3" width="15" style="28" customWidth="1"/>
    <col min="4" max="4" width="14.625" style="2" customWidth="1"/>
    <col min="5" max="5" width="12.75" style="2" customWidth="1"/>
    <col min="6" max="6" width="4.375" style="3" customWidth="1"/>
    <col min="7" max="7" width="29.125" style="4" customWidth="1"/>
    <col min="8" max="8" width="7.125" style="2" customWidth="1"/>
    <col min="9" max="9" width="4.875" style="2" customWidth="1"/>
    <col min="10" max="10" width="6.625" style="2" customWidth="1"/>
    <col min="11" max="11" width="12.5" style="2" bestFit="1" customWidth="1"/>
    <col min="12" max="12" width="11.125" style="2" bestFit="1" customWidth="1"/>
    <col min="13" max="14" width="9.125" style="2"/>
    <col min="15" max="15" width="12" style="2" bestFit="1" customWidth="1"/>
    <col min="16" max="16" width="7.125" style="2" bestFit="1" customWidth="1"/>
    <col min="17" max="17" width="7.125" style="2" customWidth="1"/>
    <col min="18" max="18" width="1.875" style="17" customWidth="1"/>
    <col min="19" max="19" width="20.75" style="9" bestFit="1" customWidth="1"/>
    <col min="20" max="20" width="2.75" style="17" customWidth="1"/>
    <col min="21" max="21" width="12.125" style="9" bestFit="1" customWidth="1"/>
    <col min="22" max="24" width="4" style="9" customWidth="1"/>
    <col min="25" max="25" width="10.125" style="9" customWidth="1"/>
    <col min="26" max="26" width="3.625" style="32" customWidth="1"/>
    <col min="27" max="30" width="10.125" style="9" customWidth="1"/>
    <col min="31" max="34" width="4.625" style="20" customWidth="1"/>
    <col min="35" max="16384" width="9.125" style="2"/>
  </cols>
  <sheetData>
    <row r="1" spans="1:35" x14ac:dyDescent="0.3">
      <c r="C1" s="28" t="s">
        <v>172</v>
      </c>
      <c r="D1" s="2" t="s">
        <v>24</v>
      </c>
      <c r="I1" s="2" t="s">
        <v>619</v>
      </c>
      <c r="R1" s="17" t="s">
        <v>25</v>
      </c>
      <c r="S1" s="9" t="s">
        <v>25</v>
      </c>
      <c r="AE1" s="20">
        <f>40-LEN("SR05ID01")-LEN("FST01:")-LEN(":SYNC.NAME")</f>
        <v>16</v>
      </c>
      <c r="AF1" s="20">
        <f t="shared" ref="AF1:AG1" si="0">40-LEN("SR05ID01")-LEN("FST01:")-LEN(":SYNC.PACT")</f>
        <v>16</v>
      </c>
      <c r="AG1" s="20">
        <f t="shared" si="0"/>
        <v>16</v>
      </c>
      <c r="AH1" s="20">
        <v>40</v>
      </c>
    </row>
    <row r="2" spans="1:35" x14ac:dyDescent="0.3">
      <c r="A2" s="5" t="s">
        <v>483</v>
      </c>
      <c r="D2" s="2" t="s">
        <v>516</v>
      </c>
      <c r="R2" s="17" t="s">
        <v>26</v>
      </c>
      <c r="S2" s="9" t="s">
        <v>26</v>
      </c>
      <c r="Y2" s="9" t="s">
        <v>641</v>
      </c>
      <c r="AC2" s="9" t="s">
        <v>643</v>
      </c>
      <c r="AD2" s="9" t="s">
        <v>642</v>
      </c>
    </row>
    <row r="3" spans="1:35" s="22" customFormat="1" ht="79.5" x14ac:dyDescent="0.25">
      <c r="A3" s="21" t="s">
        <v>117</v>
      </c>
      <c r="B3" s="22" t="s">
        <v>476</v>
      </c>
      <c r="C3" s="29" t="s">
        <v>475</v>
      </c>
      <c r="D3" s="22" t="s">
        <v>474</v>
      </c>
      <c r="E3" s="22" t="s">
        <v>473</v>
      </c>
      <c r="F3" s="23" t="s">
        <v>75</v>
      </c>
      <c r="G3" s="24" t="s">
        <v>27</v>
      </c>
      <c r="H3" s="22" t="s">
        <v>478</v>
      </c>
      <c r="I3" s="22" t="s">
        <v>28</v>
      </c>
      <c r="J3" s="22" t="s">
        <v>29</v>
      </c>
      <c r="K3" s="22" t="s">
        <v>62</v>
      </c>
      <c r="L3" s="22" t="s">
        <v>63</v>
      </c>
      <c r="M3" s="22" t="s">
        <v>58</v>
      </c>
      <c r="N3" s="22" t="s">
        <v>31</v>
      </c>
      <c r="O3" s="22" t="s">
        <v>32</v>
      </c>
      <c r="P3" s="22" t="s">
        <v>33</v>
      </c>
      <c r="Q3" s="22" t="s">
        <v>173</v>
      </c>
      <c r="R3" s="25" t="s">
        <v>481</v>
      </c>
      <c r="S3" s="26" t="s">
        <v>480</v>
      </c>
      <c r="T3" s="25" t="s">
        <v>482</v>
      </c>
      <c r="U3" s="26" t="s">
        <v>479</v>
      </c>
      <c r="V3" s="26" t="str">
        <f>IF(ISNUMBER(K3),K3,"$(P):$(Q):"&amp;K3)</f>
        <v>$(P):$(Q):CanGet</v>
      </c>
      <c r="W3" s="26" t="str">
        <f>IF(ISNUMBER(L3),L3,"$(P):$(Q):"&amp;L3)</f>
        <v>$(P):$(Q):CanSet</v>
      </c>
      <c r="X3" s="26" t="s">
        <v>34</v>
      </c>
      <c r="Y3" s="26" t="s">
        <v>35</v>
      </c>
      <c r="Z3" s="33" t="s">
        <v>64</v>
      </c>
      <c r="AA3" s="26" t="s">
        <v>36</v>
      </c>
      <c r="AB3" s="26" t="s">
        <v>71</v>
      </c>
      <c r="AC3" s="26" t="s">
        <v>37</v>
      </c>
      <c r="AD3" s="26" t="s">
        <v>148</v>
      </c>
      <c r="AE3" s="27" t="s">
        <v>124</v>
      </c>
      <c r="AF3" s="27" t="s">
        <v>126</v>
      </c>
      <c r="AG3" s="27" t="s">
        <v>127</v>
      </c>
      <c r="AH3" s="27" t="s">
        <v>125</v>
      </c>
      <c r="AI3" s="22" t="s">
        <v>163</v>
      </c>
    </row>
    <row r="4" spans="1:35" ht="57.75" x14ac:dyDescent="0.3">
      <c r="A4" s="6" t="str">
        <f>IF(T4&lt;&gt;U4,"&lt;FIND TYPE=ASC&gt;"&amp;R4&amp;"&lt;/FIND&gt;&lt;REPLACE TYPE=ASC&gt;"&amp;S4&amp;"&lt;/REPLACE&gt;"&amp;CHAR(10)&amp;"&lt;FIND TYPE=ASC&gt;"&amp;T4&amp;"&lt;/FIND&gt;&lt;REPLACE TYPE=ASC&gt;"&amp;U4&amp;"&lt;/REPLACE&gt;"&amp;CHAR(10)&amp;"&lt;FIND TYPE=ASC&gt;"&amp;C4&amp;"&lt;/FIND&gt;&lt;REPLACE TYPE=ASC&gt;"&amp;D4&amp;"&lt;/REPLACE&gt;",".")</f>
        <v>.</v>
      </c>
      <c r="B4" s="7" t="s">
        <v>77</v>
      </c>
      <c r="C4" s="30"/>
      <c r="D4" s="7"/>
      <c r="E4" s="7">
        <v>-1</v>
      </c>
      <c r="G4" s="8" t="s">
        <v>76</v>
      </c>
      <c r="H4" s="7"/>
      <c r="I4" s="7"/>
      <c r="J4" s="7"/>
      <c r="K4" s="7"/>
      <c r="L4" s="7"/>
      <c r="M4" s="7"/>
      <c r="N4" s="7"/>
      <c r="O4" s="7"/>
      <c r="P4" s="7"/>
      <c r="Q4" s="7"/>
      <c r="R4" s="17" t="str">
        <f>UPPER(R$1&amp;":"&amp;C4)</f>
        <v>RSCN:</v>
      </c>
      <c r="S4" s="9" t="str">
        <f>UPPER(S$1&amp;":"&amp;D4)</f>
        <v>RSCN:</v>
      </c>
      <c r="T4" s="17" t="str">
        <f>SUBSTITUTE(C4,"_","")</f>
        <v/>
      </c>
      <c r="U4" s="9" t="str">
        <f>SUBSTITUTE(D4,"_","")&amp;IF(RIGHT(I4)="u","U","")</f>
        <v/>
      </c>
      <c r="V4" s="9" t="str">
        <f>IF(ISNUMBER(K4),K4,"$(P):"&amp;$S$1&amp;":"&amp;K4)</f>
        <v>$(P):RSCN:</v>
      </c>
      <c r="W4" s="9" t="str">
        <f>IF(ISNUMBER(L4),L4,"$(P):"&amp;$S$1&amp;":"&amp;L4)</f>
        <v>$(P):RSCN:</v>
      </c>
      <c r="X4" s="9" t="str">
        <f>IF(LEFT(I4)="g",IF(H4="real",y_pmacRascanGSVar,IF(H4="int",y_pmacRascanGSVar,"")),"")</f>
        <v/>
      </c>
      <c r="Y4" s="9" t="str">
        <f>SUBSTITUTE(SUBSTITUTE(SUBSTITUTE(SUBSTITUTE(SUBSTITUTE(SUBSTITUTE(SUBSTITUTE(X4,"~PVNAME",S4),"~EGU",J4),"~PREC",P4),"~VAR",E4),"~CANGET",V4),"~CANSET",W4),"~DESC",LEFT(G4,40))</f>
        <v/>
      </c>
      <c r="Z4" s="32" t="str">
        <f>IF(ISNUMBER($F4),SUBSTITUTE(SUBSTITUTE(SUBSTITUTE(SUBSTITUTE(SUBSTITUTE(SUBSTITUTE(SUBSTITUTE(SUBSTITUTE(y_QLabel &amp; y_QELabel &amp; IF($I4="gsu",y_QELineEdit,""),"~PVNAME",$S4),"~EGU",$J4),"~PREC",$P4),"~VAR",$E4),"~CANGET",$V4),"~CANSET",$W4),"~ROW",$F4),"~NAME",$D4),"")</f>
        <v/>
      </c>
      <c r="AA4" s="9" t="e">
        <f>VLOOKUP(H4,y_EPICS_Formats,2,FALSE)</f>
        <v>#N/A</v>
      </c>
      <c r="AB4" s="9" t="str">
        <f>IF(LEFT(I4)="g",y_Prefix&amp;S4&amp;" = ","")</f>
        <v/>
      </c>
      <c r="AC4" s="9" t="str">
        <f>IFERROR(";"&amp;G4&amp;"["&amp;J4&amp;"]"&amp;I4&amp;CHAR(10)&amp;B4 &amp;CHAR(9)&amp;U4&amp;CHAR(9)&amp;E4 &amp;CHAR(9),";;Error!")</f>
        <v xml:space="preserve">;SLSA MC Development &amp; Configuration tool for TurboPMAC by Nader.Afshar@synchrotron.org.au[]
;Header		-1	</v>
      </c>
      <c r="AD4" s="9" t="str">
        <f>IF(IFERROR(Q4&gt;0,FALSE),SUBSTITUTE(SUBSTITUTE(SUBSTITUTE(y_archiverXML,"~PVNAME",S4&amp;IF(LEN(X4)&lt;1,"",":RBV")),"~PREFIX",y_Prefix),"~PERIOD",Q4),"")</f>
        <v/>
      </c>
      <c r="AE4" s="20" t="str">
        <f>IF(OR(LEFT($I4)="e",LEFT($I4)="g"),AE$1-LEN(S4),"")</f>
        <v/>
      </c>
      <c r="AF4" s="20" t="str">
        <f>IF(OR(LEFT($I4)="e",LEFT($I4)="g"),AF$1-LEN(T4),"")</f>
        <v/>
      </c>
      <c r="AG4" s="20" t="str">
        <f>IF(OR(LEFT($I4)="e",LEFT($I4)="g"),AG$1-LEN(U4),"")</f>
        <v/>
      </c>
      <c r="AH4" s="20" t="str">
        <f>IF(OR(LEFT($I4)="e",LEFT($I4)="g"),AH$1-LEN(V4),"")</f>
        <v/>
      </c>
      <c r="AI4" s="2" t="str">
        <f>IF(ISNUMBER(E4),"0"&amp;LEFT(D4,2)&amp;TEXT(E4,"#.0000"),E4)</f>
        <v>0-1.0000</v>
      </c>
    </row>
    <row r="5" spans="1:35" ht="29.25" x14ac:dyDescent="0.3">
      <c r="A5" s="6" t="str">
        <f>IF(T5&lt;&gt;U5,"&lt;FIND TYPE=ASC&gt;"&amp;R5&amp;"&lt;/FIND&gt;&lt;REPLACE TYPE=ASC&gt;"&amp;S5&amp;"&lt;/REPLACE&gt;"&amp;CHAR(10)&amp;"&lt;FIND TYPE=ASC&gt;"&amp;T5&amp;"&lt;/FIND&gt;&lt;REPLACE TYPE=ASC&gt;"&amp;U5&amp;"&lt;/REPLACE&gt;"&amp;CHAR(10)&amp;"&lt;FIND TYPE=ASC&gt;"&amp;C5&amp;"&lt;/FIND&gt;&lt;REPLACE TYPE=ASC&gt;"&amp;D5&amp;"&lt;/REPLACE&gt;",".")</f>
        <v>.</v>
      </c>
      <c r="B5" s="7" t="s">
        <v>77</v>
      </c>
      <c r="C5" s="30"/>
      <c r="D5" s="7"/>
      <c r="E5" s="7">
        <v>-1</v>
      </c>
      <c r="G5" s="8" t="s">
        <v>78</v>
      </c>
      <c r="H5" s="7"/>
      <c r="I5" s="7"/>
      <c r="J5" s="7"/>
      <c r="K5" s="7"/>
      <c r="L5" s="7"/>
      <c r="M5" s="7"/>
      <c r="N5" s="7"/>
      <c r="O5" s="7"/>
      <c r="P5" s="7"/>
      <c r="Q5" s="7"/>
      <c r="R5" s="17" t="str">
        <f>UPPER(R$1&amp;":"&amp;C5)</f>
        <v>RSCN:</v>
      </c>
      <c r="S5" s="9" t="str">
        <f>UPPER(S$1&amp;":"&amp;D5)</f>
        <v>RSCN:</v>
      </c>
      <c r="T5" s="17" t="str">
        <f>SUBSTITUTE(C5,"_","")</f>
        <v/>
      </c>
      <c r="U5" s="9" t="str">
        <f>SUBSTITUTE(D5,"_","")&amp;IF(RIGHT(I5)="u","U","")</f>
        <v/>
      </c>
      <c r="V5" s="9" t="str">
        <f>IF(ISNUMBER(K5),K5,"$(P):"&amp;$S$1&amp;":"&amp;K5)</f>
        <v>$(P):RSCN:</v>
      </c>
      <c r="W5" s="9" t="str">
        <f>IF(ISNUMBER(L5),L5,"$(P):"&amp;$S$1&amp;":"&amp;L5)</f>
        <v>$(P):RSCN:</v>
      </c>
      <c r="X5" s="9" t="str">
        <f>IF(LEFT(I5)="g",IF(H5="real",y_pmacRascanGSVar,IF(H5="int",y_pmacRascanGSVar,"")),"")</f>
        <v/>
      </c>
      <c r="Y5" s="9" t="str">
        <f>SUBSTITUTE(SUBSTITUTE(SUBSTITUTE(SUBSTITUTE(SUBSTITUTE(SUBSTITUTE(SUBSTITUTE(X5,"~PVNAME",S5),"~EGU",J5),"~PREC",P5),"~VAR",E5),"~CANGET",V5),"~CANSET",W5),"~DESC",LEFT(G5,40))</f>
        <v/>
      </c>
      <c r="Z5" s="32" t="str">
        <f>IF(ISNUMBER($F5),SUBSTITUTE(SUBSTITUTE(SUBSTITUTE(SUBSTITUTE(SUBSTITUTE(SUBSTITUTE(SUBSTITUTE(SUBSTITUTE(y_QLabel &amp; y_QELabel &amp; IF($I5="gsu",y_QELineEdit,""),"~PVNAME",$S5),"~EGU",$J5),"~PREC",$P5),"~VAR",$E5),"~CANGET",$V5),"~CANSET",$W5),"~ROW",$F5),"~NAME",$D5),"")</f>
        <v/>
      </c>
      <c r="AA5" s="9" t="e">
        <f>VLOOKUP(H5,y_EPICS_Formats,2,FALSE)</f>
        <v>#N/A</v>
      </c>
      <c r="AB5" s="9" t="str">
        <f>IF(LEFT(I5)="g",y_Prefix&amp;S5&amp;" = ","")</f>
        <v/>
      </c>
      <c r="AC5" s="9" t="str">
        <f>IFERROR(";"&amp;G5&amp;"["&amp;J5&amp;"]"&amp;I5&amp;CHAR(10)&amp;B5 &amp;CHAR(9)&amp;U5&amp;CHAR(9)&amp;E5 &amp;CHAR(9),";;Error!")</f>
        <v xml:space="preserve">;Auto generated pmac definition script[]
;Header		-1	</v>
      </c>
      <c r="AD5" s="9" t="str">
        <f>IF(IFERROR(Q5&gt;0,FALSE),SUBSTITUTE(SUBSTITUTE(SUBSTITUTE(y_archiverXML,"~PVNAME",S5&amp;IF(LEN(X5)&lt;1,"",":RBV")),"~PREFIX",y_Prefix),"~PERIOD",Q5),"")</f>
        <v/>
      </c>
      <c r="AE5" s="20" t="str">
        <f>IF(OR(LEFT($I5)="e",LEFT($I5)="g"),AE$1-LEN(S5),"")</f>
        <v/>
      </c>
      <c r="AF5" s="20" t="str">
        <f>IF(OR(LEFT($I5)="e",LEFT($I5)="g"),AF$1-LEN(T5),"")</f>
        <v/>
      </c>
      <c r="AG5" s="20" t="str">
        <f>IF(OR(LEFT($I5)="e",LEFT($I5)="g"),AG$1-LEN(U5),"")</f>
        <v/>
      </c>
      <c r="AH5" s="20" t="str">
        <f>IF(OR(LEFT($I5)="e",LEFT($I5)="g"),AH$1-LEN(V5),"")</f>
        <v/>
      </c>
      <c r="AI5" s="2" t="str">
        <f>IF(ISNUMBER(E5),"0"&amp;LEFT(D5,2)&amp;TEXT(E5,"#.0000"),E5)</f>
        <v>0-1.0000</v>
      </c>
    </row>
    <row r="6" spans="1:35" ht="29.25" x14ac:dyDescent="0.3">
      <c r="A6" s="6" t="str">
        <f>IF(T6&lt;&gt;U6,"&lt;FIND TYPE=ASC&gt;"&amp;R6&amp;"&lt;/FIND&gt;&lt;REPLACE TYPE=ASC&gt;"&amp;S6&amp;"&lt;/REPLACE&gt;"&amp;CHAR(10)&amp;"&lt;FIND TYPE=ASC&gt;"&amp;T6&amp;"&lt;/FIND&gt;&lt;REPLACE TYPE=ASC&gt;"&amp;U6&amp;"&lt;/REPLACE&gt;"&amp;CHAR(10)&amp;"&lt;FIND TYPE=ASC&gt;"&amp;C6&amp;"&lt;/FIND&gt;&lt;REPLACE TYPE=ASC&gt;"&amp;D6&amp;"&lt;/REPLACE&gt;",".")</f>
        <v>.</v>
      </c>
      <c r="B6" s="7" t="s">
        <v>38</v>
      </c>
      <c r="C6" s="30" t="s">
        <v>484</v>
      </c>
      <c r="D6" s="7" t="s">
        <v>484</v>
      </c>
      <c r="E6" s="7">
        <v>0</v>
      </c>
      <c r="G6" s="8" t="s">
        <v>72</v>
      </c>
      <c r="H6" s="7"/>
      <c r="I6" s="7" t="s">
        <v>39</v>
      </c>
      <c r="J6" s="7"/>
      <c r="K6" s="7"/>
      <c r="L6" s="7"/>
      <c r="M6" s="7">
        <f>E6</f>
        <v>0</v>
      </c>
      <c r="N6" s="7"/>
      <c r="O6" s="7"/>
      <c r="P6" s="7"/>
      <c r="Q6" s="7">
        <v>0</v>
      </c>
      <c r="R6" s="17" t="str">
        <f>UPPER(R$1&amp;":"&amp;C6)</f>
        <v>RSCN:ER_NONE</v>
      </c>
      <c r="S6" s="9" t="str">
        <f>UPPER(S$1&amp;":"&amp;D6)</f>
        <v>RSCN:ER_NONE</v>
      </c>
      <c r="T6" s="17" t="str">
        <f>SUBSTITUTE(C6,"_","")</f>
        <v>erNONE</v>
      </c>
      <c r="U6" s="9" t="str">
        <f>SUBSTITUTE(D6,"_","")&amp;IF(RIGHT(I6)="u","U","")</f>
        <v>erNONE</v>
      </c>
      <c r="V6" s="9" t="str">
        <f>IF(ISNUMBER(K6),K6,"$(P):"&amp;$S$1&amp;":"&amp;K6)</f>
        <v>$(P):RSCN:</v>
      </c>
      <c r="W6" s="9" t="str">
        <f>IF(ISNUMBER(L6),L6,"$(P):"&amp;$S$1&amp;":"&amp;L6)</f>
        <v>$(P):RSCN:</v>
      </c>
      <c r="X6" s="9" t="str">
        <f>IF(LEFT(I6)="g",IF(H6="real",y_pmacRascanGSVar,IF(H6="int",y_pmacRascanGSVar,"")),"")</f>
        <v/>
      </c>
      <c r="Y6" s="9" t="str">
        <f>SUBSTITUTE(SUBSTITUTE(SUBSTITUTE(SUBSTITUTE(SUBSTITUTE(SUBSTITUTE(SUBSTITUTE(X6,"~PVNAME",S6),"~EGU",J6),"~PREC",P6),"~VAR",E6),"~CANGET",V6),"~CANSET",W6),"~DESC",LEFT(G6,40))</f>
        <v/>
      </c>
      <c r="Z6" s="32" t="str">
        <f>IF(ISNUMBER($F6),SUBSTITUTE(SUBSTITUTE(SUBSTITUTE(SUBSTITUTE(SUBSTITUTE(SUBSTITUTE(SUBSTITUTE(SUBSTITUTE(y_QLabel &amp; y_QELabel &amp; IF($I6="gsu",y_QELineEdit,""),"~PVNAME",$S6),"~EGU",$J6),"~PREC",$P6),"~VAR",$E6),"~CANGET",$V6),"~CANSET",$W6),"~ROW",$F6),"~NAME",$D6),"")</f>
        <v/>
      </c>
      <c r="AA6" s="9" t="e">
        <f>VLOOKUP(H6,y_EPICS_Formats,2,FALSE)</f>
        <v>#N/A</v>
      </c>
      <c r="AB6" s="9" t="str">
        <f>IF(LEFT(I6)="g",y_Prefix&amp;S6&amp;" = ","")</f>
        <v/>
      </c>
      <c r="AC6" s="9" t="str">
        <f>IFERROR(";"&amp;G6&amp;"["&amp;J6&amp;"]"&amp;I6&amp;CHAR(10)&amp;B6 &amp;CHAR(9)&amp;U6&amp;CHAR(9)&amp;E6 &amp;CHAR(9),";;Error!")</f>
        <v xml:space="preserve">;No Fault[]p
#define	erNONE	0	</v>
      </c>
      <c r="AD6" s="9" t="str">
        <f>IF(IFERROR(Q6&gt;0,FALSE),SUBSTITUTE(SUBSTITUTE(SUBSTITUTE(y_archiverXML,"~PVNAME",S6&amp;IF(LEN(X6)&lt;1,"",":RBV")),"~PREFIX",y_Prefix),"~PERIOD",Q6),"")</f>
        <v/>
      </c>
      <c r="AE6" s="20" t="str">
        <f>IF(OR(LEFT($I6)="e",LEFT($I6)="g"),AE$1-LEN(S6),"")</f>
        <v/>
      </c>
      <c r="AF6" s="20" t="str">
        <f>IF(OR(LEFT($I6)="e",LEFT($I6)="g"),AF$1-LEN(T6),"")</f>
        <v/>
      </c>
      <c r="AG6" s="20" t="str">
        <f>IF(OR(LEFT($I6)="e",LEFT($I6)="g"),AG$1-LEN(U6),"")</f>
        <v/>
      </c>
      <c r="AH6" s="20" t="str">
        <f>IF(OR(LEFT($I6)="e",LEFT($I6)="g"),AH$1-LEN(V6),"")</f>
        <v/>
      </c>
      <c r="AI6" s="2" t="str">
        <f>IF(ISNUMBER(E6),"0"&amp;LEFT(D6,2)&amp;TEXT(E6,"#.0000"),E6)</f>
        <v>0er.0000</v>
      </c>
    </row>
    <row r="7" spans="1:35" x14ac:dyDescent="0.3">
      <c r="A7" s="6" t="str">
        <f>IF(T7&lt;&gt;U7,"&lt;FIND TYPE=ASC&gt;"&amp;R7&amp;"&lt;/FIND&gt;&lt;REPLACE TYPE=ASC&gt;"&amp;S7&amp;"&lt;/REPLACE&gt;"&amp;CHAR(10)&amp;"&lt;FIND TYPE=ASC&gt;"&amp;T7&amp;"&lt;/FIND&gt;&lt;REPLACE TYPE=ASC&gt;"&amp;U7&amp;"&lt;/REPLACE&gt;"&amp;CHAR(10)&amp;"&lt;FIND TYPE=ASC&gt;"&amp;C7&amp;"&lt;/FIND&gt;&lt;REPLACE TYPE=ASC&gt;"&amp;D7&amp;"&lt;/REPLACE&gt;",".")</f>
        <v>.</v>
      </c>
      <c r="B7" s="7" t="s">
        <v>38</v>
      </c>
      <c r="C7" s="30" t="s">
        <v>494</v>
      </c>
      <c r="D7" s="7" t="s">
        <v>494</v>
      </c>
      <c r="E7" s="7">
        <v>0</v>
      </c>
      <c r="G7" s="8"/>
      <c r="H7" s="7"/>
      <c r="I7" s="7" t="s">
        <v>39</v>
      </c>
      <c r="J7" s="7"/>
      <c r="K7" s="7"/>
      <c r="L7" s="7"/>
      <c r="M7" s="7">
        <f>E7</f>
        <v>0</v>
      </c>
      <c r="N7" s="7"/>
      <c r="O7" s="7"/>
      <c r="P7" s="7"/>
      <c r="Q7" s="7">
        <v>0</v>
      </c>
      <c r="R7" s="17" t="str">
        <f>UPPER(R$1&amp;":"&amp;C7)</f>
        <v>RSCN:ST_BLANK</v>
      </c>
      <c r="S7" s="9" t="str">
        <f>UPPER(S$1&amp;":"&amp;D7)</f>
        <v>RSCN:ST_BLANK</v>
      </c>
      <c r="T7" s="17" t="str">
        <f>SUBSTITUTE(C7,"_","")</f>
        <v>stBlank</v>
      </c>
      <c r="U7" s="9" t="str">
        <f>SUBSTITUTE(D7,"_","")&amp;IF(RIGHT(I7)="u","U","")</f>
        <v>stBlank</v>
      </c>
      <c r="V7" s="9" t="str">
        <f>IF(ISNUMBER(K7),K7,"$(P):"&amp;$S$1&amp;":"&amp;K7)</f>
        <v>$(P):RSCN:</v>
      </c>
      <c r="W7" s="9" t="str">
        <f>IF(ISNUMBER(L7),L7,"$(P):"&amp;$S$1&amp;":"&amp;L7)</f>
        <v>$(P):RSCN:</v>
      </c>
      <c r="X7" s="9" t="str">
        <f>IF(LEFT(I7)="g",IF(H7="real",y_pmacRascanGSVar,IF(H7="int",y_pmacRascanGSVar,"")),"")</f>
        <v/>
      </c>
      <c r="Y7" s="9" t="str">
        <f>SUBSTITUTE(SUBSTITUTE(SUBSTITUTE(SUBSTITUTE(SUBSTITUTE(SUBSTITUTE(SUBSTITUTE(X7,"~PVNAME",S7),"~EGU",J7),"~PREC",P7),"~VAR",E7),"~CANGET",V7),"~CANSET",W7),"~DESC",LEFT(G7,40))</f>
        <v/>
      </c>
      <c r="Z7" s="32" t="str">
        <f>IF(ISNUMBER($F7),SUBSTITUTE(SUBSTITUTE(SUBSTITUTE(SUBSTITUTE(SUBSTITUTE(SUBSTITUTE(SUBSTITUTE(SUBSTITUTE(y_QLabel &amp; y_QELabel &amp; IF($I7="gsu",y_QELineEdit,""),"~PVNAME",$S7),"~EGU",$J7),"~PREC",$P7),"~VAR",$E7),"~CANGET",$V7),"~CANSET",$W7),"~ROW",$F7),"~NAME",$D7),"")</f>
        <v/>
      </c>
      <c r="AA7" s="9" t="e">
        <f>VLOOKUP(H7,y_EPICS_Formats,2,FALSE)</f>
        <v>#N/A</v>
      </c>
      <c r="AB7" s="9" t="str">
        <f>IF(LEFT(I7)="g",y_Prefix&amp;S7&amp;" = ","")</f>
        <v/>
      </c>
      <c r="AC7" s="9" t="str">
        <f>IFERROR(";"&amp;G7&amp;"["&amp;J7&amp;"]"&amp;I7&amp;CHAR(10)&amp;B7 &amp;CHAR(9)&amp;U7&amp;CHAR(9)&amp;E7 &amp;CHAR(9),";;Error!")</f>
        <v xml:space="preserve">;[]p
#define	stBlank	0	</v>
      </c>
      <c r="AD7" s="9" t="str">
        <f>IF(IFERROR(Q7&gt;0,FALSE),SUBSTITUTE(SUBSTITUTE(SUBSTITUTE(y_archiverXML,"~PVNAME",S7&amp;IF(LEN(X7)&lt;1,"",":RBV")),"~PREFIX",y_Prefix),"~PERIOD",Q7),"")</f>
        <v/>
      </c>
      <c r="AE7" s="20" t="str">
        <f>IF(OR(LEFT($I7)="e",LEFT($I7)="g"),AE$1-LEN(S7),"")</f>
        <v/>
      </c>
      <c r="AF7" s="20" t="str">
        <f>IF(OR(LEFT($I7)="e",LEFT($I7)="g"),AF$1-LEN(T7),"")</f>
        <v/>
      </c>
      <c r="AG7" s="20" t="str">
        <f>IF(OR(LEFT($I7)="e",LEFT($I7)="g"),AG$1-LEN(U7),"")</f>
        <v/>
      </c>
      <c r="AH7" s="20" t="str">
        <f>IF(OR(LEFT($I7)="e",LEFT($I7)="g"),AH$1-LEN(V7),"")</f>
        <v/>
      </c>
      <c r="AI7" s="2" t="str">
        <f>IF(ISNUMBER(E7),"0"&amp;LEFT(D7,2)&amp;TEXT(E7,"#.0000"),E7)</f>
        <v>0st.0000</v>
      </c>
    </row>
    <row r="8" spans="1:35" x14ac:dyDescent="0.3">
      <c r="A8" s="6" t="str">
        <f>IF(T8&lt;&gt;U8,"&lt;FIND TYPE=ASC&gt;"&amp;R8&amp;"&lt;/FIND&gt;&lt;REPLACE TYPE=ASC&gt;"&amp;S8&amp;"&lt;/REPLACE&gt;"&amp;CHAR(10)&amp;"&lt;FIND TYPE=ASC&gt;"&amp;T8&amp;"&lt;/FIND&gt;&lt;REPLACE TYPE=ASC&gt;"&amp;U8&amp;"&lt;/REPLACE&gt;"&amp;CHAR(10)&amp;"&lt;FIND TYPE=ASC&gt;"&amp;C8&amp;"&lt;/FIND&gt;&lt;REPLACE TYPE=ASC&gt;"&amp;D8&amp;"&lt;/REPLACE&gt;",".")</f>
        <v>.</v>
      </c>
      <c r="B8" s="7" t="s">
        <v>38</v>
      </c>
      <c r="C8" s="30" t="s">
        <v>564</v>
      </c>
      <c r="D8" s="7" t="s">
        <v>564</v>
      </c>
      <c r="E8" s="7">
        <v>1</v>
      </c>
      <c r="G8" s="8" t="s">
        <v>498</v>
      </c>
      <c r="H8" s="7"/>
      <c r="I8" s="7"/>
      <c r="J8" s="7"/>
      <c r="K8" s="7"/>
      <c r="L8" s="7"/>
      <c r="M8" s="7">
        <f>E8</f>
        <v>1</v>
      </c>
      <c r="N8" s="7"/>
      <c r="O8" s="7"/>
      <c r="P8" s="7"/>
      <c r="Q8" s="7">
        <v>0</v>
      </c>
      <c r="R8" s="17" t="str">
        <f>UPPER(R$1&amp;":"&amp;C8)</f>
        <v>RSCN:ER_V1_DELTA</v>
      </c>
      <c r="S8" s="9" t="str">
        <f>UPPER(S$1&amp;":"&amp;D8)</f>
        <v>RSCN:ER_V1_DELTA</v>
      </c>
      <c r="T8" s="17" t="str">
        <f>SUBSTITUTE(C8,"_","")</f>
        <v>erv1Delta</v>
      </c>
      <c r="U8" s="9" t="str">
        <f>SUBSTITUTE(D8,"_","")&amp;IF(RIGHT(I8)="u","U","")</f>
        <v>erv1Delta</v>
      </c>
      <c r="V8" s="9" t="str">
        <f>IF(ISNUMBER(K8),K8,"$(P):"&amp;$S$1&amp;":"&amp;K8)</f>
        <v>$(P):RSCN:</v>
      </c>
      <c r="W8" s="9" t="str">
        <f>IF(ISNUMBER(L8),L8,"$(P):"&amp;$S$1&amp;":"&amp;L8)</f>
        <v>$(P):RSCN:</v>
      </c>
      <c r="X8" s="9" t="str">
        <f>IF(LEFT(I8)="g",IF(H8="real",y_pmacRascanGSVar,IF(H8="int",y_pmacRascanGSVar,"")),"")</f>
        <v/>
      </c>
      <c r="Y8" s="9" t="str">
        <f>SUBSTITUTE(SUBSTITUTE(SUBSTITUTE(SUBSTITUTE(SUBSTITUTE(SUBSTITUTE(SUBSTITUTE(X8,"~PVNAME",S8),"~EGU",J8),"~PREC",P8),"~VAR",E8),"~CANGET",V8),"~CANSET",W8),"~DESC",LEFT(G8,40))</f>
        <v/>
      </c>
      <c r="Z8" s="32" t="str">
        <f>IF(ISNUMBER($F8),SUBSTITUTE(SUBSTITUTE(SUBSTITUTE(SUBSTITUTE(SUBSTITUTE(SUBSTITUTE(SUBSTITUTE(SUBSTITUTE(y_QLabel &amp; y_QELabel &amp; IF($I8="gsu",y_QELineEdit,""),"~PVNAME",$S8),"~EGU",$J8),"~PREC",$P8),"~VAR",$E8),"~CANGET",$V8),"~CANSET",$W8),"~ROW",$F8),"~NAME",$D8),"")</f>
        <v/>
      </c>
      <c r="AA8" s="9" t="e">
        <f>VLOOKUP(H8,y_EPICS_Formats,2,FALSE)</f>
        <v>#N/A</v>
      </c>
      <c r="AB8" s="9" t="str">
        <f>IF(LEFT(I8)="g",y_Prefix&amp;S8&amp;" = ","")</f>
        <v/>
      </c>
      <c r="AC8" s="9" t="str">
        <f>IFERROR(";"&amp;G8&amp;"["&amp;J8&amp;"]"&amp;I8&amp;CHAR(10)&amp;B8 &amp;CHAR(9)&amp;U8&amp;CHAR(9)&amp;E8 &amp;CHAR(9),";;Error!")</f>
        <v xml:space="preserve">;Velocity parameters non-consistent[]
#define	erv1Delta	1	</v>
      </c>
      <c r="AD8" s="9" t="str">
        <f>IF(IFERROR(Q8&gt;0,FALSE),SUBSTITUTE(SUBSTITUTE(SUBSTITUTE(y_archiverXML,"~PVNAME",S8&amp;IF(LEN(X8)&lt;1,"",":RBV")),"~PREFIX",y_Prefix),"~PERIOD",Q8),"")</f>
        <v/>
      </c>
      <c r="AE8" s="20" t="str">
        <f>IF(OR(LEFT($I8)="e",LEFT($I8)="g"),AE$1-LEN(S8),"")</f>
        <v/>
      </c>
      <c r="AF8" s="20" t="str">
        <f>IF(OR(LEFT($I8)="e",LEFT($I8)="g"),AF$1-LEN(T8),"")</f>
        <v/>
      </c>
      <c r="AG8" s="20" t="str">
        <f>IF(OR(LEFT($I8)="e",LEFT($I8)="g"),AG$1-LEN(U8),"")</f>
        <v/>
      </c>
      <c r="AH8" s="20" t="str">
        <f>IF(OR(LEFT($I8)="e",LEFT($I8)="g"),AH$1-LEN(V8),"")</f>
        <v/>
      </c>
      <c r="AI8" s="2" t="str">
        <f>IF(ISNUMBER(E8),"0"&amp;LEFT(D8,2)&amp;TEXT(E8,"#.0000"),E8)</f>
        <v>0er1.0000</v>
      </c>
    </row>
    <row r="9" spans="1:35" ht="29.25" x14ac:dyDescent="0.3">
      <c r="A9" s="6" t="str">
        <f>IF(T9&lt;&gt;U9,"&lt;FIND TYPE=ASC&gt;"&amp;R9&amp;"&lt;/FIND&gt;&lt;REPLACE TYPE=ASC&gt;"&amp;S9&amp;"&lt;/REPLACE&gt;"&amp;CHAR(10)&amp;"&lt;FIND TYPE=ASC&gt;"&amp;T9&amp;"&lt;/FIND&gt;&lt;REPLACE TYPE=ASC&gt;"&amp;U9&amp;"&lt;/REPLACE&gt;"&amp;CHAR(10)&amp;"&lt;FIND TYPE=ASC&gt;"&amp;C9&amp;"&lt;/FIND&gt;&lt;REPLACE TYPE=ASC&gt;"&amp;D9&amp;"&lt;/REPLACE&gt;",".")</f>
        <v>.</v>
      </c>
      <c r="B9" s="7" t="s">
        <v>38</v>
      </c>
      <c r="C9" s="30" t="s">
        <v>487</v>
      </c>
      <c r="D9" s="7" t="s">
        <v>487</v>
      </c>
      <c r="E9" s="7">
        <v>1</v>
      </c>
      <c r="G9" s="8"/>
      <c r="H9" s="7"/>
      <c r="I9" s="7" t="s">
        <v>39</v>
      </c>
      <c r="J9" s="7"/>
      <c r="K9" s="7"/>
      <c r="L9" s="7"/>
      <c r="M9" s="7">
        <f>E9</f>
        <v>1</v>
      </c>
      <c r="N9" s="7"/>
      <c r="O9" s="7"/>
      <c r="P9" s="7"/>
      <c r="Q9" s="7">
        <v>0</v>
      </c>
      <c r="R9" s="17" t="str">
        <f>UPPER(R$1&amp;":"&amp;C9)</f>
        <v>RSCN:ST_TERMINATED</v>
      </c>
      <c r="S9" s="9" t="str">
        <f>UPPER(S$1&amp;":"&amp;D9)</f>
        <v>RSCN:ST_TERMINATED</v>
      </c>
      <c r="T9" s="17" t="str">
        <f>SUBSTITUTE(C9,"_","")</f>
        <v>stTerminated</v>
      </c>
      <c r="U9" s="9" t="str">
        <f>SUBSTITUTE(D9,"_","")&amp;IF(RIGHT(I9)="u","U","")</f>
        <v>stTerminated</v>
      </c>
      <c r="V9" s="9" t="str">
        <f>IF(ISNUMBER(K9),K9,"$(P):"&amp;$S$1&amp;":"&amp;K9)</f>
        <v>$(P):RSCN:</v>
      </c>
      <c r="W9" s="9" t="str">
        <f>IF(ISNUMBER(L9),L9,"$(P):"&amp;$S$1&amp;":"&amp;L9)</f>
        <v>$(P):RSCN:</v>
      </c>
      <c r="X9" s="9" t="str">
        <f>IF(LEFT(I9)="g",IF(H9="real",y_pmacRascanGSVar,IF(H9="int",y_pmacRascanGSVar,"")),"")</f>
        <v/>
      </c>
      <c r="Y9" s="9" t="str">
        <f>SUBSTITUTE(SUBSTITUTE(SUBSTITUTE(SUBSTITUTE(SUBSTITUTE(SUBSTITUTE(SUBSTITUTE(X9,"~PVNAME",S9),"~EGU",J9),"~PREC",P9),"~VAR",E9),"~CANGET",V9),"~CANSET",W9),"~DESC",LEFT(G9,40))</f>
        <v/>
      </c>
      <c r="Z9" s="32" t="str">
        <f>IF(ISNUMBER($F9),SUBSTITUTE(SUBSTITUTE(SUBSTITUTE(SUBSTITUTE(SUBSTITUTE(SUBSTITUTE(SUBSTITUTE(SUBSTITUTE(y_QLabel &amp; y_QELabel &amp; IF($I9="gsu",y_QELineEdit,""),"~PVNAME",$S9),"~EGU",$J9),"~PREC",$P9),"~VAR",$E9),"~CANGET",$V9),"~CANSET",$W9),"~ROW",$F9),"~NAME",$D9),"")</f>
        <v/>
      </c>
      <c r="AA9" s="9" t="e">
        <f>VLOOKUP(H9,y_EPICS_Formats,2,FALSE)</f>
        <v>#N/A</v>
      </c>
      <c r="AB9" s="9" t="str">
        <f>IF(LEFT(I9)="g",y_Prefix&amp;S9&amp;" = ","")</f>
        <v/>
      </c>
      <c r="AC9" s="9" t="str">
        <f>IFERROR(";"&amp;G9&amp;"["&amp;J9&amp;"]"&amp;I9&amp;CHAR(10)&amp;B9 &amp;CHAR(9)&amp;U9&amp;CHAR(9)&amp;E9 &amp;CHAR(9),";;Error!")</f>
        <v xml:space="preserve">;[]p
#define	stTerminated	1	</v>
      </c>
      <c r="AD9" s="9" t="str">
        <f>IF(IFERROR(Q9&gt;0,FALSE),SUBSTITUTE(SUBSTITUTE(SUBSTITUTE(y_archiverXML,"~PVNAME",S9&amp;IF(LEN(X9)&lt;1,"",":RBV")),"~PREFIX",y_Prefix),"~PERIOD",Q9),"")</f>
        <v/>
      </c>
      <c r="AE9" s="20" t="str">
        <f>IF(OR(LEFT($I9)="e",LEFT($I9)="g"),AE$1-LEN(S9),"")</f>
        <v/>
      </c>
      <c r="AF9" s="20" t="str">
        <f>IF(OR(LEFT($I9)="e",LEFT($I9)="g"),AF$1-LEN(T9),"")</f>
        <v/>
      </c>
      <c r="AG9" s="20" t="str">
        <f>IF(OR(LEFT($I9)="e",LEFT($I9)="g"),AG$1-LEN(U9),"")</f>
        <v/>
      </c>
      <c r="AH9" s="20" t="str">
        <f>IF(OR(LEFT($I9)="e",LEFT($I9)="g"),AH$1-LEN(V9),"")</f>
        <v/>
      </c>
      <c r="AI9" s="2" t="str">
        <f>IF(ISNUMBER(E9),"0"&amp;LEFT(D9,2)&amp;TEXT(E9,"#.0000"),E9)</f>
        <v>0st1.0000</v>
      </c>
    </row>
    <row r="10" spans="1:35" x14ac:dyDescent="0.3">
      <c r="A10" s="6" t="str">
        <f>IF(T10&lt;&gt;U10,"&lt;FIND TYPE=ASC&gt;"&amp;R10&amp;"&lt;/FIND&gt;&lt;REPLACE TYPE=ASC&gt;"&amp;S10&amp;"&lt;/REPLACE&gt;"&amp;CHAR(10)&amp;"&lt;FIND TYPE=ASC&gt;"&amp;T10&amp;"&lt;/FIND&gt;&lt;REPLACE TYPE=ASC&gt;"&amp;U10&amp;"&lt;/REPLACE&gt;"&amp;CHAR(10)&amp;"&lt;FIND TYPE=ASC&gt;"&amp;C10&amp;"&lt;/FIND&gt;&lt;REPLACE TYPE=ASC&gt;"&amp;D10&amp;"&lt;/REPLACE&gt;",".")</f>
        <v>.</v>
      </c>
      <c r="B10" s="7" t="s">
        <v>38</v>
      </c>
      <c r="C10" s="30" t="s">
        <v>565</v>
      </c>
      <c r="D10" s="7" t="s">
        <v>565</v>
      </c>
      <c r="E10" s="7">
        <v>2</v>
      </c>
      <c r="G10" s="8" t="s">
        <v>499</v>
      </c>
      <c r="H10" s="7"/>
      <c r="I10" s="7"/>
      <c r="J10" s="7"/>
      <c r="K10" s="7"/>
      <c r="L10" s="7"/>
      <c r="M10" s="7">
        <f>E10</f>
        <v>2</v>
      </c>
      <c r="N10" s="7"/>
      <c r="O10" s="7"/>
      <c r="P10" s="7"/>
      <c r="Q10" s="7">
        <v>0</v>
      </c>
      <c r="R10" s="17" t="str">
        <f>UPPER(R$1&amp;":"&amp;C10)</f>
        <v>RSCN:ER_D1_IN</v>
      </c>
      <c r="S10" s="9" t="str">
        <f>UPPER(S$1&amp;":"&amp;D10)</f>
        <v>RSCN:ER_D1_IN</v>
      </c>
      <c r="T10" s="17" t="str">
        <f>SUBSTITUTE(C10,"_","")</f>
        <v>erd1In</v>
      </c>
      <c r="U10" s="9" t="str">
        <f>SUBSTITUTE(D10,"_","")&amp;IF(RIGHT(I10)="u","U","")</f>
        <v>erd1In</v>
      </c>
      <c r="V10" s="9" t="str">
        <f>IF(ISNUMBER(K10),K10,"$(P):"&amp;$S$1&amp;":"&amp;K10)</f>
        <v>$(P):RSCN:</v>
      </c>
      <c r="W10" s="9" t="str">
        <f>IF(ISNUMBER(L10),L10,"$(P):"&amp;$S$1&amp;":"&amp;L10)</f>
        <v>$(P):RSCN:</v>
      </c>
      <c r="X10" s="9" t="str">
        <f>IF(LEFT(I10)="g",IF(H10="real",y_pmacRascanGSVar,IF(H10="int",y_pmacRascanGSVar,"")),"")</f>
        <v/>
      </c>
      <c r="Y10" s="9" t="str">
        <f>SUBSTITUTE(SUBSTITUTE(SUBSTITUTE(SUBSTITUTE(SUBSTITUTE(SUBSTITUTE(SUBSTITUTE(X10,"~PVNAME",S10),"~EGU",J10),"~PREC",P10),"~VAR",E10),"~CANGET",V10),"~CANSET",W10),"~DESC",LEFT(G10,40))</f>
        <v/>
      </c>
      <c r="Z10" s="32" t="str">
        <f>IF(ISNUMBER($F10),SUBSTITUTE(SUBSTITUTE(SUBSTITUTE(SUBSTITUTE(SUBSTITUTE(SUBSTITUTE(SUBSTITUTE(SUBSTITUTE(y_QLabel &amp; y_QELabel &amp; IF($I10="gsu",y_QELineEdit,""),"~PVNAME",$S10),"~EGU",$J10),"~PREC",$P10),"~VAR",$E10),"~CANGET",$V10),"~CANSET",$W10),"~ROW",$F10),"~NAME",$D10),"")</f>
        <v/>
      </c>
      <c r="AA10" s="9" t="e">
        <f>VLOOKUP(H10,y_EPICS_Formats,2,FALSE)</f>
        <v>#N/A</v>
      </c>
      <c r="AB10" s="9" t="str">
        <f>IF(LEFT(I10)="g",y_Prefix&amp;S10&amp;" = ","")</f>
        <v/>
      </c>
      <c r="AC10" s="9" t="str">
        <f>IFERROR(";"&amp;G10&amp;"["&amp;J10&amp;"]"&amp;I10&amp;CHAR(10)&amp;B10 &amp;CHAR(9)&amp;U10&amp;CHAR(9)&amp;E10 &amp;CHAR(9),";;Error!")</f>
        <v xml:space="preserve">;inner-skip range non-consistent[]
#define	erd1In	2	</v>
      </c>
      <c r="AD10" s="9" t="str">
        <f>IF(IFERROR(Q10&gt;0,FALSE),SUBSTITUTE(SUBSTITUTE(SUBSTITUTE(y_archiverXML,"~PVNAME",S10&amp;IF(LEN(X10)&lt;1,"",":RBV")),"~PREFIX",y_Prefix),"~PERIOD",Q10),"")</f>
        <v/>
      </c>
      <c r="AE10" s="20" t="str">
        <f>IF(OR(LEFT($I10)="e",LEFT($I10)="g"),AE$1-LEN(S10),"")</f>
        <v/>
      </c>
      <c r="AF10" s="20" t="str">
        <f>IF(OR(LEFT($I10)="e",LEFT($I10)="g"),AF$1-LEN(T10),"")</f>
        <v/>
      </c>
      <c r="AG10" s="20" t="str">
        <f>IF(OR(LEFT($I10)="e",LEFT($I10)="g"),AG$1-LEN(U10),"")</f>
        <v/>
      </c>
      <c r="AH10" s="20" t="str">
        <f>IF(OR(LEFT($I10)="e",LEFT($I10)="g"),AH$1-LEN(V10),"")</f>
        <v/>
      </c>
      <c r="AI10" s="2" t="str">
        <f>IF(ISNUMBER(E10),"0"&amp;LEFT(D10,2)&amp;TEXT(E10,"#.0000"),E10)</f>
        <v>0er2.0000</v>
      </c>
    </row>
    <row r="11" spans="1:35" x14ac:dyDescent="0.3">
      <c r="A11" s="6" t="str">
        <f>IF(T11&lt;&gt;U11,"&lt;FIND TYPE=ASC&gt;"&amp;R11&amp;"&lt;/FIND&gt;&lt;REPLACE TYPE=ASC&gt;"&amp;S11&amp;"&lt;/REPLACE&gt;"&amp;CHAR(10)&amp;"&lt;FIND TYPE=ASC&gt;"&amp;T11&amp;"&lt;/FIND&gt;&lt;REPLACE TYPE=ASC&gt;"&amp;U11&amp;"&lt;/REPLACE&gt;"&amp;CHAR(10)&amp;"&lt;FIND TYPE=ASC&gt;"&amp;C11&amp;"&lt;/FIND&gt;&lt;REPLACE TYPE=ASC&gt;"&amp;D11&amp;"&lt;/REPLACE&gt;",".")</f>
        <v>.</v>
      </c>
      <c r="B11" s="7" t="s">
        <v>38</v>
      </c>
      <c r="C11" s="30" t="s">
        <v>488</v>
      </c>
      <c r="D11" s="7" t="s">
        <v>488</v>
      </c>
      <c r="E11" s="7">
        <v>2</v>
      </c>
      <c r="G11" s="8" t="s">
        <v>119</v>
      </c>
      <c r="H11" s="7"/>
      <c r="I11" s="7" t="s">
        <v>39</v>
      </c>
      <c r="J11" s="7"/>
      <c r="K11" s="7"/>
      <c r="L11" s="7"/>
      <c r="M11" s="7">
        <f>E11</f>
        <v>2</v>
      </c>
      <c r="N11" s="7"/>
      <c r="O11" s="7"/>
      <c r="P11" s="7"/>
      <c r="Q11" s="7">
        <v>0</v>
      </c>
      <c r="R11" s="17" t="str">
        <f>UPPER(R$1&amp;":"&amp;C11)</f>
        <v>RSCN:ST_STANDBY</v>
      </c>
      <c r="S11" s="9" t="str">
        <f>UPPER(S$1&amp;":"&amp;D11)</f>
        <v>RSCN:ST_STANDBY</v>
      </c>
      <c r="T11" s="17" t="str">
        <f>SUBSTITUTE(C11,"_","")</f>
        <v>stStandby</v>
      </c>
      <c r="U11" s="9" t="str">
        <f>SUBSTITUTE(D11,"_","")&amp;IF(RIGHT(I11)="u","U","")</f>
        <v>stStandby</v>
      </c>
      <c r="V11" s="9" t="str">
        <f>IF(ISNUMBER(K11),K11,"$(P):"&amp;$S$1&amp;":"&amp;K11)</f>
        <v>$(P):RSCN:</v>
      </c>
      <c r="W11" s="9" t="str">
        <f>IF(ISNUMBER(L11),L11,"$(P):"&amp;$S$1&amp;":"&amp;L11)</f>
        <v>$(P):RSCN:</v>
      </c>
      <c r="X11" s="9" t="str">
        <f>IF(LEFT(I11)="g",IF(H11="real",y_pmacRascanGSVar,IF(H11="int",y_pmacRascanGSVar,"")),"")</f>
        <v/>
      </c>
      <c r="Y11" s="9" t="str">
        <f>SUBSTITUTE(SUBSTITUTE(SUBSTITUTE(SUBSTITUTE(SUBSTITUTE(SUBSTITUTE(SUBSTITUTE(X11,"~PVNAME",S11),"~EGU",J11),"~PREC",P11),"~VAR",E11),"~CANGET",V11),"~CANSET",W11),"~DESC",LEFT(G11,40))</f>
        <v/>
      </c>
      <c r="Z11" s="32" t="str">
        <f>IF(ISNUMBER($F11),SUBSTITUTE(SUBSTITUTE(SUBSTITUTE(SUBSTITUTE(SUBSTITUTE(SUBSTITUTE(SUBSTITUTE(SUBSTITUTE(y_QLabel &amp; y_QELabel &amp; IF($I11="gsu",y_QELineEdit,""),"~PVNAME",$S11),"~EGU",$J11),"~PREC",$P11),"~VAR",$E11),"~CANGET",$V11),"~CANSET",$W11),"~ROW",$F11),"~NAME",$D11),"")</f>
        <v/>
      </c>
      <c r="AA11" s="9" t="e">
        <f>VLOOKUP(H11,y_EPICS_Formats,2,FALSE)</f>
        <v>#N/A</v>
      </c>
      <c r="AB11" s="9" t="str">
        <f>IF(LEFT(I11)="g",y_Prefix&amp;S11&amp;" = ","")</f>
        <v/>
      </c>
      <c r="AC11" s="9" t="str">
        <f>IFERROR(";"&amp;G11&amp;"["&amp;J11&amp;"]"&amp;I11&amp;CHAR(10)&amp;B11 &amp;CHAR(9)&amp;U11&amp;CHAR(9)&amp;E11 &amp;CHAR(9),";;Error!")</f>
        <v xml:space="preserve">;Standby, waiting for user setup[]p
#define	stStandby	2	</v>
      </c>
      <c r="AD11" s="9" t="str">
        <f>IF(IFERROR(Q11&gt;0,FALSE),SUBSTITUTE(SUBSTITUTE(SUBSTITUTE(y_archiverXML,"~PVNAME",S11&amp;IF(LEN(X11)&lt;1,"",":RBV")),"~PREFIX",y_Prefix),"~PERIOD",Q11),"")</f>
        <v/>
      </c>
      <c r="AE11" s="20" t="str">
        <f>IF(OR(LEFT($I11)="e",LEFT($I11)="g"),AE$1-LEN(S11),"")</f>
        <v/>
      </c>
      <c r="AF11" s="20" t="str">
        <f>IF(OR(LEFT($I11)="e",LEFT($I11)="g"),AF$1-LEN(T11),"")</f>
        <v/>
      </c>
      <c r="AG11" s="20" t="str">
        <f>IF(OR(LEFT($I11)="e",LEFT($I11)="g"),AG$1-LEN(U11),"")</f>
        <v/>
      </c>
      <c r="AH11" s="20" t="str">
        <f>IF(OR(LEFT($I11)="e",LEFT($I11)="g"),AH$1-LEN(V11),"")</f>
        <v/>
      </c>
      <c r="AI11" s="2" t="str">
        <f>IF(ISNUMBER(E11),"0"&amp;LEFT(D11,2)&amp;TEXT(E11,"#.0000"),E11)</f>
        <v>0st2.0000</v>
      </c>
    </row>
    <row r="12" spans="1:35" x14ac:dyDescent="0.3">
      <c r="A12" s="6" t="str">
        <f>IF(T12&lt;&gt;U12,"&lt;FIND TYPE=ASC&gt;"&amp;R12&amp;"&lt;/FIND&gt;&lt;REPLACE TYPE=ASC&gt;"&amp;S12&amp;"&lt;/REPLACE&gt;"&amp;CHAR(10)&amp;"&lt;FIND TYPE=ASC&gt;"&amp;T12&amp;"&lt;/FIND&gt;&lt;REPLACE TYPE=ASC&gt;"&amp;U12&amp;"&lt;/REPLACE&gt;"&amp;CHAR(10)&amp;"&lt;FIND TYPE=ASC&gt;"&amp;C12&amp;"&lt;/FIND&gt;&lt;REPLACE TYPE=ASC&gt;"&amp;D12&amp;"&lt;/REPLACE&gt;",".")</f>
        <v>.</v>
      </c>
      <c r="B12" s="7" t="s">
        <v>38</v>
      </c>
      <c r="C12" s="30" t="s">
        <v>497</v>
      </c>
      <c r="D12" s="7" t="s">
        <v>497</v>
      </c>
      <c r="E12" s="7">
        <v>3</v>
      </c>
      <c r="G12" s="8" t="s">
        <v>500</v>
      </c>
      <c r="H12" s="7"/>
      <c r="I12" s="7"/>
      <c r="J12" s="7"/>
      <c r="K12" s="7"/>
      <c r="L12" s="7"/>
      <c r="M12" s="7">
        <f>E12</f>
        <v>3</v>
      </c>
      <c r="N12" s="7"/>
      <c r="O12" s="7"/>
      <c r="P12" s="7"/>
      <c r="Q12" s="7">
        <v>0</v>
      </c>
      <c r="R12" s="17" t="str">
        <f>UPPER(R$1&amp;":"&amp;C12)</f>
        <v>RSCN:ER_TRJBUILDER</v>
      </c>
      <c r="S12" s="9" t="str">
        <f>UPPER(S$1&amp;":"&amp;D12)</f>
        <v>RSCN:ER_TRJBUILDER</v>
      </c>
      <c r="T12" s="17" t="str">
        <f>SUBSTITUTE(C12,"_","")</f>
        <v>erTrjBuilder</v>
      </c>
      <c r="U12" s="9" t="str">
        <f>SUBSTITUTE(D12,"_","")&amp;IF(RIGHT(I12)="u","U","")</f>
        <v>erTrjBuilder</v>
      </c>
      <c r="V12" s="9" t="str">
        <f>IF(ISNUMBER(K12),K12,"$(P):"&amp;$S$1&amp;":"&amp;K12)</f>
        <v>$(P):RSCN:</v>
      </c>
      <c r="W12" s="9" t="str">
        <f>IF(ISNUMBER(L12),L12,"$(P):"&amp;$S$1&amp;":"&amp;L12)</f>
        <v>$(P):RSCN:</v>
      </c>
      <c r="X12" s="9" t="str">
        <f>IF(LEFT(I12)="g",IF(H12="real",y_pmacRascanGSVar,IF(H12="int",y_pmacRascanGSVar,"")),"")</f>
        <v/>
      </c>
      <c r="Y12" s="9" t="str">
        <f>SUBSTITUTE(SUBSTITUTE(SUBSTITUTE(SUBSTITUTE(SUBSTITUTE(SUBSTITUTE(SUBSTITUTE(X12,"~PVNAME",S12),"~EGU",J12),"~PREC",P12),"~VAR",E12),"~CANGET",V12),"~CANSET",W12),"~DESC",LEFT(G12,40))</f>
        <v/>
      </c>
      <c r="Z12" s="32" t="str">
        <f>IF(ISNUMBER($F12),SUBSTITUTE(SUBSTITUTE(SUBSTITUTE(SUBSTITUTE(SUBSTITUTE(SUBSTITUTE(SUBSTITUTE(SUBSTITUTE(y_QLabel &amp; y_QELabel &amp; IF($I12="gsu",y_QELineEdit,""),"~PVNAME",$S12),"~EGU",$J12),"~PREC",$P12),"~VAR",$E12),"~CANGET",$V12),"~CANSET",$W12),"~ROW",$F12),"~NAME",$D12),"")</f>
        <v/>
      </c>
      <c r="AA12" s="9" t="e">
        <f>VLOOKUP(H12,y_EPICS_Formats,2,FALSE)</f>
        <v>#N/A</v>
      </c>
      <c r="AB12" s="9" t="str">
        <f>IF(LEFT(I12)="g",y_Prefix&amp;S12&amp;" = ","")</f>
        <v/>
      </c>
      <c r="AC12" s="9" t="str">
        <f>IFERROR(";"&amp;G12&amp;"["&amp;J12&amp;"]"&amp;I12&amp;CHAR(10)&amp;B12 &amp;CHAR(9)&amp;U12&amp;CHAR(9)&amp;E12 &amp;CHAR(9),";;Error!")</f>
        <v xml:space="preserve">;trajectory builder error[]
#define	erTrjBuilder	3	</v>
      </c>
      <c r="AD12" s="9" t="str">
        <f>IF(IFERROR(Q12&gt;0,FALSE),SUBSTITUTE(SUBSTITUTE(SUBSTITUTE(y_archiverXML,"~PVNAME",S12&amp;IF(LEN(X12)&lt;1,"",":RBV")),"~PREFIX",y_Prefix),"~PERIOD",Q12),"")</f>
        <v/>
      </c>
      <c r="AE12" s="20" t="str">
        <f>IF(OR(LEFT($I12)="e",LEFT($I12)="g"),AE$1-LEN(S12),"")</f>
        <v/>
      </c>
      <c r="AF12" s="20" t="str">
        <f>IF(OR(LEFT($I12)="e",LEFT($I12)="g"),AF$1-LEN(T12),"")</f>
        <v/>
      </c>
      <c r="AG12" s="20" t="str">
        <f>IF(OR(LEFT($I12)="e",LEFT($I12)="g"),AG$1-LEN(U12),"")</f>
        <v/>
      </c>
      <c r="AH12" s="20" t="str">
        <f>IF(OR(LEFT($I12)="e",LEFT($I12)="g"),AH$1-LEN(V12),"")</f>
        <v/>
      </c>
      <c r="AI12" s="2" t="str">
        <f>IF(ISNUMBER(E12),"0"&amp;LEFT(D12,2)&amp;TEXT(E12,"#.0000"),E12)</f>
        <v>0er3.0000</v>
      </c>
    </row>
    <row r="13" spans="1:35" x14ac:dyDescent="0.3">
      <c r="A13" s="6" t="str">
        <f>IF(T13&lt;&gt;U13,"&lt;FIND TYPE=ASC&gt;"&amp;R13&amp;"&lt;/FIND&gt;&lt;REPLACE TYPE=ASC&gt;"&amp;S13&amp;"&lt;/REPLACE&gt;"&amp;CHAR(10)&amp;"&lt;FIND TYPE=ASC&gt;"&amp;T13&amp;"&lt;/FIND&gt;&lt;REPLACE TYPE=ASC&gt;"&amp;U13&amp;"&lt;/REPLACE&gt;"&amp;CHAR(10)&amp;"&lt;FIND TYPE=ASC&gt;"&amp;C13&amp;"&lt;/FIND&gt;&lt;REPLACE TYPE=ASC&gt;"&amp;D13&amp;"&lt;/REPLACE&gt;",".")</f>
        <v>.</v>
      </c>
      <c r="B13" s="7" t="s">
        <v>38</v>
      </c>
      <c r="C13" s="30" t="s">
        <v>489</v>
      </c>
      <c r="D13" s="7" t="s">
        <v>489</v>
      </c>
      <c r="E13" s="7">
        <v>3</v>
      </c>
      <c r="G13" s="8" t="s">
        <v>120</v>
      </c>
      <c r="H13" s="7"/>
      <c r="I13" s="7" t="s">
        <v>39</v>
      </c>
      <c r="J13" s="7"/>
      <c r="K13" s="7"/>
      <c r="L13" s="7"/>
      <c r="M13" s="7">
        <f>E13</f>
        <v>3</v>
      </c>
      <c r="N13" s="7"/>
      <c r="O13" s="7"/>
      <c r="P13" s="7"/>
      <c r="Q13" s="7">
        <v>0</v>
      </c>
      <c r="R13" s="17" t="str">
        <f>UPPER(R$1&amp;":"&amp;C13)</f>
        <v>RSCN:ST_COMPILING</v>
      </c>
      <c r="S13" s="9" t="str">
        <f>UPPER(S$1&amp;":"&amp;D13)</f>
        <v>RSCN:ST_COMPILING</v>
      </c>
      <c r="T13" s="17" t="str">
        <f>SUBSTITUTE(C13,"_","")</f>
        <v>stCompiling</v>
      </c>
      <c r="U13" s="9" t="str">
        <f>SUBSTITUTE(D13,"_","")&amp;IF(RIGHT(I13)="u","U","")</f>
        <v>stCompiling</v>
      </c>
      <c r="V13" s="9" t="str">
        <f>IF(ISNUMBER(K13),K13,"$(P):"&amp;$S$1&amp;":"&amp;K13)</f>
        <v>$(P):RSCN:</v>
      </c>
      <c r="W13" s="9" t="str">
        <f>IF(ISNUMBER(L13),L13,"$(P):"&amp;$S$1&amp;":"&amp;L13)</f>
        <v>$(P):RSCN:</v>
      </c>
      <c r="X13" s="9" t="str">
        <f>IF(LEFT(I13)="g",IF(H13="real",y_pmacRascanGSVar,IF(H13="int",y_pmacRascanGSVar,"")),"")</f>
        <v/>
      </c>
      <c r="Y13" s="9" t="str">
        <f>SUBSTITUTE(SUBSTITUTE(SUBSTITUTE(SUBSTITUTE(SUBSTITUTE(SUBSTITUTE(SUBSTITUTE(X13,"~PVNAME",S13),"~EGU",J13),"~PREC",P13),"~VAR",E13),"~CANGET",V13),"~CANSET",W13),"~DESC",LEFT(G13,40))</f>
        <v/>
      </c>
      <c r="Z13" s="32" t="str">
        <f>IF(ISNUMBER($F13),SUBSTITUTE(SUBSTITUTE(SUBSTITUTE(SUBSTITUTE(SUBSTITUTE(SUBSTITUTE(SUBSTITUTE(SUBSTITUTE(y_QLabel &amp; y_QELabel &amp; IF($I13="gsu",y_QELineEdit,""),"~PVNAME",$S13),"~EGU",$J13),"~PREC",$P13),"~VAR",$E13),"~CANGET",$V13),"~CANSET",$W13),"~ROW",$F13),"~NAME",$D13),"")</f>
        <v/>
      </c>
      <c r="AA13" s="9" t="e">
        <f>VLOOKUP(H13,y_EPICS_Formats,2,FALSE)</f>
        <v>#N/A</v>
      </c>
      <c r="AB13" s="9" t="str">
        <f>IF(LEFT(I13)="g",y_Prefix&amp;S13&amp;" = ","")</f>
        <v/>
      </c>
      <c r="AC13" s="9" t="str">
        <f>IFERROR(";"&amp;G13&amp;"["&amp;J13&amp;"]"&amp;I13&amp;CHAR(10)&amp;B13 &amp;CHAR(9)&amp;U13&amp;CHAR(9)&amp;E13 &amp;CHAR(9),";;Error!")</f>
        <v xml:space="preserve">;Compiling scan[]p
#define	stCompiling	3	</v>
      </c>
      <c r="AD13" s="9" t="str">
        <f>IF(IFERROR(Q13&gt;0,FALSE),SUBSTITUTE(SUBSTITUTE(SUBSTITUTE(y_archiverXML,"~PVNAME",S13&amp;IF(LEN(X13)&lt;1,"",":RBV")),"~PREFIX",y_Prefix),"~PERIOD",Q13),"")</f>
        <v/>
      </c>
      <c r="AE13" s="20" t="str">
        <f>IF(OR(LEFT($I13)="e",LEFT($I13)="g"),AE$1-LEN(S13),"")</f>
        <v/>
      </c>
      <c r="AF13" s="20" t="str">
        <f>IF(OR(LEFT($I13)="e",LEFT($I13)="g"),AF$1-LEN(T13),"")</f>
        <v/>
      </c>
      <c r="AG13" s="20" t="str">
        <f>IF(OR(LEFT($I13)="e",LEFT($I13)="g"),AG$1-LEN(U13),"")</f>
        <v/>
      </c>
      <c r="AH13" s="20" t="str">
        <f>IF(OR(LEFT($I13)="e",LEFT($I13)="g"),AH$1-LEN(V13),"")</f>
        <v/>
      </c>
      <c r="AI13" s="2" t="str">
        <f>IF(ISNUMBER(E13),"0"&amp;LEFT(D13,2)&amp;TEXT(E13,"#.0000"),E13)</f>
        <v>0st3.0000</v>
      </c>
    </row>
    <row r="14" spans="1:35" x14ac:dyDescent="0.3">
      <c r="A14" s="6" t="str">
        <f>IF(T14&lt;&gt;U14,"&lt;FIND TYPE=ASC&gt;"&amp;R14&amp;"&lt;/FIND&gt;&lt;REPLACE TYPE=ASC&gt;"&amp;S14&amp;"&lt;/REPLACE&gt;"&amp;CHAR(10)&amp;"&lt;FIND TYPE=ASC&gt;"&amp;T14&amp;"&lt;/FIND&gt;&lt;REPLACE TYPE=ASC&gt;"&amp;U14&amp;"&lt;/REPLACE&gt;"&amp;CHAR(10)&amp;"&lt;FIND TYPE=ASC&gt;"&amp;C14&amp;"&lt;/FIND&gt;&lt;REPLACE TYPE=ASC&gt;"&amp;D14&amp;"&lt;/REPLACE&gt;",".")</f>
        <v>.</v>
      </c>
      <c r="B14" s="7" t="s">
        <v>38</v>
      </c>
      <c r="C14" s="30" t="s">
        <v>501</v>
      </c>
      <c r="D14" s="7" t="s">
        <v>501</v>
      </c>
      <c r="E14" s="7">
        <v>4</v>
      </c>
      <c r="G14" s="8" t="s">
        <v>502</v>
      </c>
      <c r="H14" s="7"/>
      <c r="I14" s="7"/>
      <c r="J14" s="7"/>
      <c r="K14" s="7"/>
      <c r="L14" s="7"/>
      <c r="M14" s="7">
        <f>E14</f>
        <v>4</v>
      </c>
      <c r="N14" s="7"/>
      <c r="O14" s="7"/>
      <c r="P14" s="7"/>
      <c r="Q14" s="7">
        <v>0</v>
      </c>
      <c r="R14" s="17" t="str">
        <f>UPPER(R$1&amp;":"&amp;C14)</f>
        <v>RSCN:ER_ERROR4</v>
      </c>
      <c r="S14" s="9" t="str">
        <f>UPPER(S$1&amp;":"&amp;D14)</f>
        <v>RSCN:ER_ERROR4</v>
      </c>
      <c r="T14" s="17" t="str">
        <f>SUBSTITUTE(C14,"_","")</f>
        <v>erERROR4</v>
      </c>
      <c r="U14" s="9" t="str">
        <f>SUBSTITUTE(D14,"_","")&amp;IF(RIGHT(I14)="u","U","")</f>
        <v>erERROR4</v>
      </c>
      <c r="V14" s="9" t="str">
        <f>IF(ISNUMBER(K14),K14,"$(P):"&amp;$S$1&amp;":"&amp;K14)</f>
        <v>$(P):RSCN:</v>
      </c>
      <c r="W14" s="9" t="str">
        <f>IF(ISNUMBER(L14),L14,"$(P):"&amp;$S$1&amp;":"&amp;L14)</f>
        <v>$(P):RSCN:</v>
      </c>
      <c r="X14" s="9" t="str">
        <f>IF(LEFT(I14)="g",IF(H14="real",y_pmacRascanGSVar,IF(H14="int",y_pmacRascanGSVar,"")),"")</f>
        <v/>
      </c>
      <c r="Y14" s="9" t="str">
        <f>SUBSTITUTE(SUBSTITUTE(SUBSTITUTE(SUBSTITUTE(SUBSTITUTE(SUBSTITUTE(SUBSTITUTE(X14,"~PVNAME",S14),"~EGU",J14),"~PREC",P14),"~VAR",E14),"~CANGET",V14),"~CANSET",W14),"~DESC",LEFT(G14,40))</f>
        <v/>
      </c>
      <c r="Z14" s="32" t="str">
        <f>IF(ISNUMBER($F14),SUBSTITUTE(SUBSTITUTE(SUBSTITUTE(SUBSTITUTE(SUBSTITUTE(SUBSTITUTE(SUBSTITUTE(SUBSTITUTE(y_QLabel &amp; y_QELabel &amp; IF($I14="gsu",y_QELineEdit,""),"~PVNAME",$S14),"~EGU",$J14),"~PREC",$P14),"~VAR",$E14),"~CANGET",$V14),"~CANSET",$W14),"~ROW",$F14),"~NAME",$D14),"")</f>
        <v/>
      </c>
      <c r="AA14" s="9" t="e">
        <f>VLOOKUP(H14,y_EPICS_Formats,2,FALSE)</f>
        <v>#N/A</v>
      </c>
      <c r="AB14" s="9" t="str">
        <f>IF(LEFT(I14)="g",y_Prefix&amp;S14&amp;" = ","")</f>
        <v/>
      </c>
      <c r="AC14" s="9" t="str">
        <f>IFERROR(";"&amp;G14&amp;"["&amp;J14&amp;"]"&amp;I14&amp;CHAR(10)&amp;B14 &amp;CHAR(9)&amp;U14&amp;CHAR(9)&amp;E14 &amp;CHAR(9),";;Error!")</f>
        <v xml:space="preserve">;reserved[]
#define	erERROR4	4	</v>
      </c>
      <c r="AD14" s="9" t="str">
        <f>IF(IFERROR(Q14&gt;0,FALSE),SUBSTITUTE(SUBSTITUTE(SUBSTITUTE(y_archiverXML,"~PVNAME",S14&amp;IF(LEN(X14)&lt;1,"",":RBV")),"~PREFIX",y_Prefix),"~PERIOD",Q14),"")</f>
        <v/>
      </c>
      <c r="AE14" s="20" t="str">
        <f>IF(OR(LEFT($I14)="e",LEFT($I14)="g"),AE$1-LEN(S14),"")</f>
        <v/>
      </c>
      <c r="AF14" s="20" t="str">
        <f>IF(OR(LEFT($I14)="e",LEFT($I14)="g"),AF$1-LEN(T14),"")</f>
        <v/>
      </c>
      <c r="AG14" s="20" t="str">
        <f>IF(OR(LEFT($I14)="e",LEFT($I14)="g"),AG$1-LEN(U14),"")</f>
        <v/>
      </c>
      <c r="AH14" s="20" t="str">
        <f>IF(OR(LEFT($I14)="e",LEFT($I14)="g"),AH$1-LEN(V14),"")</f>
        <v/>
      </c>
      <c r="AI14" s="2" t="str">
        <f>IF(ISNUMBER(E14),"0"&amp;LEFT(D14,2)&amp;TEXT(E14,"#.0000"),E14)</f>
        <v>0er4.0000</v>
      </c>
    </row>
    <row r="15" spans="1:35" x14ac:dyDescent="0.3">
      <c r="A15" s="6" t="str">
        <f>IF(T15&lt;&gt;U15,"&lt;FIND TYPE=ASC&gt;"&amp;R15&amp;"&lt;/FIND&gt;&lt;REPLACE TYPE=ASC&gt;"&amp;S15&amp;"&lt;/REPLACE&gt;"&amp;CHAR(10)&amp;"&lt;FIND TYPE=ASC&gt;"&amp;T15&amp;"&lt;/FIND&gt;&lt;REPLACE TYPE=ASC&gt;"&amp;U15&amp;"&lt;/REPLACE&gt;"&amp;CHAR(10)&amp;"&lt;FIND TYPE=ASC&gt;"&amp;C15&amp;"&lt;/FIND&gt;&lt;REPLACE TYPE=ASC&gt;"&amp;D15&amp;"&lt;/REPLACE&gt;",".")</f>
        <v>.</v>
      </c>
      <c r="B15" s="7" t="s">
        <v>38</v>
      </c>
      <c r="C15" s="30" t="s">
        <v>490</v>
      </c>
      <c r="D15" s="7" t="s">
        <v>490</v>
      </c>
      <c r="E15" s="7">
        <v>4</v>
      </c>
      <c r="G15" s="8" t="s">
        <v>515</v>
      </c>
      <c r="H15" s="7"/>
      <c r="I15" s="7" t="s">
        <v>39</v>
      </c>
      <c r="J15" s="7"/>
      <c r="K15" s="7"/>
      <c r="L15" s="7"/>
      <c r="M15" s="7">
        <f>E15</f>
        <v>4</v>
      </c>
      <c r="N15" s="7"/>
      <c r="O15" s="7"/>
      <c r="P15" s="7"/>
      <c r="Q15" s="7">
        <v>0</v>
      </c>
      <c r="R15" s="17" t="str">
        <f>UPPER(R$1&amp;":"&amp;C15)</f>
        <v>RSCN:ST_READY</v>
      </c>
      <c r="S15" s="9" t="str">
        <f>UPPER(S$1&amp;":"&amp;D15)</f>
        <v>RSCN:ST_READY</v>
      </c>
      <c r="T15" s="17" t="str">
        <f>SUBSTITUTE(C15,"_","")</f>
        <v>stReady</v>
      </c>
      <c r="U15" s="9" t="str">
        <f>SUBSTITUTE(D15,"_","")&amp;IF(RIGHT(I15)="u","U","")</f>
        <v>stReady</v>
      </c>
      <c r="V15" s="9" t="str">
        <f>IF(ISNUMBER(K15),K15,"$(P):"&amp;$S$1&amp;":"&amp;K15)</f>
        <v>$(P):RSCN:</v>
      </c>
      <c r="W15" s="9" t="str">
        <f>IF(ISNUMBER(L15),L15,"$(P):"&amp;$S$1&amp;":"&amp;L15)</f>
        <v>$(P):RSCN:</v>
      </c>
      <c r="X15" s="9" t="str">
        <f>IF(LEFT(I15)="g",IF(H15="real",y_pmacRascanGSVar,IF(H15="int",y_pmacRascanGSVar,"")),"")</f>
        <v/>
      </c>
      <c r="Y15" s="9" t="str">
        <f>SUBSTITUTE(SUBSTITUTE(SUBSTITUTE(SUBSTITUTE(SUBSTITUTE(SUBSTITUTE(SUBSTITUTE(X15,"~PVNAME",S15),"~EGU",J15),"~PREC",P15),"~VAR",E15),"~CANGET",V15),"~CANSET",W15),"~DESC",LEFT(G15,40))</f>
        <v/>
      </c>
      <c r="Z15" s="32" t="str">
        <f>IF(ISNUMBER($F15),SUBSTITUTE(SUBSTITUTE(SUBSTITUTE(SUBSTITUTE(SUBSTITUTE(SUBSTITUTE(SUBSTITUTE(SUBSTITUTE(y_QLabel &amp; y_QELabel &amp; IF($I15="gsu",y_QELineEdit,""),"~PVNAME",$S15),"~EGU",$J15),"~PREC",$P15),"~VAR",$E15),"~CANGET",$V15),"~CANSET",$W15),"~ROW",$F15),"~NAME",$D15),"")</f>
        <v/>
      </c>
      <c r="AA15" s="9" t="e">
        <f>VLOOKUP(H15,y_EPICS_Formats,2,FALSE)</f>
        <v>#N/A</v>
      </c>
      <c r="AB15" s="9" t="str">
        <f>IF(LEFT(I15)="g",y_Prefix&amp;S15&amp;" = ","")</f>
        <v/>
      </c>
      <c r="AC15" s="9" t="str">
        <f>IFERROR(";"&amp;G15&amp;"["&amp;J15&amp;"]"&amp;I15&amp;CHAR(10)&amp;B15 &amp;CHAR(9)&amp;U15&amp;CHAR(9)&amp;E15 &amp;CHAR(9),";;Error!")</f>
        <v xml:space="preserve">;Setup is being verified[]p
#define	stReady	4	</v>
      </c>
      <c r="AD15" s="9" t="str">
        <f>IF(IFERROR(Q15&gt;0,FALSE),SUBSTITUTE(SUBSTITUTE(SUBSTITUTE(y_archiverXML,"~PVNAME",S15&amp;IF(LEN(X15)&lt;1,"",":RBV")),"~PREFIX",y_Prefix),"~PERIOD",Q15),"")</f>
        <v/>
      </c>
      <c r="AE15" s="20" t="str">
        <f>IF(OR(LEFT($I15)="e",LEFT($I15)="g"),AE$1-LEN(S15),"")</f>
        <v/>
      </c>
      <c r="AF15" s="20" t="str">
        <f>IF(OR(LEFT($I15)="e",LEFT($I15)="g"),AF$1-LEN(T15),"")</f>
        <v/>
      </c>
      <c r="AG15" s="20" t="str">
        <f>IF(OR(LEFT($I15)="e",LEFT($I15)="g"),AG$1-LEN(U15),"")</f>
        <v/>
      </c>
      <c r="AH15" s="20" t="str">
        <f>IF(OR(LEFT($I15)="e",LEFT($I15)="g"),AH$1-LEN(V15),"")</f>
        <v/>
      </c>
      <c r="AI15" s="2" t="str">
        <f>IF(ISNUMBER(E15),"0"&amp;LEFT(D15,2)&amp;TEXT(E15,"#.0000"),E15)</f>
        <v>0st4.0000</v>
      </c>
    </row>
    <row r="16" spans="1:35" x14ac:dyDescent="0.3">
      <c r="A16" s="6" t="str">
        <f>IF(T16&lt;&gt;U16,"&lt;FIND TYPE=ASC&gt;"&amp;R16&amp;"&lt;/FIND&gt;&lt;REPLACE TYPE=ASC&gt;"&amp;S16&amp;"&lt;/REPLACE&gt;"&amp;CHAR(10)&amp;"&lt;FIND TYPE=ASC&gt;"&amp;T16&amp;"&lt;/FIND&gt;&lt;REPLACE TYPE=ASC&gt;"&amp;U16&amp;"&lt;/REPLACE&gt;"&amp;CHAR(10)&amp;"&lt;FIND TYPE=ASC&gt;"&amp;C16&amp;"&lt;/FIND&gt;&lt;REPLACE TYPE=ASC&gt;"&amp;D16&amp;"&lt;/REPLACE&gt;",".")</f>
        <v>.</v>
      </c>
      <c r="B16" s="7" t="s">
        <v>38</v>
      </c>
      <c r="C16" s="30" t="s">
        <v>514</v>
      </c>
      <c r="D16" s="7" t="s">
        <v>514</v>
      </c>
      <c r="E16" s="7">
        <v>4</v>
      </c>
      <c r="G16" s="8" t="s">
        <v>48</v>
      </c>
      <c r="H16" s="7"/>
      <c r="I16" s="7" t="s">
        <v>39</v>
      </c>
      <c r="J16" s="7" t="s">
        <v>73</v>
      </c>
      <c r="K16" s="7"/>
      <c r="L16" s="7"/>
      <c r="M16" s="7">
        <v>4</v>
      </c>
      <c r="N16" s="7"/>
      <c r="O16" s="7"/>
      <c r="P16" s="7"/>
      <c r="Q16" s="7">
        <v>0</v>
      </c>
      <c r="R16" s="17" t="str">
        <f>UPPER(R$1&amp;":"&amp;C16)</f>
        <v>RSCN:T_MAX</v>
      </c>
      <c r="S16" s="9" t="str">
        <f>UPPER(S$1&amp;":"&amp;D16)</f>
        <v>RSCN:T_MAX</v>
      </c>
      <c r="T16" s="17" t="str">
        <f>SUBSTITUTE(C16,"_","")</f>
        <v>tMax</v>
      </c>
      <c r="U16" s="9" t="str">
        <f>SUBSTITUTE(D16,"_","")&amp;IF(RIGHT(I16)="u","U","")</f>
        <v>tMax</v>
      </c>
      <c r="V16" s="9" t="str">
        <f>IF(ISNUMBER(K16),K16,"$(P):"&amp;$S$1&amp;":"&amp;K16)</f>
        <v>$(P):RSCN:</v>
      </c>
      <c r="W16" s="9" t="str">
        <f>IF(ISNUMBER(L16),L16,"$(P):"&amp;$S$1&amp;":"&amp;L16)</f>
        <v>$(P):RSCN:</v>
      </c>
      <c r="X16" s="9" t="str">
        <f>IF(LEFT(I16)="g",IF(H16="real",y_pmacRascanGSVar,IF(H16="int",y_pmacRascanGSVar,"")),"")</f>
        <v/>
      </c>
      <c r="Y16" s="9" t="str">
        <f>SUBSTITUTE(SUBSTITUTE(SUBSTITUTE(SUBSTITUTE(SUBSTITUTE(SUBSTITUTE(SUBSTITUTE(X16,"~PVNAME",S16),"~EGU",J16),"~PREC",P16),"~VAR",E16),"~CANGET",V16),"~CANSET",W16),"~DESC",LEFT(G16,40))</f>
        <v/>
      </c>
      <c r="Z16" s="32" t="str">
        <f>IF(ISNUMBER($F16),SUBSTITUTE(SUBSTITUTE(SUBSTITUTE(SUBSTITUTE(SUBSTITUTE(SUBSTITUTE(SUBSTITUTE(SUBSTITUTE(y_QLabel &amp; y_QELabel &amp; IF($I16="gsu",y_QELineEdit,""),"~PVNAME",$S16),"~EGU",$J16),"~PREC",$P16),"~VAR",$E16),"~CANGET",$V16),"~CANSET",$W16),"~ROW",$F16),"~NAME",$D16),"")</f>
        <v/>
      </c>
      <c r="AA16" s="9" t="e">
        <f>VLOOKUP(H16,y_EPICS_Formats,2,FALSE)</f>
        <v>#N/A</v>
      </c>
      <c r="AB16" s="9" t="str">
        <f>IF(LEFT(I16)="g",y_Prefix&amp;S16&amp;" = ","")</f>
        <v/>
      </c>
      <c r="AC16" s="9" t="str">
        <f>IFERROR(";"&amp;G16&amp;"["&amp;J16&amp;"]"&amp;I16&amp;CHAR(10)&amp;B16 &amp;CHAR(9)&amp;U16&amp;CHAR(9)&amp;E16 &amp;CHAR(9),";;Error!")</f>
        <v xml:space="preserve">;Pmac internal variable[s]p
#define	tMax	4	</v>
      </c>
      <c r="AD16" s="9" t="str">
        <f>IF(IFERROR(Q16&gt;0,FALSE),SUBSTITUTE(SUBSTITUTE(SUBSTITUTE(y_archiverXML,"~PVNAME",S16&amp;IF(LEN(X16)&lt;1,"",":RBV")),"~PREFIX",y_Prefix),"~PERIOD",Q16),"")</f>
        <v/>
      </c>
      <c r="AE16" s="20" t="str">
        <f>IF(OR(LEFT($I16)="e",LEFT($I16)="g"),AE$1-LEN(S16),"")</f>
        <v/>
      </c>
      <c r="AF16" s="20" t="str">
        <f>IF(OR(LEFT($I16)="e",LEFT($I16)="g"),AF$1-LEN(T16),"")</f>
        <v/>
      </c>
      <c r="AG16" s="20" t="str">
        <f>IF(OR(LEFT($I16)="e",LEFT($I16)="g"),AG$1-LEN(U16),"")</f>
        <v/>
      </c>
      <c r="AH16" s="20" t="str">
        <f>IF(OR(LEFT($I16)="e",LEFT($I16)="g"),AH$1-LEN(V16),"")</f>
        <v/>
      </c>
      <c r="AI16" s="2" t="str">
        <f>IF(ISNUMBER(E16),"0"&amp;LEFT(D16,2)&amp;TEXT(E16,"#.0000"),E16)</f>
        <v>0t_4.0000</v>
      </c>
    </row>
    <row r="17" spans="1:35" x14ac:dyDescent="0.3">
      <c r="A17" s="6" t="str">
        <f>IF(T17&lt;&gt;U17,"&lt;FIND TYPE=ASC&gt;"&amp;R17&amp;"&lt;/FIND&gt;&lt;REPLACE TYPE=ASC&gt;"&amp;S17&amp;"&lt;/REPLACE&gt;"&amp;CHAR(10)&amp;"&lt;FIND TYPE=ASC&gt;"&amp;T17&amp;"&lt;/FIND&gt;&lt;REPLACE TYPE=ASC&gt;"&amp;U17&amp;"&lt;/REPLACE&gt;"&amp;CHAR(10)&amp;"&lt;FIND TYPE=ASC&gt;"&amp;C17&amp;"&lt;/FIND&gt;&lt;REPLACE TYPE=ASC&gt;"&amp;D17&amp;"&lt;/REPLACE&gt;",".")</f>
        <v>.</v>
      </c>
      <c r="B17" s="7" t="s">
        <v>38</v>
      </c>
      <c r="C17" s="30" t="s">
        <v>566</v>
      </c>
      <c r="D17" s="7" t="s">
        <v>566</v>
      </c>
      <c r="E17" s="7">
        <v>5</v>
      </c>
      <c r="G17" s="8" t="s">
        <v>503</v>
      </c>
      <c r="H17" s="7"/>
      <c r="I17" s="7"/>
      <c r="J17" s="7"/>
      <c r="K17" s="7"/>
      <c r="L17" s="7"/>
      <c r="M17" s="7">
        <f>E17</f>
        <v>5</v>
      </c>
      <c r="N17" s="7"/>
      <c r="O17" s="7"/>
      <c r="P17" s="7"/>
      <c r="Q17" s="7">
        <v>0</v>
      </c>
      <c r="R17" s="17" t="str">
        <f>UPPER(R$1&amp;":"&amp;C17)</f>
        <v>RSCN:ER_A1_IN</v>
      </c>
      <c r="S17" s="9" t="str">
        <f>UPPER(S$1&amp;":"&amp;D17)</f>
        <v>RSCN:ER_A1_IN</v>
      </c>
      <c r="T17" s="17" t="str">
        <f>SUBSTITUTE(C17,"_","")</f>
        <v>era1In</v>
      </c>
      <c r="U17" s="9" t="str">
        <f>SUBSTITUTE(D17,"_","")&amp;IF(RIGHT(I17)="u","U","")</f>
        <v>era1In</v>
      </c>
      <c r="V17" s="9" t="str">
        <f>IF(ISNUMBER(K17),K17,"$(P):"&amp;$S$1&amp;":"&amp;K17)</f>
        <v>$(P):RSCN:</v>
      </c>
      <c r="W17" s="9" t="str">
        <f>IF(ISNUMBER(L17),L17,"$(P):"&amp;$S$1&amp;":"&amp;L17)</f>
        <v>$(P):RSCN:</v>
      </c>
      <c r="X17" s="9" t="str">
        <f>IF(LEFT(I17)="g",IF(H17="real",y_pmacRascanGSVar,IF(H17="int",y_pmacRascanGSVar,"")),"")</f>
        <v/>
      </c>
      <c r="Y17" s="9" t="str">
        <f>SUBSTITUTE(SUBSTITUTE(SUBSTITUTE(SUBSTITUTE(SUBSTITUTE(SUBSTITUTE(SUBSTITUTE(X17,"~PVNAME",S17),"~EGU",J17),"~PREC",P17),"~VAR",E17),"~CANGET",V17),"~CANSET",W17),"~DESC",LEFT(G17,40))</f>
        <v/>
      </c>
      <c r="Z17" s="32" t="str">
        <f>IF(ISNUMBER($F17),SUBSTITUTE(SUBSTITUTE(SUBSTITUTE(SUBSTITUTE(SUBSTITUTE(SUBSTITUTE(SUBSTITUTE(SUBSTITUTE(y_QLabel &amp; y_QELabel &amp; IF($I17="gsu",y_QELineEdit,""),"~PVNAME",$S17),"~EGU",$J17),"~PREC",$P17),"~VAR",$E17),"~CANGET",$V17),"~CANSET",$W17),"~ROW",$F17),"~NAME",$D17),"")</f>
        <v/>
      </c>
      <c r="AA17" s="9" t="e">
        <f>VLOOKUP(H17,y_EPICS_Formats,2,FALSE)</f>
        <v>#N/A</v>
      </c>
      <c r="AB17" s="9" t="str">
        <f>IF(LEFT(I17)="g",y_Prefix&amp;S17&amp;" = ","")</f>
        <v/>
      </c>
      <c r="AC17" s="9" t="str">
        <f>IFERROR(";"&amp;G17&amp;"["&amp;J17&amp;"]"&amp;I17&amp;CHAR(10)&amp;B17 &amp;CHAR(9)&amp;U17&amp;CHAR(9)&amp;E17 &amp;CHAR(9),";;Error!")</f>
        <v xml:space="preserve">;Inner-skip acceleration exceeds limits[]
#define	era1In	5	</v>
      </c>
      <c r="AD17" s="9" t="str">
        <f>IF(IFERROR(Q17&gt;0,FALSE),SUBSTITUTE(SUBSTITUTE(SUBSTITUTE(y_archiverXML,"~PVNAME",S17&amp;IF(LEN(X17)&lt;1,"",":RBV")),"~PREFIX",y_Prefix),"~PERIOD",Q17),"")</f>
        <v/>
      </c>
      <c r="AE17" s="20" t="str">
        <f>IF(OR(LEFT($I17)="e",LEFT($I17)="g"),AE$1-LEN(S17),"")</f>
        <v/>
      </c>
      <c r="AF17" s="20" t="str">
        <f>IF(OR(LEFT($I17)="e",LEFT($I17)="g"),AF$1-LEN(T17),"")</f>
        <v/>
      </c>
      <c r="AG17" s="20" t="str">
        <f>IF(OR(LEFT($I17)="e",LEFT($I17)="g"),AG$1-LEN(U17),"")</f>
        <v/>
      </c>
      <c r="AH17" s="20" t="str">
        <f>IF(OR(LEFT($I17)="e",LEFT($I17)="g"),AH$1-LEN(V17),"")</f>
        <v/>
      </c>
      <c r="AI17" s="2" t="str">
        <f>IF(ISNUMBER(E17),"0"&amp;LEFT(D17,2)&amp;TEXT(E17,"#.0000"),E17)</f>
        <v>0er5.0000</v>
      </c>
    </row>
    <row r="18" spans="1:35" x14ac:dyDescent="0.3">
      <c r="A18" s="6" t="str">
        <f>IF(T18&lt;&gt;U18,"&lt;FIND TYPE=ASC&gt;"&amp;R18&amp;"&lt;/FIND&gt;&lt;REPLACE TYPE=ASC&gt;"&amp;S18&amp;"&lt;/REPLACE&gt;"&amp;CHAR(10)&amp;"&lt;FIND TYPE=ASC&gt;"&amp;T18&amp;"&lt;/FIND&gt;&lt;REPLACE TYPE=ASC&gt;"&amp;U18&amp;"&lt;/REPLACE&gt;"&amp;CHAR(10)&amp;"&lt;FIND TYPE=ASC&gt;"&amp;C18&amp;"&lt;/FIND&gt;&lt;REPLACE TYPE=ASC&gt;"&amp;D18&amp;"&lt;/REPLACE&gt;",".")</f>
        <v>.</v>
      </c>
      <c r="B18" s="7" t="s">
        <v>38</v>
      </c>
      <c r="C18" s="30" t="s">
        <v>491</v>
      </c>
      <c r="D18" s="7" t="s">
        <v>491</v>
      </c>
      <c r="E18" s="7">
        <v>5</v>
      </c>
      <c r="G18" s="8" t="s">
        <v>61</v>
      </c>
      <c r="H18" s="7"/>
      <c r="I18" s="7" t="s">
        <v>39</v>
      </c>
      <c r="J18" s="7"/>
      <c r="K18" s="7"/>
      <c r="L18" s="7"/>
      <c r="M18" s="7">
        <f>E18</f>
        <v>5</v>
      </c>
      <c r="N18" s="7"/>
      <c r="O18" s="7"/>
      <c r="P18" s="7"/>
      <c r="Q18" s="7">
        <v>0</v>
      </c>
      <c r="R18" s="17" t="str">
        <f>UPPER(R$1&amp;":"&amp;C18)</f>
        <v>RSCN:ST_SETTING</v>
      </c>
      <c r="S18" s="9" t="str">
        <f>UPPER(S$1&amp;":"&amp;D18)</f>
        <v>RSCN:ST_SETTING</v>
      </c>
      <c r="T18" s="17" t="str">
        <f>SUBSTITUTE(C18,"_","")</f>
        <v>stSetting</v>
      </c>
      <c r="U18" s="9" t="str">
        <f>SUBSTITUTE(D18,"_","")&amp;IF(RIGHT(I18)="u","U","")</f>
        <v>stSetting</v>
      </c>
      <c r="V18" s="9" t="str">
        <f>IF(ISNUMBER(K18),K18,"$(P):"&amp;$S$1&amp;":"&amp;K18)</f>
        <v>$(P):RSCN:</v>
      </c>
      <c r="W18" s="9" t="str">
        <f>IF(ISNUMBER(L18),L18,"$(P):"&amp;$S$1&amp;":"&amp;L18)</f>
        <v>$(P):RSCN:</v>
      </c>
      <c r="X18" s="9" t="str">
        <f>IF(LEFT(I18)="g",IF(H18="real",y_pmacRascanGSVar,IF(H18="int",y_pmacRascanGSVar,"")),"")</f>
        <v/>
      </c>
      <c r="Y18" s="9" t="str">
        <f>SUBSTITUTE(SUBSTITUTE(SUBSTITUTE(SUBSTITUTE(SUBSTITUTE(SUBSTITUTE(SUBSTITUTE(X18,"~PVNAME",S18),"~EGU",J18),"~PREC",P18),"~VAR",E18),"~CANGET",V18),"~CANSET",W18),"~DESC",LEFT(G18,40))</f>
        <v/>
      </c>
      <c r="Z18" s="32" t="str">
        <f>IF(ISNUMBER($F18),SUBSTITUTE(SUBSTITUTE(SUBSTITUTE(SUBSTITUTE(SUBSTITUTE(SUBSTITUTE(SUBSTITUTE(SUBSTITUTE(y_QLabel &amp; y_QELabel &amp; IF($I18="gsu",y_QELineEdit,""),"~PVNAME",$S18),"~EGU",$J18),"~PREC",$P18),"~VAR",$E18),"~CANGET",$V18),"~CANSET",$W18),"~ROW",$F18),"~NAME",$D18),"")</f>
        <v/>
      </c>
      <c r="AA18" s="9" t="e">
        <f>VLOOKUP(H18,y_EPICS_Formats,2,FALSE)</f>
        <v>#N/A</v>
      </c>
      <c r="AB18" s="9" t="str">
        <f>IF(LEFT(I18)="g",y_Prefix&amp;S18&amp;" = ","")</f>
        <v/>
      </c>
      <c r="AC18" s="9" t="str">
        <f>IFERROR(";"&amp;G18&amp;"["&amp;J18&amp;"]"&amp;I18&amp;CHAR(10)&amp;B18 &amp;CHAR(9)&amp;U18&amp;CHAR(9)&amp;E18 &amp;CHAR(9),";;Error!")</f>
        <v xml:space="preserve">;Moving to begin position to start scan[]p
#define	stSetting	5	</v>
      </c>
      <c r="AD18" s="9" t="str">
        <f>IF(IFERROR(Q18&gt;0,FALSE),SUBSTITUTE(SUBSTITUTE(SUBSTITUTE(y_archiverXML,"~PVNAME",S18&amp;IF(LEN(X18)&lt;1,"",":RBV")),"~PREFIX",y_Prefix),"~PERIOD",Q18),"")</f>
        <v/>
      </c>
      <c r="AE18" s="20" t="str">
        <f>IF(OR(LEFT($I18)="e",LEFT($I18)="g"),AE$1-LEN(S18),"")</f>
        <v/>
      </c>
      <c r="AF18" s="20" t="str">
        <f>IF(OR(LEFT($I18)="e",LEFT($I18)="g"),AF$1-LEN(T18),"")</f>
        <v/>
      </c>
      <c r="AG18" s="20" t="str">
        <f>IF(OR(LEFT($I18)="e",LEFT($I18)="g"),AG$1-LEN(U18),"")</f>
        <v/>
      </c>
      <c r="AH18" s="20" t="str">
        <f>IF(OR(LEFT($I18)="e",LEFT($I18)="g"),AH$1-LEN(V18),"")</f>
        <v/>
      </c>
      <c r="AI18" s="2" t="str">
        <f>IF(ISNUMBER(E18),"0"&amp;LEFT(D18,2)&amp;TEXT(E18,"#.0000"),E18)</f>
        <v>0st5.0000</v>
      </c>
    </row>
    <row r="19" spans="1:35" ht="29.25" x14ac:dyDescent="0.3">
      <c r="A19" s="6" t="str">
        <f>IF(T19&lt;&gt;U19,"&lt;FIND TYPE=ASC&gt;"&amp;R19&amp;"&lt;/FIND&gt;&lt;REPLACE TYPE=ASC&gt;"&amp;S19&amp;"&lt;/REPLACE&gt;"&amp;CHAR(10)&amp;"&lt;FIND TYPE=ASC&gt;"&amp;T19&amp;"&lt;/FIND&gt;&lt;REPLACE TYPE=ASC&gt;"&amp;U19&amp;"&lt;/REPLACE&gt;"&amp;CHAR(10)&amp;"&lt;FIND TYPE=ASC&gt;"&amp;C19&amp;"&lt;/FIND&gt;&lt;REPLACE TYPE=ASC&gt;"&amp;D19&amp;"&lt;/REPLACE&gt;",".")</f>
        <v>.</v>
      </c>
      <c r="B19" s="7" t="s">
        <v>38</v>
      </c>
      <c r="C19" s="30" t="s">
        <v>539</v>
      </c>
      <c r="D19" s="7" t="s">
        <v>539</v>
      </c>
      <c r="E19" s="7">
        <v>6</v>
      </c>
      <c r="G19" s="8" t="s">
        <v>504</v>
      </c>
      <c r="H19" s="7"/>
      <c r="I19" s="7"/>
      <c r="J19" s="7"/>
      <c r="K19" s="7"/>
      <c r="L19" s="7"/>
      <c r="M19" s="7">
        <f>E19</f>
        <v>6</v>
      </c>
      <c r="N19" s="7"/>
      <c r="O19" s="7"/>
      <c r="P19" s="7"/>
      <c r="Q19" s="7">
        <v>0</v>
      </c>
      <c r="R19" s="17" t="str">
        <f>UPPER(R$1&amp;":"&amp;C19)</f>
        <v>RSCN:ER_RANGE1</v>
      </c>
      <c r="S19" s="9" t="str">
        <f>UPPER(S$1&amp;":"&amp;D19)</f>
        <v>RSCN:ER_RANGE1</v>
      </c>
      <c r="T19" s="17" t="str">
        <f>SUBSTITUTE(C19,"_","")</f>
        <v>erRange1</v>
      </c>
      <c r="U19" s="9" t="str">
        <f>SUBSTITUTE(D19,"_","")&amp;IF(RIGHT(I19)="u","U","")</f>
        <v>erRange1</v>
      </c>
      <c r="V19" s="9" t="str">
        <f>IF(ISNUMBER(K19),K19,"$(P):"&amp;$S$1&amp;":"&amp;K19)</f>
        <v>$(P):RSCN:</v>
      </c>
      <c r="W19" s="9" t="str">
        <f>IF(ISNUMBER(L19),L19,"$(P):"&amp;$S$1&amp;":"&amp;L19)</f>
        <v>$(P):RSCN:</v>
      </c>
      <c r="X19" s="9" t="str">
        <f>IF(LEFT(I19)="g",IF(H19="real",y_pmacRascanGSVar,IF(H19="int",y_pmacRascanGSVar,"")),"")</f>
        <v/>
      </c>
      <c r="Y19" s="9" t="str">
        <f>SUBSTITUTE(SUBSTITUTE(SUBSTITUTE(SUBSTITUTE(SUBSTITUTE(SUBSTITUTE(SUBSTITUTE(X19,"~PVNAME",S19),"~EGU",J19),"~PREC",P19),"~VAR",E19),"~CANGET",V19),"~CANSET",W19),"~DESC",LEFT(G19,40))</f>
        <v/>
      </c>
      <c r="Z19" s="32" t="str">
        <f>IF(ISNUMBER($F19),SUBSTITUTE(SUBSTITUTE(SUBSTITUTE(SUBSTITUTE(SUBSTITUTE(SUBSTITUTE(SUBSTITUTE(SUBSTITUTE(y_QLabel &amp; y_QELabel &amp; IF($I19="gsu",y_QELineEdit,""),"~PVNAME",$S19),"~EGU",$J19),"~PREC",$P19),"~VAR",$E19),"~CANGET",$V19),"~CANSET",$W19),"~ROW",$F19),"~NAME",$D19),"")</f>
        <v/>
      </c>
      <c r="AA19" s="9" t="e">
        <f>VLOOKUP(H19,y_EPICS_Formats,2,FALSE)</f>
        <v>#N/A</v>
      </c>
      <c r="AB19" s="9" t="str">
        <f>IF(LEFT(I19)="g",y_Prefix&amp;S19&amp;" = ","")</f>
        <v/>
      </c>
      <c r="AC19" s="9" t="str">
        <f>IFERROR(";"&amp;G19&amp;"["&amp;J19&amp;"]"&amp;I19&amp;CHAR(10)&amp;B19 &amp;CHAR(9)&amp;U19&amp;CHAR(9)&amp;E19 &amp;CHAR(9),";;Error!")</f>
        <v xml:space="preserve">;Defined motion range exceeds Fly axis limits[]
#define	erRange1	6	</v>
      </c>
      <c r="AD19" s="9" t="str">
        <f>IF(IFERROR(Q19&gt;0,FALSE),SUBSTITUTE(SUBSTITUTE(SUBSTITUTE(y_archiverXML,"~PVNAME",S19&amp;IF(LEN(X19)&lt;1,"",":RBV")),"~PREFIX",y_Prefix),"~PERIOD",Q19),"")</f>
        <v/>
      </c>
      <c r="AE19" s="20" t="str">
        <f>IF(OR(LEFT($I19)="e",LEFT($I19)="g"),AE$1-LEN(S19),"")</f>
        <v/>
      </c>
      <c r="AF19" s="20" t="str">
        <f>IF(OR(LEFT($I19)="e",LEFT($I19)="g"),AF$1-LEN(T19),"")</f>
        <v/>
      </c>
      <c r="AG19" s="20" t="str">
        <f>IF(OR(LEFT($I19)="e",LEFT($I19)="g"),AG$1-LEN(U19),"")</f>
        <v/>
      </c>
      <c r="AH19" s="20" t="str">
        <f>IF(OR(LEFT($I19)="e",LEFT($I19)="g"),AH$1-LEN(V19),"")</f>
        <v/>
      </c>
      <c r="AI19" s="2" t="str">
        <f>IF(ISNUMBER(E19),"0"&amp;LEFT(D19,2)&amp;TEXT(E19,"#.0000"),E19)</f>
        <v>0er6.0000</v>
      </c>
    </row>
    <row r="20" spans="1:35" x14ac:dyDescent="0.3">
      <c r="A20" s="6" t="str">
        <f>IF(T20&lt;&gt;U20,"&lt;FIND TYPE=ASC&gt;"&amp;R20&amp;"&lt;/FIND&gt;&lt;REPLACE TYPE=ASC&gt;"&amp;S20&amp;"&lt;/REPLACE&gt;"&amp;CHAR(10)&amp;"&lt;FIND TYPE=ASC&gt;"&amp;T20&amp;"&lt;/FIND&gt;&lt;REPLACE TYPE=ASC&gt;"&amp;U20&amp;"&lt;/REPLACE&gt;"&amp;CHAR(10)&amp;"&lt;FIND TYPE=ASC&gt;"&amp;C20&amp;"&lt;/FIND&gt;&lt;REPLACE TYPE=ASC&gt;"&amp;D20&amp;"&lt;/REPLACE&gt;",".")</f>
        <v>.</v>
      </c>
      <c r="B20" s="7" t="s">
        <v>38</v>
      </c>
      <c r="C20" s="30" t="s">
        <v>492</v>
      </c>
      <c r="D20" s="7" t="s">
        <v>492</v>
      </c>
      <c r="E20" s="7">
        <v>6</v>
      </c>
      <c r="G20" s="8" t="s">
        <v>118</v>
      </c>
      <c r="H20" s="7"/>
      <c r="I20" s="7" t="s">
        <v>39</v>
      </c>
      <c r="J20" s="7"/>
      <c r="K20" s="7"/>
      <c r="L20" s="7"/>
      <c r="M20" s="7">
        <f>E20</f>
        <v>6</v>
      </c>
      <c r="N20" s="7"/>
      <c r="O20" s="7"/>
      <c r="P20" s="7"/>
      <c r="Q20" s="7">
        <v>0</v>
      </c>
      <c r="R20" s="17" t="str">
        <f>UPPER(R$1&amp;":"&amp;C20)</f>
        <v>RSCN:ST_SET</v>
      </c>
      <c r="S20" s="9" t="str">
        <f>UPPER(S$1&amp;":"&amp;D20)</f>
        <v>RSCN:ST_SET</v>
      </c>
      <c r="T20" s="17" t="str">
        <f>SUBSTITUTE(C20,"_","")</f>
        <v>stSet</v>
      </c>
      <c r="U20" s="9" t="str">
        <f>SUBSTITUTE(D20,"_","")&amp;IF(RIGHT(I20)="u","U","")</f>
        <v>stSet</v>
      </c>
      <c r="V20" s="9" t="str">
        <f>IF(ISNUMBER(K20),K20,"$(P):"&amp;$S$1&amp;":"&amp;K20)</f>
        <v>$(P):RSCN:</v>
      </c>
      <c r="W20" s="9" t="str">
        <f>IF(ISNUMBER(L20),L20,"$(P):"&amp;$S$1&amp;":"&amp;L20)</f>
        <v>$(P):RSCN:</v>
      </c>
      <c r="X20" s="9" t="str">
        <f>IF(LEFT(I20)="g",IF(H20="real",y_pmacRascanGSVar,IF(H20="int",y_pmacRascanGSVar,"")),"")</f>
        <v/>
      </c>
      <c r="Y20" s="9" t="str">
        <f>SUBSTITUTE(SUBSTITUTE(SUBSTITUTE(SUBSTITUTE(SUBSTITUTE(SUBSTITUTE(SUBSTITUTE(X20,"~PVNAME",S20),"~EGU",J20),"~PREC",P20),"~VAR",E20),"~CANGET",V20),"~CANSET",W20),"~DESC",LEFT(G20,40))</f>
        <v/>
      </c>
      <c r="Z20" s="32" t="str">
        <f>IF(ISNUMBER($F20),SUBSTITUTE(SUBSTITUTE(SUBSTITUTE(SUBSTITUTE(SUBSTITUTE(SUBSTITUTE(SUBSTITUTE(SUBSTITUTE(y_QLabel &amp; y_QELabel &amp; IF($I20="gsu",y_QELineEdit,""),"~PVNAME",$S20),"~EGU",$J20),"~PREC",$P20),"~VAR",$E20),"~CANGET",$V20),"~CANSET",$W20),"~ROW",$F20),"~NAME",$D20),"")</f>
        <v/>
      </c>
      <c r="AA20" s="9" t="e">
        <f>VLOOKUP(H20,y_EPICS_Formats,2,FALSE)</f>
        <v>#N/A</v>
      </c>
      <c r="AB20" s="9" t="str">
        <f>IF(LEFT(I20)="g",y_Prefix&amp;S20&amp;" = ","")</f>
        <v/>
      </c>
      <c r="AC20" s="9" t="str">
        <f>IFERROR(";"&amp;G20&amp;"["&amp;J20&amp;"]"&amp;I20&amp;CHAR(10)&amp;B20 &amp;CHAR(9)&amp;U20&amp;CHAR(9)&amp;E20 &amp;CHAR(9),";;Error!")</f>
        <v xml:space="preserve">;Compiled and moved into position to start scan[]p
#define	stSet	6	</v>
      </c>
      <c r="AD20" s="9" t="str">
        <f>IF(IFERROR(Q20&gt;0,FALSE),SUBSTITUTE(SUBSTITUTE(SUBSTITUTE(y_archiverXML,"~PVNAME",S20&amp;IF(LEN(X20)&lt;1,"",":RBV")),"~PREFIX",y_Prefix),"~PERIOD",Q20),"")</f>
        <v/>
      </c>
      <c r="AE20" s="20" t="str">
        <f>IF(OR(LEFT($I20)="e",LEFT($I20)="g"),AE$1-LEN(S20),"")</f>
        <v/>
      </c>
      <c r="AF20" s="20" t="str">
        <f>IF(OR(LEFT($I20)="e",LEFT($I20)="g"),AF$1-LEN(T20),"")</f>
        <v/>
      </c>
      <c r="AG20" s="20" t="str">
        <f>IF(OR(LEFT($I20)="e",LEFT($I20)="g"),AG$1-LEN(U20),"")</f>
        <v/>
      </c>
      <c r="AH20" s="20" t="str">
        <f>IF(OR(LEFT($I20)="e",LEFT($I20)="g"),AH$1-LEN(V20),"")</f>
        <v/>
      </c>
      <c r="AI20" s="2" t="str">
        <f>IF(ISNUMBER(E20),"0"&amp;LEFT(D20,2)&amp;TEXT(E20,"#.0000"),E20)</f>
        <v>0st6.0000</v>
      </c>
    </row>
    <row r="21" spans="1:35" ht="29.25" x14ac:dyDescent="0.3">
      <c r="A21" s="6" t="str">
        <f>IF(T21&lt;&gt;U21,"&lt;FIND TYPE=ASC&gt;"&amp;R21&amp;"&lt;/FIND&gt;&lt;REPLACE TYPE=ASC&gt;"&amp;S21&amp;"&lt;/REPLACE&gt;"&amp;CHAR(10)&amp;"&lt;FIND TYPE=ASC&gt;"&amp;T21&amp;"&lt;/FIND&gt;&lt;REPLACE TYPE=ASC&gt;"&amp;U21&amp;"&lt;/REPLACE&gt;"&amp;CHAR(10)&amp;"&lt;FIND TYPE=ASC&gt;"&amp;C21&amp;"&lt;/FIND&gt;&lt;REPLACE TYPE=ASC&gt;"&amp;D21&amp;"&lt;/REPLACE&gt;",".")</f>
        <v>.</v>
      </c>
      <c r="B21" s="7" t="s">
        <v>38</v>
      </c>
      <c r="C21" s="30" t="s">
        <v>540</v>
      </c>
      <c r="D21" s="7" t="s">
        <v>540</v>
      </c>
      <c r="E21" s="7">
        <v>7</v>
      </c>
      <c r="G21" s="8" t="s">
        <v>517</v>
      </c>
      <c r="H21" s="7"/>
      <c r="I21" s="7"/>
      <c r="J21" s="7"/>
      <c r="K21" s="7"/>
      <c r="L21" s="7"/>
      <c r="M21" s="7">
        <f>E21</f>
        <v>7</v>
      </c>
      <c r="N21" s="7"/>
      <c r="O21" s="7"/>
      <c r="P21" s="7"/>
      <c r="Q21" s="7">
        <v>0</v>
      </c>
      <c r="R21" s="17" t="str">
        <f>UPPER(R$1&amp;":"&amp;C21)</f>
        <v>RSCN:ER_RANGE2</v>
      </c>
      <c r="S21" s="9" t="str">
        <f>UPPER(S$1&amp;":"&amp;D21)</f>
        <v>RSCN:ER_RANGE2</v>
      </c>
      <c r="T21" s="17" t="str">
        <f>SUBSTITUTE(C21,"_","")</f>
        <v>erRange2</v>
      </c>
      <c r="U21" s="9" t="str">
        <f>SUBSTITUTE(D21,"_","")&amp;IF(RIGHT(I21)="u","U","")</f>
        <v>erRange2</v>
      </c>
      <c r="V21" s="9" t="str">
        <f>IF(ISNUMBER(K21),K21,"$(P):"&amp;$S$1&amp;":"&amp;K21)</f>
        <v>$(P):RSCN:</v>
      </c>
      <c r="W21" s="9" t="str">
        <f>IF(ISNUMBER(L21),L21,"$(P):"&amp;$S$1&amp;":"&amp;L21)</f>
        <v>$(P):RSCN:</v>
      </c>
      <c r="X21" s="9" t="str">
        <f>IF(LEFT(I21)="g",IF(H21="real",y_pmacRascanGSVar,IF(H21="int",y_pmacRascanGSVar,"")),"")</f>
        <v/>
      </c>
      <c r="Y21" s="9" t="str">
        <f>SUBSTITUTE(SUBSTITUTE(SUBSTITUTE(SUBSTITUTE(SUBSTITUTE(SUBSTITUTE(SUBSTITUTE(X21,"~PVNAME",S21),"~EGU",J21),"~PREC",P21),"~VAR",E21),"~CANGET",V21),"~CANSET",W21),"~DESC",LEFT(G21,40))</f>
        <v/>
      </c>
      <c r="Z21" s="32" t="str">
        <f>IF(ISNUMBER($F21),SUBSTITUTE(SUBSTITUTE(SUBSTITUTE(SUBSTITUTE(SUBSTITUTE(SUBSTITUTE(SUBSTITUTE(SUBSTITUTE(y_QLabel &amp; y_QELabel &amp; IF($I21="gsu",y_QELineEdit,""),"~PVNAME",$S21),"~EGU",$J21),"~PREC",$P21),"~VAR",$E21),"~CANGET",$V21),"~CANSET",$W21),"~ROW",$F21),"~NAME",$D21),"")</f>
        <v/>
      </c>
      <c r="AA21" s="9" t="e">
        <f>VLOOKUP(H21,y_EPICS_Formats,2,FALSE)</f>
        <v>#N/A</v>
      </c>
      <c r="AB21" s="9" t="str">
        <f>IF(LEFT(I21)="g",y_Prefix&amp;S21&amp;" = ","")</f>
        <v/>
      </c>
      <c r="AC21" s="9" t="str">
        <f>IFERROR(";"&amp;G21&amp;"["&amp;J21&amp;"]"&amp;I21&amp;CHAR(10)&amp;B21 &amp;CHAR(9)&amp;U21&amp;CHAR(9)&amp;E21 &amp;CHAR(9),";;Error!")</f>
        <v xml:space="preserve">;Defined motion range exceeds Increment axis limits[]
#define	erRange2	7	</v>
      </c>
      <c r="AD21" s="9" t="str">
        <f>IF(IFERROR(Q21&gt;0,FALSE),SUBSTITUTE(SUBSTITUTE(SUBSTITUTE(y_archiverXML,"~PVNAME",S21&amp;IF(LEN(X21)&lt;1,"",":RBV")),"~PREFIX",y_Prefix),"~PERIOD",Q21),"")</f>
        <v/>
      </c>
      <c r="AE21" s="20" t="str">
        <f>IF(OR(LEFT($I21)="e",LEFT($I21)="g"),AE$1-LEN(S21),"")</f>
        <v/>
      </c>
      <c r="AF21" s="20" t="str">
        <f>IF(OR(LEFT($I21)="e",LEFT($I21)="g"),AF$1-LEN(T21),"")</f>
        <v/>
      </c>
      <c r="AG21" s="20" t="str">
        <f>IF(OR(LEFT($I21)="e",LEFT($I21)="g"),AG$1-LEN(U21),"")</f>
        <v/>
      </c>
      <c r="AH21" s="20" t="str">
        <f>IF(OR(LEFT($I21)="e",LEFT($I21)="g"),AH$1-LEN(V21),"")</f>
        <v/>
      </c>
      <c r="AI21" s="2" t="str">
        <f>IF(ISNUMBER(E21),"0"&amp;LEFT(D21,2)&amp;TEXT(E21,"#.0000"),E21)</f>
        <v>0er7.0000</v>
      </c>
    </row>
    <row r="22" spans="1:35" ht="29.25" x14ac:dyDescent="0.3">
      <c r="A22" s="6" t="str">
        <f>IF(T22&lt;&gt;U22,"&lt;FIND TYPE=ASC&gt;"&amp;R22&amp;"&lt;/FIND&gt;&lt;REPLACE TYPE=ASC&gt;"&amp;S22&amp;"&lt;/REPLACE&gt;"&amp;CHAR(10)&amp;"&lt;FIND TYPE=ASC&gt;"&amp;T22&amp;"&lt;/FIND&gt;&lt;REPLACE TYPE=ASC&gt;"&amp;U22&amp;"&lt;/REPLACE&gt;"&amp;CHAR(10)&amp;"&lt;FIND TYPE=ASC&gt;"&amp;C22&amp;"&lt;/FIND&gt;&lt;REPLACE TYPE=ASC&gt;"&amp;D22&amp;"&lt;/REPLACE&gt;",".")</f>
        <v>.</v>
      </c>
      <c r="B22" s="7" t="s">
        <v>38</v>
      </c>
      <c r="C22" s="30" t="s">
        <v>493</v>
      </c>
      <c r="D22" s="7" t="s">
        <v>493</v>
      </c>
      <c r="E22" s="7">
        <v>7</v>
      </c>
      <c r="G22" s="8" t="s">
        <v>60</v>
      </c>
      <c r="H22" s="7"/>
      <c r="I22" s="7" t="s">
        <v>39</v>
      </c>
      <c r="J22" s="7"/>
      <c r="K22" s="7"/>
      <c r="L22" s="7"/>
      <c r="M22" s="7">
        <f>E22</f>
        <v>7</v>
      </c>
      <c r="N22" s="7"/>
      <c r="O22" s="7"/>
      <c r="P22" s="7"/>
      <c r="Q22" s="7">
        <v>0</v>
      </c>
      <c r="R22" s="17" t="str">
        <f>UPPER(R$1&amp;":"&amp;C22)</f>
        <v>RSCN:ST_RUNNING</v>
      </c>
      <c r="S22" s="9" t="str">
        <f>UPPER(S$1&amp;":"&amp;D22)</f>
        <v>RSCN:ST_RUNNING</v>
      </c>
      <c r="T22" s="17" t="str">
        <f>SUBSTITUTE(C22,"_","")</f>
        <v>stRunning</v>
      </c>
      <c r="U22" s="9" t="str">
        <f>SUBSTITUTE(D22,"_","")&amp;IF(RIGHT(I22)="u","U","")</f>
        <v>stRunning</v>
      </c>
      <c r="V22" s="9" t="str">
        <f>IF(ISNUMBER(K22),K22,"$(P):"&amp;$S$1&amp;":"&amp;K22)</f>
        <v>$(P):RSCN:</v>
      </c>
      <c r="W22" s="9" t="str">
        <f>IF(ISNUMBER(L22),L22,"$(P):"&amp;$S$1&amp;":"&amp;L22)</f>
        <v>$(P):RSCN:</v>
      </c>
      <c r="X22" s="9" t="str">
        <f>IF(LEFT(I22)="g",IF(H22="real",y_pmacRascanGSVar,IF(H22="int",y_pmacRascanGSVar,"")),"")</f>
        <v/>
      </c>
      <c r="Y22" s="9" t="str">
        <f>SUBSTITUTE(SUBSTITUTE(SUBSTITUTE(SUBSTITUTE(SUBSTITUTE(SUBSTITUTE(SUBSTITUTE(X22,"~PVNAME",S22),"~EGU",J22),"~PREC",P22),"~VAR",E22),"~CANGET",V22),"~CANSET",W22),"~DESC",LEFT(G22,40))</f>
        <v/>
      </c>
      <c r="Z22" s="32" t="str">
        <f>IF(ISNUMBER($F22),SUBSTITUTE(SUBSTITUTE(SUBSTITUTE(SUBSTITUTE(SUBSTITUTE(SUBSTITUTE(SUBSTITUTE(SUBSTITUTE(y_QLabel &amp; y_QELabel &amp; IF($I22="gsu",y_QELineEdit,""),"~PVNAME",$S22),"~EGU",$J22),"~PREC",$P22),"~VAR",$E22),"~CANGET",$V22),"~CANSET",$W22),"~ROW",$F22),"~NAME",$D22),"")</f>
        <v/>
      </c>
      <c r="AA22" s="9" t="e">
        <f>VLOOKUP(H22,y_EPICS_Formats,2,FALSE)</f>
        <v>#N/A</v>
      </c>
      <c r="AB22" s="9" t="str">
        <f>IF(LEFT(I22)="g",y_Prefix&amp;S22&amp;" = ","")</f>
        <v/>
      </c>
      <c r="AC22" s="9" t="str">
        <f>IFERROR(";"&amp;G22&amp;"["&amp;J22&amp;"]"&amp;I22&amp;CHAR(10)&amp;B22 &amp;CHAR(9)&amp;U22&amp;CHAR(9)&amp;E22 &amp;CHAR(9),";;Error!")</f>
        <v xml:space="preserve">;Running scan[]p
#define	stRunning	7	</v>
      </c>
      <c r="AD22" s="9" t="str">
        <f>IF(IFERROR(Q22&gt;0,FALSE),SUBSTITUTE(SUBSTITUTE(SUBSTITUTE(y_archiverXML,"~PVNAME",S22&amp;IF(LEN(X22)&lt;1,"",":RBV")),"~PREFIX",y_Prefix),"~PERIOD",Q22),"")</f>
        <v/>
      </c>
      <c r="AE22" s="20" t="str">
        <f>IF(OR(LEFT($I22)="e",LEFT($I22)="g"),AE$1-LEN(S22),"")</f>
        <v/>
      </c>
      <c r="AF22" s="20" t="str">
        <f>IF(OR(LEFT($I22)="e",LEFT($I22)="g"),AF$1-LEN(T22),"")</f>
        <v/>
      </c>
      <c r="AG22" s="20" t="str">
        <f>IF(OR(LEFT($I22)="e",LEFT($I22)="g"),AG$1-LEN(U22),"")</f>
        <v/>
      </c>
      <c r="AH22" s="20" t="str">
        <f>IF(OR(LEFT($I22)="e",LEFT($I22)="g"),AH$1-LEN(V22),"")</f>
        <v/>
      </c>
      <c r="AI22" s="2" t="str">
        <f>IF(ISNUMBER(E22),"0"&amp;LEFT(D22,2)&amp;TEXT(E22,"#.0000"),E22)</f>
        <v>0st7.0000</v>
      </c>
    </row>
    <row r="23" spans="1:35" x14ac:dyDescent="0.3">
      <c r="A23" s="6" t="str">
        <f>IF(T23&lt;&gt;U23,"&lt;FIND TYPE=ASC&gt;"&amp;R23&amp;"&lt;/FIND&gt;&lt;REPLACE TYPE=ASC&gt;"&amp;S23&amp;"&lt;/REPLACE&gt;"&amp;CHAR(10)&amp;"&lt;FIND TYPE=ASC&gt;"&amp;T23&amp;"&lt;/FIND&gt;&lt;REPLACE TYPE=ASC&gt;"&amp;U23&amp;"&lt;/REPLACE&gt;"&amp;CHAR(10)&amp;"&lt;FIND TYPE=ASC&gt;"&amp;C23&amp;"&lt;/FIND&gt;&lt;REPLACE TYPE=ASC&gt;"&amp;D23&amp;"&lt;/REPLACE&gt;",".")</f>
        <v>.</v>
      </c>
      <c r="B23" s="7" t="s">
        <v>38</v>
      </c>
      <c r="C23" s="30" t="s">
        <v>486</v>
      </c>
      <c r="D23" s="7" t="s">
        <v>486</v>
      </c>
      <c r="E23" s="7">
        <v>8</v>
      </c>
      <c r="G23" s="8"/>
      <c r="H23" s="7"/>
      <c r="I23" s="7"/>
      <c r="J23" s="7"/>
      <c r="K23" s="7"/>
      <c r="L23" s="7"/>
      <c r="M23" s="7">
        <f>E23</f>
        <v>8</v>
      </c>
      <c r="N23" s="7"/>
      <c r="O23" s="7"/>
      <c r="P23" s="7"/>
      <c r="Q23" s="7">
        <v>0</v>
      </c>
      <c r="R23" s="17" t="str">
        <f>UPPER(R$1&amp;":"&amp;C23)</f>
        <v>RSCN:ER_ERROR8</v>
      </c>
      <c r="S23" s="9" t="str">
        <f>UPPER(S$1&amp;":"&amp;D23)</f>
        <v>RSCN:ER_ERROR8</v>
      </c>
      <c r="T23" s="17" t="str">
        <f>SUBSTITUTE(C23,"_","")</f>
        <v>erERROR8</v>
      </c>
      <c r="U23" s="9" t="str">
        <f>SUBSTITUTE(D23,"_","")&amp;IF(RIGHT(I23)="u","U","")</f>
        <v>erERROR8</v>
      </c>
      <c r="V23" s="9" t="str">
        <f>IF(ISNUMBER(K23),K23,"$(P):"&amp;$S$1&amp;":"&amp;K23)</f>
        <v>$(P):RSCN:</v>
      </c>
      <c r="W23" s="9" t="str">
        <f>IF(ISNUMBER(L23),L23,"$(P):"&amp;$S$1&amp;":"&amp;L23)</f>
        <v>$(P):RSCN:</v>
      </c>
      <c r="X23" s="9" t="str">
        <f>IF(LEFT(I23)="g",IF(H23="real",y_pmacRascanGSVar,IF(H23="int",y_pmacRascanGSVar,"")),"")</f>
        <v/>
      </c>
      <c r="Y23" s="9" t="str">
        <f>SUBSTITUTE(SUBSTITUTE(SUBSTITUTE(SUBSTITUTE(SUBSTITUTE(SUBSTITUTE(SUBSTITUTE(X23,"~PVNAME",S23),"~EGU",J23),"~PREC",P23),"~VAR",E23),"~CANGET",V23),"~CANSET",W23),"~DESC",LEFT(G23,40))</f>
        <v/>
      </c>
      <c r="Z23" s="32" t="str">
        <f>IF(ISNUMBER($F23),SUBSTITUTE(SUBSTITUTE(SUBSTITUTE(SUBSTITUTE(SUBSTITUTE(SUBSTITUTE(SUBSTITUTE(SUBSTITUTE(y_QLabel &amp; y_QELabel &amp; IF($I23="gsu",y_QELineEdit,""),"~PVNAME",$S23),"~EGU",$J23),"~PREC",$P23),"~VAR",$E23),"~CANGET",$V23),"~CANSET",$W23),"~ROW",$F23),"~NAME",$D23),"")</f>
        <v/>
      </c>
      <c r="AA23" s="9" t="e">
        <f>VLOOKUP(H23,y_EPICS_Formats,2,FALSE)</f>
        <v>#N/A</v>
      </c>
      <c r="AB23" s="9" t="str">
        <f>IF(LEFT(I23)="g",y_Prefix&amp;S23&amp;" = ","")</f>
        <v/>
      </c>
      <c r="AC23" s="9" t="str">
        <f>IFERROR(";"&amp;G23&amp;"["&amp;J23&amp;"]"&amp;I23&amp;CHAR(10)&amp;B23 &amp;CHAR(9)&amp;U23&amp;CHAR(9)&amp;E23 &amp;CHAR(9),";;Error!")</f>
        <v xml:space="preserve">;[]
#define	erERROR8	8	</v>
      </c>
      <c r="AD23" s="9" t="str">
        <f>IF(IFERROR(Q23&gt;0,FALSE),SUBSTITUTE(SUBSTITUTE(SUBSTITUTE(y_archiverXML,"~PVNAME",S23&amp;IF(LEN(X23)&lt;1,"",":RBV")),"~PREFIX",y_Prefix),"~PERIOD",Q23),"")</f>
        <v/>
      </c>
      <c r="AE23" s="20" t="str">
        <f>IF(OR(LEFT($I23)="e",LEFT($I23)="g"),AE$1-LEN(S23),"")</f>
        <v/>
      </c>
      <c r="AF23" s="20" t="str">
        <f>IF(OR(LEFT($I23)="e",LEFT($I23)="g"),AF$1-LEN(T23),"")</f>
        <v/>
      </c>
      <c r="AG23" s="20" t="str">
        <f>IF(OR(LEFT($I23)="e",LEFT($I23)="g"),AG$1-LEN(U23),"")</f>
        <v/>
      </c>
      <c r="AH23" s="20" t="str">
        <f>IF(OR(LEFT($I23)="e",LEFT($I23)="g"),AH$1-LEN(V23),"")</f>
        <v/>
      </c>
      <c r="AI23" s="2" t="str">
        <f>IF(ISNUMBER(E23),"0"&amp;LEFT(D23,2)&amp;TEXT(E23,"#.0000"),E23)</f>
        <v>0er8.0000</v>
      </c>
    </row>
    <row r="24" spans="1:35" x14ac:dyDescent="0.3">
      <c r="A24" s="6" t="str">
        <f>IF(T24&lt;&gt;U24,"&lt;FIND TYPE=ASC&gt;"&amp;R24&amp;"&lt;/FIND&gt;&lt;REPLACE TYPE=ASC&gt;"&amp;S24&amp;"&lt;/REPLACE&gt;"&amp;CHAR(10)&amp;"&lt;FIND TYPE=ASC&gt;"&amp;T24&amp;"&lt;/FIND&gt;&lt;REPLACE TYPE=ASC&gt;"&amp;U24&amp;"&lt;/REPLACE&gt;"&amp;CHAR(10)&amp;"&lt;FIND TYPE=ASC&gt;"&amp;C24&amp;"&lt;/FIND&gt;&lt;REPLACE TYPE=ASC&gt;"&amp;D24&amp;"&lt;/REPLACE&gt;",".")</f>
        <v>.</v>
      </c>
      <c r="B24" s="7" t="s">
        <v>38</v>
      </c>
      <c r="C24" s="30" t="s">
        <v>495</v>
      </c>
      <c r="D24" s="7" t="s">
        <v>495</v>
      </c>
      <c r="E24" s="7">
        <v>8</v>
      </c>
      <c r="G24" s="8" t="s">
        <v>116</v>
      </c>
      <c r="H24" s="7"/>
      <c r="I24" s="7" t="s">
        <v>39</v>
      </c>
      <c r="J24" s="7"/>
      <c r="K24" s="7"/>
      <c r="L24" s="7"/>
      <c r="M24" s="7">
        <f>E24</f>
        <v>8</v>
      </c>
      <c r="N24" s="7"/>
      <c r="O24" s="7"/>
      <c r="P24" s="7"/>
      <c r="Q24" s="7">
        <v>0</v>
      </c>
      <c r="R24" s="17" t="str">
        <f>UPPER(R$1&amp;":"&amp;C24)</f>
        <v>RSCN:ST_RESERVED</v>
      </c>
      <c r="S24" s="9" t="str">
        <f>UPPER(S$1&amp;":"&amp;D24)</f>
        <v>RSCN:ST_RESERVED</v>
      </c>
      <c r="T24" s="17" t="str">
        <f>SUBSTITUTE(C24,"_","")</f>
        <v>stReserved</v>
      </c>
      <c r="U24" s="9" t="str">
        <f>SUBSTITUTE(D24,"_","")&amp;IF(RIGHT(I24)="u","U","")</f>
        <v>stReserved</v>
      </c>
      <c r="V24" s="9" t="str">
        <f>IF(ISNUMBER(K24),K24,"$(P):"&amp;$S$1&amp;":"&amp;K24)</f>
        <v>$(P):RSCN:</v>
      </c>
      <c r="W24" s="9" t="str">
        <f>IF(ISNUMBER(L24),L24,"$(P):"&amp;$S$1&amp;":"&amp;L24)</f>
        <v>$(P):RSCN:</v>
      </c>
      <c r="X24" s="9" t="str">
        <f>IF(LEFT(I24)="g",IF(H24="real",y_pmacRascanGSVar,IF(H24="int",y_pmacRascanGSVar,"")),"")</f>
        <v/>
      </c>
      <c r="Y24" s="9" t="str">
        <f>SUBSTITUTE(SUBSTITUTE(SUBSTITUTE(SUBSTITUTE(SUBSTITUTE(SUBSTITUTE(SUBSTITUTE(X24,"~PVNAME",S24),"~EGU",J24),"~PREC",P24),"~VAR",E24),"~CANGET",V24),"~CANSET",W24),"~DESC",LEFT(G24,40))</f>
        <v/>
      </c>
      <c r="Z24" s="32" t="str">
        <f>IF(ISNUMBER($F24),SUBSTITUTE(SUBSTITUTE(SUBSTITUTE(SUBSTITUTE(SUBSTITUTE(SUBSTITUTE(SUBSTITUTE(SUBSTITUTE(y_QLabel &amp; y_QELabel &amp; IF($I24="gsu",y_QELineEdit,""),"~PVNAME",$S24),"~EGU",$J24),"~PREC",$P24),"~VAR",$E24),"~CANGET",$V24),"~CANSET",$W24),"~ROW",$F24),"~NAME",$D24),"")</f>
        <v/>
      </c>
      <c r="AA24" s="9" t="e">
        <f>VLOOKUP(H24,y_EPICS_Formats,2,FALSE)</f>
        <v>#N/A</v>
      </c>
      <c r="AB24" s="9" t="str">
        <f>IF(LEFT(I24)="g",y_Prefix&amp;S24&amp;" = ","")</f>
        <v/>
      </c>
      <c r="AC24" s="9" t="str">
        <f>IFERROR(";"&amp;G24&amp;"["&amp;J24&amp;"]"&amp;I24&amp;CHAR(10)&amp;B24 &amp;CHAR(9)&amp;U24&amp;CHAR(9)&amp;E24 &amp;CHAR(9),";;Error!")</f>
        <v xml:space="preserve">;rscn program terminated via CTRL[]p
#define	stReserved	8	</v>
      </c>
      <c r="AD24" s="9" t="str">
        <f>IF(IFERROR(Q24&gt;0,FALSE),SUBSTITUTE(SUBSTITUTE(SUBSTITUTE(y_archiverXML,"~PVNAME",S24&amp;IF(LEN(X24)&lt;1,"",":RBV")),"~PREFIX",y_Prefix),"~PERIOD",Q24),"")</f>
        <v/>
      </c>
      <c r="AE24" s="20" t="str">
        <f>IF(OR(LEFT($I24)="e",LEFT($I24)="g"),AE$1-LEN(S24),"")</f>
        <v/>
      </c>
      <c r="AF24" s="20" t="str">
        <f>IF(OR(LEFT($I24)="e",LEFT($I24)="g"),AF$1-LEN(T24),"")</f>
        <v/>
      </c>
      <c r="AG24" s="20" t="str">
        <f>IF(OR(LEFT($I24)="e",LEFT($I24)="g"),AG$1-LEN(U24),"")</f>
        <v/>
      </c>
      <c r="AH24" s="20" t="str">
        <f>IF(OR(LEFT($I24)="e",LEFT($I24)="g"),AH$1-LEN(V24),"")</f>
        <v/>
      </c>
      <c r="AI24" s="2" t="str">
        <f>IF(ISNUMBER(E24),"0"&amp;LEFT(D24,2)&amp;TEXT(E24,"#.0000"),E24)</f>
        <v>0st8.0000</v>
      </c>
    </row>
    <row r="25" spans="1:35" x14ac:dyDescent="0.3">
      <c r="A25" s="6" t="str">
        <f>IF(T25&lt;&gt;U25,"&lt;FIND TYPE=ASC&gt;"&amp;R25&amp;"&lt;/FIND&gt;&lt;REPLACE TYPE=ASC&gt;"&amp;S25&amp;"&lt;/REPLACE&gt;"&amp;CHAR(10)&amp;"&lt;FIND TYPE=ASC&gt;"&amp;T25&amp;"&lt;/FIND&gt;&lt;REPLACE TYPE=ASC&gt;"&amp;U25&amp;"&lt;/REPLACE&gt;"&amp;CHAR(10)&amp;"&lt;FIND TYPE=ASC&gt;"&amp;C25&amp;"&lt;/FIND&gt;&lt;REPLACE TYPE=ASC&gt;"&amp;D25&amp;"&lt;/REPLACE&gt;",".")</f>
        <v>.</v>
      </c>
      <c r="B25" s="7" t="s">
        <v>38</v>
      </c>
      <c r="C25" s="30" t="s">
        <v>485</v>
      </c>
      <c r="D25" s="7" t="s">
        <v>485</v>
      </c>
      <c r="E25" s="7">
        <v>9</v>
      </c>
      <c r="G25" s="8"/>
      <c r="H25" s="7"/>
      <c r="I25" s="7"/>
      <c r="J25" s="7"/>
      <c r="K25" s="7"/>
      <c r="L25" s="7"/>
      <c r="M25" s="7">
        <f>E25</f>
        <v>9</v>
      </c>
      <c r="N25" s="7"/>
      <c r="O25" s="7"/>
      <c r="P25" s="7"/>
      <c r="Q25" s="7">
        <v>0</v>
      </c>
      <c r="R25" s="17" t="str">
        <f>UPPER(R$1&amp;":"&amp;C25)</f>
        <v>RSCN:ER_STANDBY</v>
      </c>
      <c r="S25" s="9" t="str">
        <f>UPPER(S$1&amp;":"&amp;D25)</f>
        <v>RSCN:ER_STANDBY</v>
      </c>
      <c r="T25" s="17" t="str">
        <f>SUBSTITUTE(C25,"_","")</f>
        <v>erStandby</v>
      </c>
      <c r="U25" s="9" t="str">
        <f>SUBSTITUTE(D25,"_","")&amp;IF(RIGHT(I25)="u","U","")</f>
        <v>erStandby</v>
      </c>
      <c r="V25" s="9" t="str">
        <f>IF(ISNUMBER(K25),K25,"$(P):"&amp;$S$1&amp;":"&amp;K25)</f>
        <v>$(P):RSCN:</v>
      </c>
      <c r="W25" s="9" t="str">
        <f>IF(ISNUMBER(L25),L25,"$(P):"&amp;$S$1&amp;":"&amp;L25)</f>
        <v>$(P):RSCN:</v>
      </c>
      <c r="X25" s="9" t="str">
        <f>IF(LEFT(I25)="g",IF(H25="real",y_pmacRascanGSVar,IF(H25="int",y_pmacRascanGSVar,"")),"")</f>
        <v/>
      </c>
      <c r="Y25" s="9" t="str">
        <f>SUBSTITUTE(SUBSTITUTE(SUBSTITUTE(SUBSTITUTE(SUBSTITUTE(SUBSTITUTE(SUBSTITUTE(X25,"~PVNAME",S25),"~EGU",J25),"~PREC",P25),"~VAR",E25),"~CANGET",V25),"~CANSET",W25),"~DESC",LEFT(G25,40))</f>
        <v/>
      </c>
      <c r="Z25" s="32" t="str">
        <f>IF(ISNUMBER($F25),SUBSTITUTE(SUBSTITUTE(SUBSTITUTE(SUBSTITUTE(SUBSTITUTE(SUBSTITUTE(SUBSTITUTE(SUBSTITUTE(y_QLabel &amp; y_QELabel &amp; IF($I25="gsu",y_QELineEdit,""),"~PVNAME",$S25),"~EGU",$J25),"~PREC",$P25),"~VAR",$E25),"~CANGET",$V25),"~CANSET",$W25),"~ROW",$F25),"~NAME",$D25),"")</f>
        <v/>
      </c>
      <c r="AA25" s="9" t="e">
        <f>VLOOKUP(H25,y_EPICS_Formats,2,FALSE)</f>
        <v>#N/A</v>
      </c>
      <c r="AB25" s="9" t="str">
        <f>IF(LEFT(I25)="g",y_Prefix&amp;S25&amp;" = ","")</f>
        <v/>
      </c>
      <c r="AC25" s="9" t="str">
        <f>IFERROR(";"&amp;G25&amp;"["&amp;J25&amp;"]"&amp;I25&amp;CHAR(10)&amp;B25 &amp;CHAR(9)&amp;U25&amp;CHAR(9)&amp;E25 &amp;CHAR(9),";;Error!")</f>
        <v xml:space="preserve">;[]
#define	erStandby	9	</v>
      </c>
      <c r="AD25" s="9" t="str">
        <f>IF(IFERROR(Q25&gt;0,FALSE),SUBSTITUTE(SUBSTITUTE(SUBSTITUTE(y_archiverXML,"~PVNAME",S25&amp;IF(LEN(X25)&lt;1,"",":RBV")),"~PREFIX",y_Prefix),"~PERIOD",Q25),"")</f>
        <v/>
      </c>
      <c r="AE25" s="20" t="str">
        <f>IF(OR(LEFT($I25)="e",LEFT($I25)="g"),AE$1-LEN(S25),"")</f>
        <v/>
      </c>
      <c r="AF25" s="20" t="str">
        <f>IF(OR(LEFT($I25)="e",LEFT($I25)="g"),AF$1-LEN(T25),"")</f>
        <v/>
      </c>
      <c r="AG25" s="20" t="str">
        <f>IF(OR(LEFT($I25)="e",LEFT($I25)="g"),AG$1-LEN(U25),"")</f>
        <v/>
      </c>
      <c r="AH25" s="20" t="str">
        <f>IF(OR(LEFT($I25)="e",LEFT($I25)="g"),AH$1-LEN(V25),"")</f>
        <v/>
      </c>
      <c r="AI25" s="2" t="str">
        <f>IF(ISNUMBER(E25),"0"&amp;LEFT(D25,2)&amp;TEXT(E25,"#.0000"),E25)</f>
        <v>0er9.0000</v>
      </c>
    </row>
    <row r="26" spans="1:35" x14ac:dyDescent="0.3">
      <c r="A26" s="6" t="str">
        <f>IF(T26&lt;&gt;U26,"&lt;FIND TYPE=ASC&gt;"&amp;R26&amp;"&lt;/FIND&gt;&lt;REPLACE TYPE=ASC&gt;"&amp;S26&amp;"&lt;/REPLACE&gt;"&amp;CHAR(10)&amp;"&lt;FIND TYPE=ASC&gt;"&amp;T26&amp;"&lt;/FIND&gt;&lt;REPLACE TYPE=ASC&gt;"&amp;U26&amp;"&lt;/REPLACE&gt;"&amp;CHAR(10)&amp;"&lt;FIND TYPE=ASC&gt;"&amp;C26&amp;"&lt;/FIND&gt;&lt;REPLACE TYPE=ASC&gt;"&amp;D26&amp;"&lt;/REPLACE&gt;",".")</f>
        <v>.</v>
      </c>
      <c r="B26" s="7" t="s">
        <v>38</v>
      </c>
      <c r="C26" s="30" t="s">
        <v>496</v>
      </c>
      <c r="D26" s="7" t="s">
        <v>496</v>
      </c>
      <c r="E26" s="7">
        <v>9</v>
      </c>
      <c r="G26" s="8"/>
      <c r="H26" s="7"/>
      <c r="I26" s="7" t="s">
        <v>39</v>
      </c>
      <c r="J26" s="7"/>
      <c r="K26" s="7"/>
      <c r="L26" s="7"/>
      <c r="M26" s="7">
        <f>E26</f>
        <v>9</v>
      </c>
      <c r="N26" s="7"/>
      <c r="O26" s="7"/>
      <c r="P26" s="7"/>
      <c r="Q26" s="7">
        <v>0</v>
      </c>
      <c r="R26" s="17" t="str">
        <f>UPPER(R$1&amp;":"&amp;C26)</f>
        <v>RSCN:ST_RESETTING</v>
      </c>
      <c r="S26" s="9" t="str">
        <f>UPPER(S$1&amp;":"&amp;D26)</f>
        <v>RSCN:ST_RESETTING</v>
      </c>
      <c r="T26" s="17" t="str">
        <f>SUBSTITUTE(C26,"_","")</f>
        <v>stResetting</v>
      </c>
      <c r="U26" s="9" t="str">
        <f>SUBSTITUTE(D26,"_","")&amp;IF(RIGHT(I26)="u","U","")</f>
        <v>stResetting</v>
      </c>
      <c r="V26" s="9" t="str">
        <f>IF(ISNUMBER(K26),K26,"$(P):"&amp;$S$1&amp;":"&amp;K26)</f>
        <v>$(P):RSCN:</v>
      </c>
      <c r="W26" s="9" t="str">
        <f>IF(ISNUMBER(L26),L26,"$(P):"&amp;$S$1&amp;":"&amp;L26)</f>
        <v>$(P):RSCN:</v>
      </c>
      <c r="X26" s="9" t="str">
        <f>IF(LEFT(I26)="g",IF(H26="real",y_pmacRascanGSVar,IF(H26="int",y_pmacRascanGSVar,"")),"")</f>
        <v/>
      </c>
      <c r="Y26" s="9" t="str">
        <f>SUBSTITUTE(SUBSTITUTE(SUBSTITUTE(SUBSTITUTE(SUBSTITUTE(SUBSTITUTE(SUBSTITUTE(X26,"~PVNAME",S26),"~EGU",J26),"~PREC",P26),"~VAR",E26),"~CANGET",V26),"~CANSET",W26),"~DESC",LEFT(G26,40))</f>
        <v/>
      </c>
      <c r="Z26" s="32" t="str">
        <f>IF(ISNUMBER($F26),SUBSTITUTE(SUBSTITUTE(SUBSTITUTE(SUBSTITUTE(SUBSTITUTE(SUBSTITUTE(SUBSTITUTE(SUBSTITUTE(y_QLabel &amp; y_QELabel &amp; IF($I26="gsu",y_QELineEdit,""),"~PVNAME",$S26),"~EGU",$J26),"~PREC",$P26),"~VAR",$E26),"~CANGET",$V26),"~CANSET",$W26),"~ROW",$F26),"~NAME",$D26),"")</f>
        <v/>
      </c>
      <c r="AA26" s="9" t="e">
        <f>VLOOKUP(H26,y_EPICS_Formats,2,FALSE)</f>
        <v>#N/A</v>
      </c>
      <c r="AB26" s="9" t="str">
        <f>IF(LEFT(I26)="g",y_Prefix&amp;S26&amp;" = ","")</f>
        <v/>
      </c>
      <c r="AC26" s="9" t="str">
        <f>IFERROR(";"&amp;G26&amp;"["&amp;J26&amp;"]"&amp;I26&amp;CHAR(10)&amp;B26 &amp;CHAR(9)&amp;U26&amp;CHAR(9)&amp;E26 &amp;CHAR(9),";;Error!")</f>
        <v xml:space="preserve">;[]p
#define	stResetting	9	</v>
      </c>
      <c r="AD26" s="9" t="str">
        <f>IF(IFERROR(Q26&gt;0,FALSE),SUBSTITUTE(SUBSTITUTE(SUBSTITUTE(y_archiverXML,"~PVNAME",S26&amp;IF(LEN(X26)&lt;1,"",":RBV")),"~PREFIX",y_Prefix),"~PERIOD",Q26),"")</f>
        <v/>
      </c>
      <c r="AE26" s="20" t="str">
        <f>IF(OR(LEFT($I26)="e",LEFT($I26)="g"),AE$1-LEN(S26),"")</f>
        <v/>
      </c>
      <c r="AF26" s="20" t="str">
        <f>IF(OR(LEFT($I26)="e",LEFT($I26)="g"),AF$1-LEN(T26),"")</f>
        <v/>
      </c>
      <c r="AG26" s="20" t="str">
        <f>IF(OR(LEFT($I26)="e",LEFT($I26)="g"),AG$1-LEN(U26),"")</f>
        <v/>
      </c>
      <c r="AH26" s="20" t="str">
        <f>IF(OR(LEFT($I26)="e",LEFT($I26)="g"),AH$1-LEN(V26),"")</f>
        <v/>
      </c>
      <c r="AI26" s="2" t="str">
        <f>IF(ISNUMBER(E26),"0"&amp;LEFT(D26,2)&amp;TEXT(E26,"#.0000"),E26)</f>
        <v>0st9.0000</v>
      </c>
    </row>
    <row r="27" spans="1:35" x14ac:dyDescent="0.3">
      <c r="A27" s="6" t="str">
        <f>IF(T27&lt;&gt;U27,"&lt;FIND TYPE=ASC&gt;"&amp;R27&amp;"&lt;/FIND&gt;&lt;REPLACE TYPE=ASC&gt;"&amp;S27&amp;"&lt;/REPLACE&gt;"&amp;CHAR(10)&amp;"&lt;FIND TYPE=ASC&gt;"&amp;T27&amp;"&lt;/FIND&gt;&lt;REPLACE TYPE=ASC&gt;"&amp;U27&amp;"&lt;/REPLACE&gt;"&amp;CHAR(10)&amp;"&lt;FIND TYPE=ASC&gt;"&amp;C27&amp;"&lt;/FIND&gt;&lt;REPLACE TYPE=ASC&gt;"&amp;D27&amp;"&lt;/REPLACE&gt;",".")</f>
        <v>&lt;FIND TYPE=ASC&gt;RSCN:&lt;/FIND&gt;&lt;REPLACE TYPE=ASC&gt;RSCN:D1_IND_HLM&lt;/REPLACE&gt;
&lt;FIND TYPE=ASC&gt;&lt;/FIND&gt;&lt;REPLACE TYPE=ASC&gt;d1IndHLM&lt;/REPLACE&gt;
&lt;FIND TYPE=ASC&gt;&lt;/FIND&gt;&lt;REPLACE TYPE=ASC&gt;d1_Ind_HLM&lt;/REPLACE&gt;</v>
      </c>
      <c r="B27" s="7" t="s">
        <v>38</v>
      </c>
      <c r="C27" s="30"/>
      <c r="D27" s="7" t="s">
        <v>637</v>
      </c>
      <c r="E27" s="7" t="s">
        <v>634</v>
      </c>
      <c r="G27" s="8" t="s">
        <v>638</v>
      </c>
      <c r="H27" s="7" t="s">
        <v>43</v>
      </c>
      <c r="I27" s="7" t="s">
        <v>46</v>
      </c>
      <c r="J27" s="7" t="s">
        <v>169</v>
      </c>
      <c r="K27" s="7" t="s">
        <v>136</v>
      </c>
      <c r="L27" s="7" t="s">
        <v>69</v>
      </c>
      <c r="M27" s="7"/>
      <c r="N27" s="7">
        <v>0</v>
      </c>
      <c r="O27" s="7">
        <v>10</v>
      </c>
      <c r="P27" s="7"/>
      <c r="Q27" s="7"/>
      <c r="R27" s="17" t="str">
        <f>UPPER(R$1&amp;":"&amp;C27)</f>
        <v>RSCN:</v>
      </c>
      <c r="S27" s="9" t="str">
        <f>UPPER(S$1&amp;":"&amp;D27)</f>
        <v>RSCN:D1_IND_HLM</v>
      </c>
      <c r="T27" s="17" t="str">
        <f>SUBSTITUTE(C27,"_","")</f>
        <v/>
      </c>
      <c r="U27" s="9" t="str">
        <f>SUBSTITUTE(D27,"_","")&amp;IF(RIGHT(I27)="u","U","")</f>
        <v>d1IndHLM</v>
      </c>
      <c r="V27" s="9" t="str">
        <f>IF(ISNUMBER(K27),K27,"$(P):"&amp;$S$1&amp;":"&amp;K27)</f>
        <v>$(P):RSCN:ST_INPROG</v>
      </c>
      <c r="W27" s="9" t="str">
        <f>IF(ISNUMBER(L27),L27,"$(P):"&amp;$S$1&amp;":"&amp;L27)</f>
        <v>$(P):RSCN:ST_NEVER</v>
      </c>
      <c r="X27" s="9" t="str">
        <f>IF(LEFT(I27)="g",IF(H27="real",y_pmacRascanGSVar,IF(H27="int",y_pmacRascanGSVar,"")),"")</f>
        <v>expand("pmacRascanGSVar.vdb", GSVar~VAR) {
  macro(VAR, "~VAR")
  macro(EGU, "~EGU")
  macro(P, "$(P)")
  macro(Q, ":~PVNAME")
  macro(PORT, "$(PORT)")
  macro(CanGet, "~CANGET")
  macro(CanSet, "~CANSET")
  macro(PREC, "$(PREC=~PREC)")
  macro(DESC,"~DESC")
}</v>
      </c>
      <c r="Y27" s="9" t="str">
        <f>SUBSTITUTE(SUBSTITUTE(SUBSTITUTE(SUBSTITUTE(SUBSTITUTE(SUBSTITUTE(SUBSTITUTE(X27,"~PVNAME",S27),"~EGU",J27),"~PREC",P27),"~VAR",E27),"~CANGET",V27),"~CANSET",W27),"~DESC",LEFT(G27,40))</f>
        <v>expand("pmacRascanGSVar.vdb", GSVarP20??) {
  macro(VAR, "P20??")
  macro(EGU, "EGU")
  macro(P, "$(P)")
  macro(Q, ":RSCN:D1_IND_HLM")
  macro(PORT, "$(PORT)")
  macro(CanGet, "$(P):RSCN:ST_INPROG")
  macro(CanSet, "$(P):RSCN:ST_NEVER")
  macro(PREC, "$(PREC=)")
  macro(DESC,"Fly axis indentation total limit")
}</v>
      </c>
      <c r="Z27" s="32" t="str">
        <f>IF(ISNUMBER($F27),SUBSTITUTE(SUBSTITUTE(SUBSTITUTE(SUBSTITUTE(SUBSTITUTE(SUBSTITUTE(SUBSTITUTE(SUBSTITUTE(y_QLabel &amp; y_QELabel &amp; IF($I27="gsu",y_QELineEdit,""),"~PVNAME",$S27),"~EGU",$J27),"~PREC",$P27),"~VAR",$E27),"~CANGET",$V27),"~CANSET",$W27),"~ROW",$F27),"~NAME",$D27),"")</f>
        <v/>
      </c>
      <c r="AA27" s="9" t="str">
        <f>VLOOKUP(H27,y_EPICS_Formats,2,FALSE)</f>
        <v>%f</v>
      </c>
      <c r="AB27" s="9" t="str">
        <f>IF(LEFT(I27)="g",y_Prefix&amp;S27&amp;" = ","")</f>
        <v xml:space="preserve">SR05ID01FST01:RSCN:D1_IND_HLM = </v>
      </c>
      <c r="AC27" s="9" t="str">
        <f>IFERROR(";"&amp;G27&amp;"["&amp;J27&amp;"]"&amp;I27&amp;CHAR(10)&amp;B27 &amp;CHAR(9)&amp;U27&amp;CHAR(9)&amp;E27 &amp;CHAR(9),";;Error!")</f>
        <v xml:space="preserve">;Fly axis indentation total limit[EGU]g
#define	d1IndHLM	P20??	</v>
      </c>
      <c r="AD27" s="9" t="str">
        <f>IF(IFERROR(Q27&gt;0,FALSE),SUBSTITUTE(SUBSTITUTE(SUBSTITUTE(y_archiverXML,"~PVNAME",S27&amp;IF(LEN(X27)&lt;1,"",":RBV")),"~PREFIX",y_Prefix),"~PERIOD",Q27),"")</f>
        <v/>
      </c>
      <c r="AE27" s="20">
        <f>IF(OR(LEFT($I27)="e",LEFT($I27)="g"),AE$1-LEN(S27),"")</f>
        <v>1</v>
      </c>
      <c r="AF27" s="20">
        <f>IF(OR(LEFT($I27)="e",LEFT($I27)="g"),AF$1-LEN(T27),"")</f>
        <v>16</v>
      </c>
      <c r="AG27" s="20">
        <f>IF(OR(LEFT($I27)="e",LEFT($I27)="g"),AG$1-LEN(U27),"")</f>
        <v>8</v>
      </c>
      <c r="AH27" s="20">
        <f>IF(OR(LEFT($I27)="e",LEFT($I27)="g"),AH$1-LEN(V27),"")</f>
        <v>21</v>
      </c>
      <c r="AI27" s="2" t="str">
        <f>IF(ISNUMBER(E27),"0"&amp;LEFT(D27,2)&amp;TEXT(E27,"#.0000"),E27)</f>
        <v>P20??</v>
      </c>
    </row>
    <row r="28" spans="1:35" x14ac:dyDescent="0.3">
      <c r="A28" s="6" t="str">
        <f>IF(T28&lt;&gt;U28,"&lt;FIND TYPE=ASC&gt;"&amp;R28&amp;"&lt;/FIND&gt;&lt;REPLACE TYPE=ASC&gt;"&amp;S28&amp;"&lt;/REPLACE&gt;"&amp;CHAR(10)&amp;"&lt;FIND TYPE=ASC&gt;"&amp;T28&amp;"&lt;/FIND&gt;&lt;REPLACE TYPE=ASC&gt;"&amp;U28&amp;"&lt;/REPLACE&gt;"&amp;CHAR(10)&amp;"&lt;FIND TYPE=ASC&gt;"&amp;C28&amp;"&lt;/FIND&gt;&lt;REPLACE TYPE=ASC&gt;"&amp;D28&amp;"&lt;/REPLACE&gt;",".")</f>
        <v>&lt;FIND TYPE=ASC&gt;RSCN:&lt;/FIND&gt;&lt;REPLACE TYPE=ASC&gt;RSCN:DEV_INDST&lt;/REPLACE&gt;
&lt;FIND TYPE=ASC&gt;&lt;/FIND&gt;&lt;REPLACE TYPE=ASC&gt;devIndSt&lt;/REPLACE&gt;
&lt;FIND TYPE=ASC&gt;&lt;/FIND&gt;&lt;REPLACE TYPE=ASC&gt;dev_IndSt&lt;/REPLACE&gt;</v>
      </c>
      <c r="B28" s="7" t="s">
        <v>38</v>
      </c>
      <c r="C28" s="30"/>
      <c r="D28" s="7" t="s">
        <v>636</v>
      </c>
      <c r="E28" s="7" t="s">
        <v>634</v>
      </c>
      <c r="G28" s="8" t="s">
        <v>635</v>
      </c>
      <c r="H28" s="7" t="s">
        <v>41</v>
      </c>
      <c r="I28" s="7" t="s">
        <v>42</v>
      </c>
      <c r="J28" s="7"/>
      <c r="K28" s="7" t="s">
        <v>136</v>
      </c>
      <c r="L28" s="7" t="s">
        <v>136</v>
      </c>
      <c r="M28" s="7"/>
      <c r="N28" s="7">
        <v>0</v>
      </c>
      <c r="O28" s="7">
        <v>10</v>
      </c>
      <c r="P28" s="7"/>
      <c r="Q28" s="7"/>
      <c r="R28" s="17" t="str">
        <f>UPPER(R$1&amp;":"&amp;C28)</f>
        <v>RSCN:</v>
      </c>
      <c r="S28" s="9" t="str">
        <f>UPPER(S$1&amp;":"&amp;D28)</f>
        <v>RSCN:DEV_INDST</v>
      </c>
      <c r="T28" s="17" t="str">
        <f>SUBSTITUTE(C28,"_","")</f>
        <v/>
      </c>
      <c r="U28" s="9" t="str">
        <f>SUBSTITUTE(D28,"_","")&amp;IF(RIGHT(I28)="u","U","")</f>
        <v>devIndSt</v>
      </c>
      <c r="V28" s="9" t="str">
        <f>IF(ISNUMBER(K28),K28,"$(P):"&amp;$S$1&amp;":"&amp;K28)</f>
        <v>$(P):RSCN:ST_INPROG</v>
      </c>
      <c r="W28" s="9" t="str">
        <f>IF(ISNUMBER(L28),L28,"$(P):"&amp;$S$1&amp;":"&amp;L28)</f>
        <v>$(P):RSCN:ST_INPROG</v>
      </c>
      <c r="X28" s="9" t="str">
        <f>IF(LEFT(I28)="g",IF(H28="real",y_pmacRascanGSVar,IF(H28="int",y_pmacRascanGSVar,"")),"")</f>
        <v>expand("pmacRascanGSVar.vdb", GSVar~VAR) {
  macro(VAR, "~VAR")
  macro(EGU, "~EGU")
  macro(P, "$(P)")
  macro(Q, ":~PVNAME")
  macro(PORT, "$(PORT)")
  macro(CanGet, "~CANGET")
  macro(CanSet, "~CANSET")
  macro(PREC, "$(PREC=~PREC)")
  macro(DESC,"~DESC")
}</v>
      </c>
      <c r="Y28" s="9" t="str">
        <f>SUBSTITUTE(SUBSTITUTE(SUBSTITUTE(SUBSTITUTE(SUBSTITUTE(SUBSTITUTE(SUBSTITUTE(X28,"~PVNAME",S28),"~EGU",J28),"~PREC",P28),"~VAR",E28),"~CANGET",V28),"~CANSET",W28),"~DESC",LEFT(G28,40))</f>
        <v>expand("pmacRascanGSVar.vdb", GSVarP20??) {
  macro(VAR, "P20??")
  macro(EGU, "")
  macro(P, "$(P)")
  macro(Q, ":RSCN:DEV_INDST")
  macro(PORT, "$(PORT)")
  macro(CanGet, "$(P):RSCN:ST_INPROG")
  macro(CanSet, "$(P):RSCN:ST_INPROG")
  macro(PREC, "$(PREC=)")
  macro(DESC,"Device indentation live switch")
}</v>
      </c>
      <c r="Z28" s="32" t="str">
        <f>IF(ISNUMBER($F28),SUBSTITUTE(SUBSTITUTE(SUBSTITUTE(SUBSTITUTE(SUBSTITUTE(SUBSTITUTE(SUBSTITUTE(SUBSTITUTE(y_QLabel &amp; y_QELabel &amp; IF($I28="gsu",y_QELineEdit,""),"~PVNAME",$S28),"~EGU",$J28),"~PREC",$P28),"~VAR",$E28),"~CANGET",$V28),"~CANSET",$W28),"~ROW",$F28),"~NAME",$D28),"")</f>
        <v/>
      </c>
      <c r="AA28" s="9" t="str">
        <f>VLOOKUP(H28,y_EPICS_Formats,2,FALSE)</f>
        <v>%d</v>
      </c>
      <c r="AB28" s="9" t="str">
        <f>IF(LEFT(I28)="g",y_Prefix&amp;S28&amp;" = ","")</f>
        <v xml:space="preserve">SR05ID01FST01:RSCN:DEV_INDST = </v>
      </c>
      <c r="AC28" s="9" t="str">
        <f>IFERROR(";"&amp;G28&amp;"["&amp;J28&amp;"]"&amp;I28&amp;CHAR(10)&amp;B28 &amp;CHAR(9)&amp;U28&amp;CHAR(9)&amp;E28 &amp;CHAR(9),";;Error!")</f>
        <v xml:space="preserve">;Device indentation live switch[]gs
#define	devIndSt	P20??	</v>
      </c>
      <c r="AD28" s="9" t="str">
        <f>IF(IFERROR(Q28&gt;0,FALSE),SUBSTITUTE(SUBSTITUTE(SUBSTITUTE(y_archiverXML,"~PVNAME",S28&amp;IF(LEN(X28)&lt;1,"",":RBV")),"~PREFIX",y_Prefix),"~PERIOD",Q28),"")</f>
        <v/>
      </c>
      <c r="AE28" s="20">
        <f>IF(OR(LEFT($I28)="e",LEFT($I28)="g"),AE$1-LEN(S28),"")</f>
        <v>2</v>
      </c>
      <c r="AF28" s="20">
        <f>IF(OR(LEFT($I28)="e",LEFT($I28)="g"),AF$1-LEN(T28),"")</f>
        <v>16</v>
      </c>
      <c r="AG28" s="20">
        <f>IF(OR(LEFT($I28)="e",LEFT($I28)="g"),AG$1-LEN(U28),"")</f>
        <v>8</v>
      </c>
      <c r="AH28" s="20">
        <f>IF(OR(LEFT($I28)="e",LEFT($I28)="g"),AH$1-LEN(V28),"")</f>
        <v>21</v>
      </c>
      <c r="AI28" s="2" t="str">
        <f>IF(ISNUMBER(E28),"0"&amp;LEFT(D28,2)&amp;TEXT(E28,"#.0000"),E28)</f>
        <v>P20??</v>
      </c>
    </row>
    <row r="29" spans="1:35" x14ac:dyDescent="0.3">
      <c r="A29" s="6" t="str">
        <f>IF(T29&lt;&gt;U29,"&lt;FIND TYPE=ASC&gt;"&amp;R29&amp;"&lt;/FIND&gt;&lt;REPLACE TYPE=ASC&gt;"&amp;S29&amp;"&lt;/REPLACE&gt;"&amp;CHAR(10)&amp;"&lt;FIND TYPE=ASC&gt;"&amp;T29&amp;"&lt;/FIND&gt;&lt;REPLACE TYPE=ASC&gt;"&amp;U29&amp;"&lt;/REPLACE&gt;"&amp;CHAR(10)&amp;"&lt;FIND TYPE=ASC&gt;"&amp;C29&amp;"&lt;/FIND&gt;&lt;REPLACE TYPE=ASC&gt;"&amp;D29&amp;"&lt;/REPLACE&gt;",".")</f>
        <v>&lt;FIND TYPE=ASC&gt;RSCN:&lt;/FIND&gt;&lt;REPLACE TYPE=ASC&gt;RSCN:D1_INDL_REQ&lt;/REPLACE&gt;
&lt;FIND TYPE=ASC&gt;&lt;/FIND&gt;&lt;REPLACE TYPE=ASC&gt;d1IndLReqU&lt;/REPLACE&gt;
&lt;FIND TYPE=ASC&gt;&lt;/FIND&gt;&lt;REPLACE TYPE=ASC&gt;d1_IndL_Req&lt;/REPLACE&gt;</v>
      </c>
      <c r="B29" s="7" t="s">
        <v>38</v>
      </c>
      <c r="C29" s="30"/>
      <c r="D29" s="7" t="s">
        <v>632</v>
      </c>
      <c r="E29" s="7" t="s">
        <v>631</v>
      </c>
      <c r="G29" s="8" t="s">
        <v>629</v>
      </c>
      <c r="H29" s="7" t="s">
        <v>43</v>
      </c>
      <c r="I29" s="7" t="s">
        <v>618</v>
      </c>
      <c r="J29" s="7" t="s">
        <v>169</v>
      </c>
      <c r="K29" s="7" t="s">
        <v>136</v>
      </c>
      <c r="L29" s="7" t="s">
        <v>136</v>
      </c>
      <c r="M29" s="7"/>
      <c r="N29" s="7">
        <v>-9999999</v>
      </c>
      <c r="O29" s="7">
        <v>9999999</v>
      </c>
      <c r="P29" s="7">
        <v>5</v>
      </c>
      <c r="Q29" s="7">
        <v>0.5</v>
      </c>
      <c r="R29" s="17" t="str">
        <f>UPPER(R$1&amp;":"&amp;C29)</f>
        <v>RSCN:</v>
      </c>
      <c r="S29" s="9" t="str">
        <f>UPPER(S$1&amp;":"&amp;D29)</f>
        <v>RSCN:D1_INDL_REQ</v>
      </c>
      <c r="T29" s="17" t="str">
        <f>SUBSTITUTE(C29,"_","")</f>
        <v/>
      </c>
      <c r="U29" s="9" t="str">
        <f>SUBSTITUTE(D29,"_","")&amp;IF(RIGHT(I29)="u","U","")</f>
        <v>d1IndLReqU</v>
      </c>
      <c r="V29" s="9" t="str">
        <f>IF(ISNUMBER(K29),K29,"$(P):"&amp;$S$1&amp;":"&amp;K29)</f>
        <v>$(P):RSCN:ST_INPROG</v>
      </c>
      <c r="W29" s="9" t="str">
        <f>IF(ISNUMBER(L29),L29,"$(P):"&amp;$S$1&amp;":"&amp;L29)</f>
        <v>$(P):RSCN:ST_INPROG</v>
      </c>
      <c r="X29" s="9" t="str">
        <f>IF(LEFT(I29)="g",IF(H29="real",y_pmacRascanGSVar,IF(H29="int",y_pmacRascanGSVar,"")),"")</f>
        <v>expand("pmacRascanGSVar.vdb", GSVar~VAR) {
  macro(VAR, "~VAR")
  macro(EGU, "~EGU")
  macro(P, "$(P)")
  macro(Q, ":~PVNAME")
  macro(PORT, "$(PORT)")
  macro(CanGet, "~CANGET")
  macro(CanSet, "~CANSET")
  macro(PREC, "$(PREC=~PREC)")
  macro(DESC,"~DESC")
}</v>
      </c>
      <c r="Y29" s="9" t="str">
        <f>SUBSTITUTE(SUBSTITUTE(SUBSTITUTE(SUBSTITUTE(SUBSTITUTE(SUBSTITUTE(SUBSTITUTE(X29,"~PVNAME",S29),"~EGU",J29),"~PREC",P29),"~VAR",E29),"~CANGET",V29),"~CANSET",W29),"~DESC",LEFT(G29,40))</f>
        <v>expand("pmacRascanGSVar.vdb", GSVarP200?) {
  macro(VAR, "P200?")
  macro(EGU, "EGU")
  macro(P, "$(P)")
  macro(Q, ":RSCN:D1_INDL_REQ")
  macro(PORT, "$(PORT)")
  macro(CanGet, "$(P):RSCN:ST_INPROG")
  macro(CanSet, "$(P):RSCN:ST_INPROG")
  macro(PREC, "$(PREC=5)")
  macro(DESC,"Fly axis indent from Left request")
}</v>
      </c>
      <c r="Z29" s="32" t="str">
        <f>IF(ISNUMBER($F29),SUBSTITUTE(SUBSTITUTE(SUBSTITUTE(SUBSTITUTE(SUBSTITUTE(SUBSTITUTE(SUBSTITUTE(SUBSTITUTE(y_QLabel &amp; y_QELabel &amp; IF($I29="gsu",y_QELineEdit,""),"~PVNAME",$S29),"~EGU",$J29),"~PREC",$P29),"~VAR",$E29),"~CANGET",$V29),"~CANSET",$W29),"~ROW",$F29),"~NAME",$D29),"")</f>
        <v/>
      </c>
      <c r="AA29" s="9" t="str">
        <f>VLOOKUP(H29,y_EPICS_Formats,2,FALSE)</f>
        <v>%f</v>
      </c>
      <c r="AB29" s="9" t="str">
        <f>IF(LEFT(I29)="g",y_Prefix&amp;S29&amp;" = ","")</f>
        <v xml:space="preserve">SR05ID01FST01:RSCN:D1_INDL_REQ = </v>
      </c>
      <c r="AC29" s="9" t="str">
        <f>IFERROR(";"&amp;G29&amp;"["&amp;J29&amp;"]"&amp;I29&amp;CHAR(10)&amp;B29 &amp;CHAR(9)&amp;U29&amp;CHAR(9)&amp;E29 &amp;CHAR(9),";;Error!")</f>
        <v xml:space="preserve">;Fly axis indent from Left request[EGU]gsu
#define	d1IndLReqU	P200?	</v>
      </c>
      <c r="AD29" s="9" t="str">
        <f>IF(IFERROR(Q29&gt;0,FALSE),SUBSTITUTE(SUBSTITUTE(SUBSTITUTE(y_archiverXML,"~PVNAME",S29&amp;IF(LEN(X29)&lt;1,"",":RBV")),"~PREFIX",y_Prefix),"~PERIOD",Q29),"")</f>
        <v xml:space="preserve">      &lt;channel&gt;
         &lt;name&gt;SR05ID01FST01:RSCN:D1_INDL_REQ:RBV&lt;/name&gt;
         &lt;period&gt;0.5&lt;/period&gt;
         &lt;monitor/&gt;
      &lt;/channel&gt;</v>
      </c>
      <c r="AE29" s="20">
        <f>IF(OR(LEFT($I29)="e",LEFT($I29)="g"),AE$1-LEN(S29),"")</f>
        <v>0</v>
      </c>
      <c r="AF29" s="20">
        <f>IF(OR(LEFT($I29)="e",LEFT($I29)="g"),AF$1-LEN(T29),"")</f>
        <v>16</v>
      </c>
      <c r="AG29" s="20">
        <f>IF(OR(LEFT($I29)="e",LEFT($I29)="g"),AG$1-LEN(U29),"")</f>
        <v>6</v>
      </c>
      <c r="AH29" s="20">
        <f>IF(OR(LEFT($I29)="e",LEFT($I29)="g"),AH$1-LEN(V29),"")</f>
        <v>21</v>
      </c>
      <c r="AI29" s="2" t="str">
        <f>IF(ISNUMBER(E29),"0"&amp;LEFT(D29,2)&amp;TEXT(E29,"#.0000"),E29)</f>
        <v>P200?</v>
      </c>
    </row>
    <row r="30" spans="1:35" x14ac:dyDescent="0.3">
      <c r="A30" s="6" t="str">
        <f>IF(T30&lt;&gt;U30,"&lt;FIND TYPE=ASC&gt;"&amp;R30&amp;"&lt;/FIND&gt;&lt;REPLACE TYPE=ASC&gt;"&amp;S30&amp;"&lt;/REPLACE&gt;"&amp;CHAR(10)&amp;"&lt;FIND TYPE=ASC&gt;"&amp;T30&amp;"&lt;/FIND&gt;&lt;REPLACE TYPE=ASC&gt;"&amp;U30&amp;"&lt;/REPLACE&gt;"&amp;CHAR(10)&amp;"&lt;FIND TYPE=ASC&gt;"&amp;C30&amp;"&lt;/FIND&gt;&lt;REPLACE TYPE=ASC&gt;"&amp;D30&amp;"&lt;/REPLACE&gt;",".")</f>
        <v>&lt;FIND TYPE=ASC&gt;RSCN:&lt;/FIND&gt;&lt;REPLACE TYPE=ASC&gt;RSCN:D1_INDR_REQ&lt;/REPLACE&gt;
&lt;FIND TYPE=ASC&gt;&lt;/FIND&gt;&lt;REPLACE TYPE=ASC&gt;d1IndRReqU&lt;/REPLACE&gt;
&lt;FIND TYPE=ASC&gt;&lt;/FIND&gt;&lt;REPLACE TYPE=ASC&gt;d1_IndR_Req&lt;/REPLACE&gt;</v>
      </c>
      <c r="B30" s="7" t="s">
        <v>38</v>
      </c>
      <c r="C30" s="30"/>
      <c r="D30" s="7" t="s">
        <v>633</v>
      </c>
      <c r="E30" s="7" t="s">
        <v>631</v>
      </c>
      <c r="G30" s="8" t="s">
        <v>630</v>
      </c>
      <c r="H30" s="7" t="s">
        <v>43</v>
      </c>
      <c r="I30" s="7" t="s">
        <v>618</v>
      </c>
      <c r="J30" s="7" t="s">
        <v>169</v>
      </c>
      <c r="K30" s="7" t="s">
        <v>136</v>
      </c>
      <c r="L30" s="7" t="s">
        <v>136</v>
      </c>
      <c r="M30" s="7"/>
      <c r="N30" s="7">
        <v>-9999999</v>
      </c>
      <c r="O30" s="7">
        <v>9999999</v>
      </c>
      <c r="P30" s="7">
        <v>5</v>
      </c>
      <c r="Q30" s="7">
        <v>0.5</v>
      </c>
      <c r="R30" s="17" t="str">
        <f>UPPER(R$1&amp;":"&amp;C30)</f>
        <v>RSCN:</v>
      </c>
      <c r="S30" s="9" t="str">
        <f>UPPER(S$1&amp;":"&amp;D30)</f>
        <v>RSCN:D1_INDR_REQ</v>
      </c>
      <c r="T30" s="17" t="str">
        <f>SUBSTITUTE(C30,"_","")</f>
        <v/>
      </c>
      <c r="U30" s="9" t="str">
        <f>SUBSTITUTE(D30,"_","")&amp;IF(RIGHT(I30)="u","U","")</f>
        <v>d1IndRReqU</v>
      </c>
      <c r="V30" s="9" t="str">
        <f>IF(ISNUMBER(K30),K30,"$(P):"&amp;$S$1&amp;":"&amp;K30)</f>
        <v>$(P):RSCN:ST_INPROG</v>
      </c>
      <c r="W30" s="9" t="str">
        <f>IF(ISNUMBER(L30),L30,"$(P):"&amp;$S$1&amp;":"&amp;L30)</f>
        <v>$(P):RSCN:ST_INPROG</v>
      </c>
      <c r="X30" s="9" t="str">
        <f>IF(LEFT(I30)="g",IF(H30="real",y_pmacRascanGSVar,IF(H30="int",y_pmacRascanGSVar,"")),"")</f>
        <v>expand("pmacRascanGSVar.vdb", GSVar~VAR) {
  macro(VAR, "~VAR")
  macro(EGU, "~EGU")
  macro(P, "$(P)")
  macro(Q, ":~PVNAME")
  macro(PORT, "$(PORT)")
  macro(CanGet, "~CANGET")
  macro(CanSet, "~CANSET")
  macro(PREC, "$(PREC=~PREC)")
  macro(DESC,"~DESC")
}</v>
      </c>
      <c r="Y30" s="9" t="str">
        <f>SUBSTITUTE(SUBSTITUTE(SUBSTITUTE(SUBSTITUTE(SUBSTITUTE(SUBSTITUTE(SUBSTITUTE(X30,"~PVNAME",S30),"~EGU",J30),"~PREC",P30),"~VAR",E30),"~CANGET",V30),"~CANSET",W30),"~DESC",LEFT(G30,40))</f>
        <v>expand("pmacRascanGSVar.vdb", GSVarP200?) {
  macro(VAR, "P200?")
  macro(EGU, "EGU")
  macro(P, "$(P)")
  macro(Q, ":RSCN:D1_INDR_REQ")
  macro(PORT, "$(PORT)")
  macro(CanGet, "$(P):RSCN:ST_INPROG")
  macro(CanSet, "$(P):RSCN:ST_INPROG")
  macro(PREC, "$(PREC=5)")
  macro(DESC,"Fly axis indent from Right request")
}</v>
      </c>
      <c r="Z30" s="32" t="str">
        <f>IF(ISNUMBER($F30),SUBSTITUTE(SUBSTITUTE(SUBSTITUTE(SUBSTITUTE(SUBSTITUTE(SUBSTITUTE(SUBSTITUTE(SUBSTITUTE(y_QLabel &amp; y_QELabel &amp; IF($I30="gsu",y_QELineEdit,""),"~PVNAME",$S30),"~EGU",$J30),"~PREC",$P30),"~VAR",$E30),"~CANGET",$V30),"~CANSET",$W30),"~ROW",$F30),"~NAME",$D30),"")</f>
        <v/>
      </c>
      <c r="AA30" s="9" t="str">
        <f>VLOOKUP(H30,y_EPICS_Formats,2,FALSE)</f>
        <v>%f</v>
      </c>
      <c r="AB30" s="9" t="str">
        <f>IF(LEFT(I30)="g",y_Prefix&amp;S30&amp;" = ","")</f>
        <v xml:space="preserve">SR05ID01FST01:RSCN:D1_INDR_REQ = </v>
      </c>
      <c r="AC30" s="9" t="str">
        <f>IFERROR(";"&amp;G30&amp;"["&amp;J30&amp;"]"&amp;I30&amp;CHAR(10)&amp;B30 &amp;CHAR(9)&amp;U30&amp;CHAR(9)&amp;E30 &amp;CHAR(9),";;Error!")</f>
        <v xml:space="preserve">;Fly axis indent from Right request[EGU]gsu
#define	d1IndRReqU	P200?	</v>
      </c>
      <c r="AD30" s="9" t="str">
        <f>IF(IFERROR(Q30&gt;0,FALSE),SUBSTITUTE(SUBSTITUTE(SUBSTITUTE(y_archiverXML,"~PVNAME",S30&amp;IF(LEN(X30)&lt;1,"",":RBV")),"~PREFIX",y_Prefix),"~PERIOD",Q30),"")</f>
        <v xml:space="preserve">      &lt;channel&gt;
         &lt;name&gt;SR05ID01FST01:RSCN:D1_INDR_REQ:RBV&lt;/name&gt;
         &lt;period&gt;0.5&lt;/period&gt;
         &lt;monitor/&gt;
      &lt;/channel&gt;</v>
      </c>
      <c r="AE30" s="20">
        <f>IF(OR(LEFT($I30)="e",LEFT($I30)="g"),AE$1-LEN(S30),"")</f>
        <v>0</v>
      </c>
      <c r="AF30" s="20">
        <f>IF(OR(LEFT($I30)="e",LEFT($I30)="g"),AF$1-LEN(T30),"")</f>
        <v>16</v>
      </c>
      <c r="AG30" s="20">
        <f>IF(OR(LEFT($I30)="e",LEFT($I30)="g"),AG$1-LEN(U30),"")</f>
        <v>6</v>
      </c>
      <c r="AH30" s="20">
        <f>IF(OR(LEFT($I30)="e",LEFT($I30)="g"),AH$1-LEN(V30),"")</f>
        <v>21</v>
      </c>
      <c r="AI30" s="2" t="str">
        <f>IF(ISNUMBER(E30),"0"&amp;LEFT(D30,2)&amp;TEXT(E30,"#.0000"),E30)</f>
        <v>P200?</v>
      </c>
    </row>
    <row r="31" spans="1:35" ht="29.25" x14ac:dyDescent="0.3">
      <c r="A31" s="6" t="str">
        <f>IF(T31&lt;&gt;U31,"&lt;FIND TYPE=ASC&gt;"&amp;R31&amp;"&lt;/FIND&gt;&lt;REPLACE TYPE=ASC&gt;"&amp;S31&amp;"&lt;/REPLACE&gt;"&amp;CHAR(10)&amp;"&lt;FIND TYPE=ASC&gt;"&amp;T31&amp;"&lt;/FIND&gt;&lt;REPLACE TYPE=ASC&gt;"&amp;U31&amp;"&lt;/REPLACE&gt;"&amp;CHAR(10)&amp;"&lt;FIND TYPE=ASC&gt;"&amp;C31&amp;"&lt;/FIND&gt;&lt;REPLACE TYPE=ASC&gt;"&amp;D31&amp;"&lt;/REPLACE&gt;",".")</f>
        <v>&lt;FIND TYPE=ASC&gt;RSCN:DEV_CMD&lt;/FIND&gt;&lt;REPLACE TYPE=ASC&gt;RSCN:DEV_CMD&lt;/REPLACE&gt;
&lt;FIND TYPE=ASC&gt;devCMD&lt;/FIND&gt;&lt;REPLACE TYPE=ASC&gt;devCMDU&lt;/REPLACE&gt;
&lt;FIND TYPE=ASC&gt;dev_CMD&lt;/FIND&gt;&lt;REPLACE TYPE=ASC&gt;dev_CMD&lt;/REPLACE&gt;</v>
      </c>
      <c r="B31" s="7" t="s">
        <v>38</v>
      </c>
      <c r="C31" s="30" t="s">
        <v>572</v>
      </c>
      <c r="D31" s="7" t="s">
        <v>572</v>
      </c>
      <c r="E31" s="7" t="s">
        <v>79</v>
      </c>
      <c r="F31" s="3">
        <v>2</v>
      </c>
      <c r="G31" s="8" t="s">
        <v>140</v>
      </c>
      <c r="H31" s="7" t="s">
        <v>41</v>
      </c>
      <c r="I31" s="7" t="s">
        <v>618</v>
      </c>
      <c r="J31" s="7"/>
      <c r="K31" s="7" t="s">
        <v>136</v>
      </c>
      <c r="L31" s="7" t="s">
        <v>136</v>
      </c>
      <c r="M31" s="7"/>
      <c r="N31" s="7">
        <v>0</v>
      </c>
      <c r="O31" s="7">
        <v>9</v>
      </c>
      <c r="P31" s="7">
        <v>0</v>
      </c>
      <c r="Q31" s="7">
        <v>0.5</v>
      </c>
      <c r="R31" s="17" t="str">
        <f>UPPER(R$1&amp;":"&amp;C31)</f>
        <v>RSCN:DEV_CMD</v>
      </c>
      <c r="S31" s="9" t="str">
        <f>UPPER(S$1&amp;":"&amp;D31)</f>
        <v>RSCN:DEV_CMD</v>
      </c>
      <c r="T31" s="17" t="str">
        <f>SUBSTITUTE(C31,"_","")</f>
        <v>devCMD</v>
      </c>
      <c r="U31" s="9" t="str">
        <f>SUBSTITUTE(D31,"_","")&amp;IF(RIGHT(I31)="u","U","")</f>
        <v>devCMDU</v>
      </c>
      <c r="V31" s="9" t="str">
        <f>IF(ISNUMBER(K31),K31,"$(P):"&amp;$S$1&amp;":"&amp;K31)</f>
        <v>$(P):RSCN:ST_INPROG</v>
      </c>
      <c r="W31" s="9" t="str">
        <f>IF(ISNUMBER(L31),L31,"$(P):"&amp;$S$1&amp;":"&amp;L31)</f>
        <v>$(P):RSCN:ST_INPROG</v>
      </c>
      <c r="X31" s="9" t="str">
        <f>IF(LEFT(I31)="g",IF(H31="real",y_pmacRascanGSVar,IF(H31="int",y_pmacRascanGSVar,"")),"")</f>
        <v>expand("pmacRascanGSVar.vdb", GSVar~VAR) {
  macro(VAR, "~VAR")
  macro(EGU, "~EGU")
  macro(P, "$(P)")
  macro(Q, ":~PVNAME")
  macro(PORT, "$(PORT)")
  macro(CanGet, "~CANGET")
  macro(CanSet, "~CANSET")
  macro(PREC, "$(PREC=~PREC)")
  macro(DESC,"~DESC")
}</v>
      </c>
      <c r="Y31" s="9" t="str">
        <f>SUBSTITUTE(SUBSTITUTE(SUBSTITUTE(SUBSTITUTE(SUBSTITUTE(SUBSTITUTE(SUBSTITUTE(X31,"~PVNAME",S31),"~EGU",J31),"~PREC",P31),"~VAR",E31),"~CANGET",V31),"~CANSET",W31),"~DESC",LEFT(G31,40))</f>
        <v>expand("pmacRascanGSVar.vdb", GSVarP2000) {
  macro(VAR, "P2000")
  macro(EGU, "")
  macro(P, "$(P)")
  macro(Q, ":RSCN:DEV_CMD")
  macro(PORT, "$(PORT)")
  macro(CanGet, "$(P):RSCN:ST_INPROG")
  macro(CanSet, "$(P):RSCN:ST_INPROG")
  macro(PREC, "$(PREC=0)")
  macro(DESC,"Scan control word")
}</v>
      </c>
      <c r="Z31" s="32" t="str">
        <f>IF(ISNUMBER($F31),SUBSTITUTE(SUBSTITUTE(SUBSTITUTE(SUBSTITUTE(SUBSTITUTE(SUBSTITUTE(SUBSTITUTE(SUBSTITUTE(y_QLabel &amp; y_QELabel &amp; IF($I31="gsu",y_QELineEdit,""),"~PVNAME",$S31),"~EGU",$J31),"~PREC",$P31),"~VAR",$E31),"~CANGET",$V31),"~CANSET",$W31),"~ROW",$F31),"~NAME",$D31),"")</f>
        <v>&lt;item row="2" column="0"&gt;
            &lt;widget class="QLabel" name="L_P2000"&gt;
             &lt;property name="sizePolicy"&gt;
              &lt;sizepolicy hsizetype="MinimumExpanding" vsizetype="Preferred"&gt;
               &lt;horstretch&gt;0&lt;/horstretch&gt;
               &lt;verstretch&gt;0&lt;/verstretch&gt;
              &lt;/sizepolicy&gt;
             &lt;/property&gt;
             &lt;property name="minimumSize"&gt;
              &lt;size&gt;
               &lt;width&gt;88&lt;/width&gt;
               &lt;height&gt;8&lt;/height&gt;
              &lt;/size&gt;
             &lt;/property&gt;
             &lt;property name="text"&gt;
              &lt;string&gt;dev_CMD&lt;/string&gt;
             &lt;/property&gt;
            &lt;/widget&gt;
           &lt;/item&gt;&lt;item row="2" column="1"&gt;
            &lt;widget class="QELabel" name="QL_P2000"&gt;
             &lt;property name="variable" stdset="0"&gt;
              &lt;string&gt;"SR99ID01FST01:RSCN:DEV_CMD:SYNC"&lt;/string&gt;
             &lt;/property&gt;
            &lt;/widget&gt;
           &lt;/item&gt;&lt;item row="2" column="2"&gt;
            &lt;widget class="QELineEdit" name="QLD_P2000"&gt;
             &lt;property name="variable" stdset="0"&gt;
              &lt;string&gt;"SR99ID01FST01:RSCN:DEV_CMD"&lt;/string&gt;
             &lt;/property&gt;
            &lt;/widget&gt;
           &lt;/item&gt;</v>
      </c>
      <c r="AA31" s="9" t="str">
        <f>VLOOKUP(H31,y_EPICS_Formats,2,FALSE)</f>
        <v>%d</v>
      </c>
      <c r="AB31" s="9" t="str">
        <f>IF(LEFT(I31)="g",y_Prefix&amp;S31&amp;" = ","")</f>
        <v xml:space="preserve">SR05ID01FST01:RSCN:DEV_CMD = </v>
      </c>
      <c r="AC31" s="9" t="str">
        <f>IFERROR(";"&amp;G31&amp;"["&amp;J31&amp;"]"&amp;I31&amp;CHAR(10)&amp;B31 &amp;CHAR(9)&amp;U31&amp;CHAR(9)&amp;E31 &amp;CHAR(9),";;Error!")</f>
        <v xml:space="preserve">;Scan control word[]gsu
#define	devCMDU	P2000	</v>
      </c>
      <c r="AD31" s="9" t="str">
        <f>IF(IFERROR(Q31&gt;0,FALSE),SUBSTITUTE(SUBSTITUTE(SUBSTITUTE(y_archiverXML,"~PVNAME",S31&amp;IF(LEN(X31)&lt;1,"",":RBV")),"~PREFIX",y_Prefix),"~PERIOD",Q31),"")</f>
        <v xml:space="preserve">      &lt;channel&gt;
         &lt;name&gt;SR05ID01FST01:RSCN:DEV_CMD:RBV&lt;/name&gt;
         &lt;period&gt;0.5&lt;/period&gt;
         &lt;monitor/&gt;
      &lt;/channel&gt;</v>
      </c>
      <c r="AE31" s="20">
        <f>IF(OR(LEFT($I31)="e",LEFT($I31)="g"),AE$1-LEN(S31),"")</f>
        <v>4</v>
      </c>
      <c r="AF31" s="20">
        <f>IF(OR(LEFT($I31)="e",LEFT($I31)="g"),AF$1-LEN(T31),"")</f>
        <v>10</v>
      </c>
      <c r="AG31" s="20">
        <f>IF(OR(LEFT($I31)="e",LEFT($I31)="g"),AG$1-LEN(U31),"")</f>
        <v>9</v>
      </c>
      <c r="AH31" s="20">
        <f>IF(OR(LEFT($I31)="e",LEFT($I31)="g"),AH$1-LEN(V31),"")</f>
        <v>21</v>
      </c>
      <c r="AI31" s="2" t="str">
        <f>IF(ISNUMBER(E31),"0"&amp;LEFT(D31,2)&amp;TEXT(E31,"#.0000"),E31)</f>
        <v>P2000</v>
      </c>
    </row>
    <row r="32" spans="1:35" ht="29.25" x14ac:dyDescent="0.3">
      <c r="A32" s="6" t="str">
        <f>IF(T32&lt;&gt;U32,"&lt;FIND TYPE=ASC&gt;"&amp;R32&amp;"&lt;/FIND&gt;&lt;REPLACE TYPE=ASC&gt;"&amp;S32&amp;"&lt;/REPLACE&gt;"&amp;CHAR(10)&amp;"&lt;FIND TYPE=ASC&gt;"&amp;T32&amp;"&lt;/FIND&gt;&lt;REPLACE TYPE=ASC&gt;"&amp;U32&amp;"&lt;/REPLACE&gt;"&amp;CHAR(10)&amp;"&lt;FIND TYPE=ASC&gt;"&amp;C32&amp;"&lt;/FIND&gt;&lt;REPLACE TYPE=ASC&gt;"&amp;D32&amp;"&lt;/REPLACE&gt;",".")</f>
        <v>&lt;FIND TYPE=ASC&gt;RSCN:D1_SPAN&lt;/FIND&gt;&lt;REPLACE TYPE=ASC&gt;RSCN:D1_SPAN&lt;/REPLACE&gt;
&lt;FIND TYPE=ASC&gt;d1Span&lt;/FIND&gt;&lt;REPLACE TYPE=ASC&gt;d1SpanU&lt;/REPLACE&gt;
&lt;FIND TYPE=ASC&gt;d1_Span&lt;/FIND&gt;&lt;REPLACE TYPE=ASC&gt;d1_Span&lt;/REPLACE&gt;</v>
      </c>
      <c r="B32" s="7" t="s">
        <v>38</v>
      </c>
      <c r="C32" s="30" t="s">
        <v>545</v>
      </c>
      <c r="D32" s="7" t="s">
        <v>545</v>
      </c>
      <c r="E32" s="7" t="s">
        <v>80</v>
      </c>
      <c r="F32" s="3">
        <v>4</v>
      </c>
      <c r="G32" s="8" t="s">
        <v>505</v>
      </c>
      <c r="H32" s="7" t="s">
        <v>43</v>
      </c>
      <c r="I32" s="7" t="s">
        <v>618</v>
      </c>
      <c r="J32" s="7" t="s">
        <v>169</v>
      </c>
      <c r="K32" s="7" t="s">
        <v>138</v>
      </c>
      <c r="L32" s="7" t="s">
        <v>137</v>
      </c>
      <c r="M32" s="7"/>
      <c r="N32" s="7">
        <v>-9999999</v>
      </c>
      <c r="O32" s="7">
        <v>9999999</v>
      </c>
      <c r="P32" s="7">
        <v>5</v>
      </c>
      <c r="Q32" s="7">
        <v>30</v>
      </c>
      <c r="R32" s="17" t="str">
        <f>UPPER(R$1&amp;":"&amp;C32)</f>
        <v>RSCN:D1_SPAN</v>
      </c>
      <c r="S32" s="9" t="str">
        <f>UPPER(S$1&amp;":"&amp;D32)</f>
        <v>RSCN:D1_SPAN</v>
      </c>
      <c r="T32" s="17" t="str">
        <f>SUBSTITUTE(C32,"_","")</f>
        <v>d1Span</v>
      </c>
      <c r="U32" s="9" t="str">
        <f>SUBSTITUTE(D32,"_","")&amp;IF(RIGHT(I32)="u","U","")</f>
        <v>d1SpanU</v>
      </c>
      <c r="V32" s="9" t="str">
        <f>IF(ISNUMBER(K32),K32,"$(P):"&amp;$S$1&amp;":"&amp;K32)</f>
        <v>$(P):RSCN:ST_MONITOR</v>
      </c>
      <c r="W32" s="9" t="str">
        <f>IF(ISNUMBER(L32),L32,"$(P):"&amp;$S$1&amp;":"&amp;L32)</f>
        <v>$(P):RSCN:ST_TRAJSET</v>
      </c>
      <c r="X32" s="9" t="str">
        <f>IF(LEFT(I32)="g",IF(H32="real",y_pmacRascanGSVar,IF(H32="int",y_pmacRascanGSVar,"")),"")</f>
        <v>expand("pmacRascanGSVar.vdb", GSVar~VAR) {
  macro(VAR, "~VAR")
  macro(EGU, "~EGU")
  macro(P, "$(P)")
  macro(Q, ":~PVNAME")
  macro(PORT, "$(PORT)")
  macro(CanGet, "~CANGET")
  macro(CanSet, "~CANSET")
  macro(PREC, "$(PREC=~PREC)")
  macro(DESC,"~DESC")
}</v>
      </c>
      <c r="Y32" s="9" t="str">
        <f>SUBSTITUTE(SUBSTITUTE(SUBSTITUTE(SUBSTITUTE(SUBSTITUTE(SUBSTITUTE(SUBSTITUTE(X32,"~PVNAME",S32),"~EGU",J32),"~PREC",P32),"~VAR",E32),"~CANGET",V32),"~CANSET",W32),"~DESC",LEFT(G32,40))</f>
        <v>expand("pmacRascanGSVar.vdb", GSVarP2001) {
  macro(VAR, "P2001")
  macro(EGU, "EGU")
  macro(P, "$(P)")
  macro(Q, ":RSCN:D1_SPAN")
  macro(PORT, "$(PORT)")
  macro(CanGet, "$(P):RSCN:ST_MONITOR")
  macro(CanSet, "$(P):RSCN:ST_TRAJSET")
  macro(PREC, "$(PREC=5)")
  macro(DESC,"Fly axis span (span)")
}</v>
      </c>
      <c r="Z32" s="32" t="str">
        <f>IF(ISNUMBER($F32),SUBSTITUTE(SUBSTITUTE(SUBSTITUTE(SUBSTITUTE(SUBSTITUTE(SUBSTITUTE(SUBSTITUTE(SUBSTITUTE(y_QLabel &amp; y_QELabel &amp; IF($I32="gsu",y_QELineEdit,""),"~PVNAME",$S32),"~EGU",$J32),"~PREC",$P32),"~VAR",$E32),"~CANGET",$V32),"~CANSET",$W32),"~ROW",$F32),"~NAME",$D32),"")</f>
        <v>&lt;item row="4" column="0"&gt;
            &lt;widget class="QLabel" name="L_P2001"&gt;
             &lt;property name="sizePolicy"&gt;
              &lt;sizepolicy hsizetype="MinimumExpanding" vsizetype="Preferred"&gt;
               &lt;horstretch&gt;0&lt;/horstretch&gt;
               &lt;verstretch&gt;0&lt;/verstretch&gt;
              &lt;/sizepolicy&gt;
             &lt;/property&gt;
             &lt;property name="minimumSize"&gt;
              &lt;size&gt;
               &lt;width&gt;88&lt;/width&gt;
               &lt;height&gt;8&lt;/height&gt;
              &lt;/size&gt;
             &lt;/property&gt;
             &lt;property name="text"&gt;
              &lt;string&gt;d1_Span&lt;/string&gt;
             &lt;/property&gt;
            &lt;/widget&gt;
           &lt;/item&gt;&lt;item row="4" column="1"&gt;
            &lt;widget class="QELabel" name="QL_P2001"&gt;
             &lt;property name="variable" stdset="0"&gt;
              &lt;string&gt;"SR99ID01FST01:RSCN:D1_SPAN:SYNC"&lt;/string&gt;
             &lt;/property&gt;
            &lt;/widget&gt;
           &lt;/item&gt;&lt;item row="4" column="2"&gt;
            &lt;widget class="QELineEdit" name="QLD_P2001"&gt;
             &lt;property name="variable" stdset="0"&gt;
              &lt;string&gt;"SR99ID01FST01:RSCN:D1_SPAN"&lt;/string&gt;
             &lt;/property&gt;
            &lt;/widget&gt;
           &lt;/item&gt;</v>
      </c>
      <c r="AA32" s="9" t="str">
        <f>VLOOKUP(H32,y_EPICS_Formats,2,FALSE)</f>
        <v>%f</v>
      </c>
      <c r="AB32" s="9" t="str">
        <f>IF(LEFT(I32)="g",y_Prefix&amp;S32&amp;" = ","")</f>
        <v xml:space="preserve">SR05ID01FST01:RSCN:D1_SPAN = </v>
      </c>
      <c r="AC32" s="9" t="str">
        <f>IFERROR(";"&amp;G32&amp;"["&amp;J32&amp;"]"&amp;I32&amp;CHAR(10)&amp;B32 &amp;CHAR(9)&amp;U32&amp;CHAR(9)&amp;E32 &amp;CHAR(9),";;Error!")</f>
        <v xml:space="preserve">;Fly axis span (span)[EGU]gsu
#define	d1SpanU	P2001	</v>
      </c>
      <c r="AD32" s="9" t="str">
        <f>IF(IFERROR(Q32&gt;0,FALSE),SUBSTITUTE(SUBSTITUTE(SUBSTITUTE(y_archiverXML,"~PVNAME",S32&amp;IF(LEN(X32)&lt;1,"",":RBV")),"~PREFIX",y_Prefix),"~PERIOD",Q32),"")</f>
        <v xml:space="preserve">      &lt;channel&gt;
         &lt;name&gt;SR05ID01FST01:RSCN:D1_SPAN:RBV&lt;/name&gt;
         &lt;period&gt;30&lt;/period&gt;
         &lt;monitor/&gt;
      &lt;/channel&gt;</v>
      </c>
      <c r="AE32" s="20">
        <f>IF(OR(LEFT($I32)="e",LEFT($I32)="g"),AE$1-LEN(S32),"")</f>
        <v>4</v>
      </c>
      <c r="AF32" s="20">
        <f>IF(OR(LEFT($I32)="e",LEFT($I32)="g"),AF$1-LEN(T32),"")</f>
        <v>10</v>
      </c>
      <c r="AG32" s="20">
        <f>IF(OR(LEFT($I32)="e",LEFT($I32)="g"),AG$1-LEN(U32),"")</f>
        <v>9</v>
      </c>
      <c r="AH32" s="20">
        <f>IF(OR(LEFT($I32)="e",LEFT($I32)="g"),AH$1-LEN(V32),"")</f>
        <v>20</v>
      </c>
      <c r="AI32" s="2" t="str">
        <f>IF(ISNUMBER(E32),"0"&amp;LEFT(D32,2)&amp;TEXT(E32,"#.0000"),E32)</f>
        <v>P2001</v>
      </c>
    </row>
    <row r="33" spans="1:35" ht="29.25" x14ac:dyDescent="0.3">
      <c r="A33" s="6" t="str">
        <f>IF(T33&lt;&gt;U33,"&lt;FIND TYPE=ASC&gt;"&amp;R33&amp;"&lt;/FIND&gt;&lt;REPLACE TYPE=ASC&gt;"&amp;S33&amp;"&lt;/REPLACE&gt;"&amp;CHAR(10)&amp;"&lt;FIND TYPE=ASC&gt;"&amp;T33&amp;"&lt;/FIND&gt;&lt;REPLACE TYPE=ASC&gt;"&amp;U33&amp;"&lt;/REPLACE&gt;"&amp;CHAR(10)&amp;"&lt;FIND TYPE=ASC&gt;"&amp;C33&amp;"&lt;/FIND&gt;&lt;REPLACE TYPE=ASC&gt;"&amp;D33&amp;"&lt;/REPLACE&gt;",".")</f>
        <v>&lt;FIND TYPE=ASC&gt;RSCN:A1_HLM&lt;/FIND&gt;&lt;REPLACE TYPE=ASC&gt;RSCN:A1_HLM&lt;/REPLACE&gt;
&lt;FIND TYPE=ASC&gt;a1HLM&lt;/FIND&gt;&lt;REPLACE TYPE=ASC&gt;a1HLMU&lt;/REPLACE&gt;
&lt;FIND TYPE=ASC&gt;a1_HLM&lt;/FIND&gt;&lt;REPLACE TYPE=ASC&gt;a1_HLM&lt;/REPLACE&gt;</v>
      </c>
      <c r="B33" s="7" t="s">
        <v>38</v>
      </c>
      <c r="C33" s="30" t="s">
        <v>546</v>
      </c>
      <c r="D33" s="7" t="s">
        <v>546</v>
      </c>
      <c r="E33" s="7" t="s">
        <v>81</v>
      </c>
      <c r="F33" s="3" t="s">
        <v>640</v>
      </c>
      <c r="G33" s="8" t="s">
        <v>506</v>
      </c>
      <c r="H33" s="7" t="s">
        <v>43</v>
      </c>
      <c r="I33" s="7" t="s">
        <v>618</v>
      </c>
      <c r="J33" s="7" t="s">
        <v>170</v>
      </c>
      <c r="K33" s="7" t="s">
        <v>146</v>
      </c>
      <c r="L33" s="7" t="s">
        <v>157</v>
      </c>
      <c r="M33" s="7"/>
      <c r="N33" s="7">
        <v>-9999999</v>
      </c>
      <c r="O33" s="7">
        <v>9999999</v>
      </c>
      <c r="P33" s="7">
        <v>1</v>
      </c>
      <c r="Q33" s="7">
        <v>30</v>
      </c>
      <c r="R33" s="17" t="str">
        <f>UPPER(R$1&amp;":"&amp;C33)</f>
        <v>RSCN:A1_HLM</v>
      </c>
      <c r="S33" s="9" t="str">
        <f>UPPER(S$1&amp;":"&amp;D33)</f>
        <v>RSCN:A1_HLM</v>
      </c>
      <c r="T33" s="17" t="str">
        <f>SUBSTITUTE(C33,"_","")</f>
        <v>a1HLM</v>
      </c>
      <c r="U33" s="9" t="str">
        <f>SUBSTITUTE(D33,"_","")&amp;IF(RIGHT(I33)="u","U","")</f>
        <v>a1HLMU</v>
      </c>
      <c r="V33" s="9" t="str">
        <f>IF(ISNUMBER(K33),K33,"$(P):"&amp;$S$1&amp;":"&amp;K33)</f>
        <v>$(P):RSCN:ST_ALWAYS</v>
      </c>
      <c r="W33" s="9" t="str">
        <f>IF(ISNUMBER(L33),L33,"$(P):"&amp;$S$1&amp;":"&amp;L33)</f>
        <v>$(P):RSCN:ST_GLOBAL</v>
      </c>
      <c r="X33" s="9" t="str">
        <f>IF(LEFT(I33)="g",IF(H33="real",y_pmacRascanGSVar,IF(H33="int",y_pmacRascanGSVar,"")),"")</f>
        <v>expand("pmacRascanGSVar.vdb", GSVar~VAR) {
  macro(VAR, "~VAR")
  macro(EGU, "~EGU")
  macro(P, "$(P)")
  macro(Q, ":~PVNAME")
  macro(PORT, "$(PORT)")
  macro(CanGet, "~CANGET")
  macro(CanSet, "~CANSET")
  macro(PREC, "$(PREC=~PREC)")
  macro(DESC,"~DESC")
}</v>
      </c>
      <c r="Y33" s="9" t="str">
        <f>SUBSTITUTE(SUBSTITUTE(SUBSTITUTE(SUBSTITUTE(SUBSTITUTE(SUBSTITUTE(SUBSTITUTE(X33,"~PVNAME",S33),"~EGU",J33),"~PREC",P33),"~VAR",E33),"~CANGET",V33),"~CANSET",W33),"~DESC",LEFT(G33,40))</f>
        <v>expand("pmacRascanGSVar.vdb", GSVarP2002) {
  macro(VAR, "P2002")
  macro(EGU, "EGU/s2")
  macro(P, "$(P)")
  macro(Q, ":RSCN:A1_HLM")
  macro(PORT, "$(PORT)")
  macro(CanGet, "$(P):RSCN:ST_ALWAYS")
  macro(CanSet, "$(P):RSCN:ST_GLOBAL")
  macro(PREC, "$(PREC=1)")
  macro(DESC,"Fly axis acceleration desired limit")
}</v>
      </c>
      <c r="Z33" s="32" t="str">
        <f>IF(ISNUMBER($F33),SUBSTITUTE(SUBSTITUTE(SUBSTITUTE(SUBSTITUTE(SUBSTITUTE(SUBSTITUTE(SUBSTITUTE(SUBSTITUTE(y_QLabel &amp; y_QELabel &amp; IF($I33="gsu",y_QELineEdit,""),"~PVNAME",$S33),"~EGU",$J33),"~PREC",$P33),"~VAR",$E33),"~CANGET",$V33),"~CANSET",$W33),"~ROW",$F33),"~NAME",$D33),"")</f>
        <v/>
      </c>
      <c r="AA33" s="9" t="str">
        <f>VLOOKUP(H33,y_EPICS_Formats,2,FALSE)</f>
        <v>%f</v>
      </c>
      <c r="AB33" s="9" t="str">
        <f>IF(LEFT(I33)="g",y_Prefix&amp;S33&amp;" = ","")</f>
        <v xml:space="preserve">SR05ID01FST01:RSCN:A1_HLM = </v>
      </c>
      <c r="AC33" s="9" t="str">
        <f>IFERROR(";"&amp;G33&amp;"["&amp;J33&amp;"]"&amp;I33&amp;CHAR(10)&amp;B33 &amp;CHAR(9)&amp;U33&amp;CHAR(9)&amp;E33 &amp;CHAR(9),";;Error!")</f>
        <v xml:space="preserve">;Fly axis acceleration desired limit[EGU/s2]gsu
#define	a1HLMU	P2002	</v>
      </c>
      <c r="AD33" s="9" t="str">
        <f>IF(IFERROR(Q33&gt;0,FALSE),SUBSTITUTE(SUBSTITUTE(SUBSTITUTE(y_archiverXML,"~PVNAME",S33&amp;IF(LEN(X33)&lt;1,"",":RBV")),"~PREFIX",y_Prefix),"~PERIOD",Q33),"")</f>
        <v xml:space="preserve">      &lt;channel&gt;
         &lt;name&gt;SR05ID01FST01:RSCN:A1_HLM:RBV&lt;/name&gt;
         &lt;period&gt;30&lt;/period&gt;
         &lt;monitor/&gt;
      &lt;/channel&gt;</v>
      </c>
      <c r="AE33" s="20">
        <f>IF(OR(LEFT($I33)="e",LEFT($I33)="g"),AE$1-LEN(S33),"")</f>
        <v>5</v>
      </c>
      <c r="AF33" s="20">
        <f>IF(OR(LEFT($I33)="e",LEFT($I33)="g"),AF$1-LEN(T33),"")</f>
        <v>11</v>
      </c>
      <c r="AG33" s="20">
        <f>IF(OR(LEFT($I33)="e",LEFT($I33)="g"),AG$1-LEN(U33),"")</f>
        <v>10</v>
      </c>
      <c r="AH33" s="20">
        <f>IF(OR(LEFT($I33)="e",LEFT($I33)="g"),AH$1-LEN(V33),"")</f>
        <v>21</v>
      </c>
      <c r="AI33" s="2" t="str">
        <f>IF(ISNUMBER(E33),"0"&amp;LEFT(D33,2)&amp;TEXT(E33,"#.0000"),E33)</f>
        <v>P2002</v>
      </c>
    </row>
    <row r="34" spans="1:35" ht="29.25" x14ac:dyDescent="0.3">
      <c r="A34" s="6" t="str">
        <f>IF(T34&lt;&gt;U34,"&lt;FIND TYPE=ASC&gt;"&amp;R34&amp;"&lt;/FIND&gt;&lt;REPLACE TYPE=ASC&gt;"&amp;S34&amp;"&lt;/REPLACE&gt;"&amp;CHAR(10)&amp;"&lt;FIND TYPE=ASC&gt;"&amp;T34&amp;"&lt;/FIND&gt;&lt;REPLACE TYPE=ASC&gt;"&amp;U34&amp;"&lt;/REPLACE&gt;"&amp;CHAR(10)&amp;"&lt;FIND TYPE=ASC&gt;"&amp;C34&amp;"&lt;/FIND&gt;&lt;REPLACE TYPE=ASC&gt;"&amp;D34&amp;"&lt;/REPLACE&gt;",".")</f>
        <v>&lt;FIND TYPE=ASC&gt;RSCN:T_OUT_LLM&lt;/FIND&gt;&lt;REPLACE TYPE=ASC&gt;RSCN:T_OUT_LLM&lt;/REPLACE&gt;
&lt;FIND TYPE=ASC&gt;tOutLLM&lt;/FIND&gt;&lt;REPLACE TYPE=ASC&gt;tOutLLMU&lt;/REPLACE&gt;
&lt;FIND TYPE=ASC&gt;t_Out_LLM&lt;/FIND&gt;&lt;REPLACE TYPE=ASC&gt;t_Out_LLM&lt;/REPLACE&gt;</v>
      </c>
      <c r="B34" s="7" t="s">
        <v>38</v>
      </c>
      <c r="C34" s="30" t="s">
        <v>541</v>
      </c>
      <c r="D34" s="7" t="s">
        <v>541</v>
      </c>
      <c r="E34" s="7" t="s">
        <v>82</v>
      </c>
      <c r="F34" s="3">
        <v>6</v>
      </c>
      <c r="G34" s="8" t="s">
        <v>507</v>
      </c>
      <c r="H34" s="7" t="s">
        <v>43</v>
      </c>
      <c r="I34" s="7" t="s">
        <v>618</v>
      </c>
      <c r="J34" s="7" t="s">
        <v>73</v>
      </c>
      <c r="K34" s="7" t="s">
        <v>146</v>
      </c>
      <c r="L34" s="7" t="s">
        <v>157</v>
      </c>
      <c r="M34" s="7"/>
      <c r="N34" s="7">
        <v>1E-3</v>
      </c>
      <c r="O34" s="7">
        <v>4</v>
      </c>
      <c r="P34" s="7">
        <v>4</v>
      </c>
      <c r="Q34" s="7">
        <v>30</v>
      </c>
      <c r="R34" s="17" t="str">
        <f>UPPER(R$1&amp;":"&amp;C34)</f>
        <v>RSCN:T_OUT_LLM</v>
      </c>
      <c r="S34" s="9" t="str">
        <f>UPPER(S$1&amp;":"&amp;D34)</f>
        <v>RSCN:T_OUT_LLM</v>
      </c>
      <c r="T34" s="17" t="str">
        <f>SUBSTITUTE(C34,"_","")</f>
        <v>tOutLLM</v>
      </c>
      <c r="U34" s="9" t="str">
        <f>SUBSTITUTE(D34,"_","")&amp;IF(RIGHT(I34)="u","U","")</f>
        <v>tOutLLMU</v>
      </c>
      <c r="V34" s="9" t="str">
        <f>IF(ISNUMBER(K34),K34,"$(P):"&amp;$S$1&amp;":"&amp;K34)</f>
        <v>$(P):RSCN:ST_ALWAYS</v>
      </c>
      <c r="W34" s="9" t="str">
        <f>IF(ISNUMBER(L34),L34,"$(P):"&amp;$S$1&amp;":"&amp;L34)</f>
        <v>$(P):RSCN:ST_GLOBAL</v>
      </c>
      <c r="X34" s="9" t="str">
        <f>IF(LEFT(I34)="g",IF(H34="real",y_pmacRascanGSVar,IF(H34="int",y_pmacRascanGSVar,"")),"")</f>
        <v>expand("pmacRascanGSVar.vdb", GSVar~VAR) {
  macro(VAR, "~VAR")
  macro(EGU, "~EGU")
  macro(P, "$(P)")
  macro(Q, ":~PVNAME")
  macro(PORT, "$(PORT)")
  macro(CanGet, "~CANGET")
  macro(CanSet, "~CANSET")
  macro(PREC, "$(PREC=~PREC)")
  macro(DESC,"~DESC")
}</v>
      </c>
      <c r="Y34" s="9" t="str">
        <f>SUBSTITUTE(SUBSTITUTE(SUBSTITUTE(SUBSTITUTE(SUBSTITUTE(SUBSTITUTE(SUBSTITUTE(X34,"~PVNAME",S34),"~EGU",J34),"~PREC",P34),"~VAR",E34),"~CANGET",V34),"~CANSET",W34),"~DESC",LEFT(G34,40))</f>
        <v>expand("pmacRascanGSVar.vdb", GSVarP2003) {
  macro(VAR, "P2003")
  macro(EGU, "s")
  macro(P, "$(P)")
  macro(Q, ":RSCN:T_OUT_LLM")
  macro(PORT, "$(PORT)")
  macro(CanGet, "$(P):RSCN:ST_ALWAYS")
  macro(CanSet, "$(P):RSCN:ST_GLOBAL")
  macro(PREC, "$(PREC=4)")
  macro(DESC,"Fly axis min allowd outer-skip time")
}</v>
      </c>
      <c r="Z34" s="32" t="str">
        <f>IF(ISNUMBER($F34),SUBSTITUTE(SUBSTITUTE(SUBSTITUTE(SUBSTITUTE(SUBSTITUTE(SUBSTITUTE(SUBSTITUTE(SUBSTITUTE(y_QLabel &amp; y_QELabel &amp; IF($I34="gsu",y_QELineEdit,""),"~PVNAME",$S34),"~EGU",$J34),"~PREC",$P34),"~VAR",$E34),"~CANGET",$V34),"~CANSET",$W34),"~ROW",$F34),"~NAME",$D34),"")</f>
        <v>&lt;item row="6" column="0"&gt;
            &lt;widget class="QLabel" name="L_P2003"&gt;
             &lt;property name="sizePolicy"&gt;
              &lt;sizepolicy hsizetype="MinimumExpanding" vsizetype="Preferred"&gt;
               &lt;horstretch&gt;0&lt;/horstretch&gt;
               &lt;verstretch&gt;0&lt;/verstretch&gt;
              &lt;/sizepolicy&gt;
             &lt;/property&gt;
             &lt;property name="minimumSize"&gt;
              &lt;size&gt;
               &lt;width&gt;88&lt;/width&gt;
               &lt;height&gt;8&lt;/height&gt;
              &lt;/size&gt;
             &lt;/property&gt;
             &lt;property name="text"&gt;
              &lt;string&gt;t_Out_LLM&lt;/string&gt;
             &lt;/property&gt;
            &lt;/widget&gt;
           &lt;/item&gt;&lt;item row="6" column="1"&gt;
            &lt;widget class="QELabel" name="QL_P2003"&gt;
             &lt;property name="variable" stdset="0"&gt;
              &lt;string&gt;"SR99ID01FST01:RSCN:T_OUT_LLM:SYNC"&lt;/string&gt;
             &lt;/property&gt;
            &lt;/widget&gt;
           &lt;/item&gt;&lt;item row="6" column="2"&gt;
            &lt;widget class="QELineEdit" name="QLD_P2003"&gt;
             &lt;property name="variable" stdset="0"&gt;
              &lt;string&gt;"SR99ID01FST01:RSCN:T_OUT_LLM"&lt;/string&gt;
             &lt;/property&gt;
            &lt;/widget&gt;
           &lt;/item&gt;</v>
      </c>
      <c r="AA34" s="9" t="str">
        <f>VLOOKUP(H34,y_EPICS_Formats,2,FALSE)</f>
        <v>%f</v>
      </c>
      <c r="AB34" s="9" t="str">
        <f>IF(LEFT(I34)="g",y_Prefix&amp;S34&amp;" = ","")</f>
        <v xml:space="preserve">SR05ID01FST01:RSCN:T_OUT_LLM = </v>
      </c>
      <c r="AC34" s="9" t="str">
        <f>IFERROR(";"&amp;G34&amp;"["&amp;J34&amp;"]"&amp;I34&amp;CHAR(10)&amp;B34 &amp;CHAR(9)&amp;U34&amp;CHAR(9)&amp;E34 &amp;CHAR(9),";;Error!")</f>
        <v xml:space="preserve">;Fly axis min allowd outer-skip time[s]gsu
#define	tOutLLMU	P2003	</v>
      </c>
      <c r="AD34" s="9" t="str">
        <f>IF(IFERROR(Q34&gt;0,FALSE),SUBSTITUTE(SUBSTITUTE(SUBSTITUTE(y_archiverXML,"~PVNAME",S34&amp;IF(LEN(X34)&lt;1,"",":RBV")),"~PREFIX",y_Prefix),"~PERIOD",Q34),"")</f>
        <v xml:space="preserve">      &lt;channel&gt;
         &lt;name&gt;SR05ID01FST01:RSCN:T_OUT_LLM:RBV&lt;/name&gt;
         &lt;period&gt;30&lt;/period&gt;
         &lt;monitor/&gt;
      &lt;/channel&gt;</v>
      </c>
      <c r="AE34" s="20">
        <f>IF(OR(LEFT($I34)="e",LEFT($I34)="g"),AE$1-LEN(S34),"")</f>
        <v>2</v>
      </c>
      <c r="AF34" s="20">
        <f>IF(OR(LEFT($I34)="e",LEFT($I34)="g"),AF$1-LEN(T34),"")</f>
        <v>9</v>
      </c>
      <c r="AG34" s="20">
        <f>IF(OR(LEFT($I34)="e",LEFT($I34)="g"),AG$1-LEN(U34),"")</f>
        <v>8</v>
      </c>
      <c r="AH34" s="20">
        <f>IF(OR(LEFT($I34)="e",LEFT($I34)="g"),AH$1-LEN(V34),"")</f>
        <v>21</v>
      </c>
      <c r="AI34" s="2" t="str">
        <f>IF(ISNUMBER(E34),"0"&amp;LEFT(D34,2)&amp;TEXT(E34,"#.0000"),E34)</f>
        <v>P2003</v>
      </c>
    </row>
    <row r="35" spans="1:35" x14ac:dyDescent="0.3">
      <c r="A35" s="6" t="str">
        <f>IF(T35&lt;&gt;U35,"&lt;FIND TYPE=ASC&gt;"&amp;R35&amp;"&lt;/FIND&gt;&lt;REPLACE TYPE=ASC&gt;"&amp;S35&amp;"&lt;/REPLACE&gt;"&amp;CHAR(10)&amp;"&lt;FIND TYPE=ASC&gt;"&amp;T35&amp;"&lt;/FIND&gt;&lt;REPLACE TYPE=ASC&gt;"&amp;U35&amp;"&lt;/REPLACE&gt;"&amp;CHAR(10)&amp;"&lt;FIND TYPE=ASC&gt;"&amp;C35&amp;"&lt;/FIND&gt;&lt;REPLACE TYPE=ASC&gt;"&amp;D35&amp;"&lt;/REPLACE&gt;",".")</f>
        <v>&lt;FIND TYPE=ASC&gt;RSCN:A2_HLM&lt;/FIND&gt;&lt;REPLACE TYPE=ASC&gt;RSCN:A2_HLM&lt;/REPLACE&gt;
&lt;FIND TYPE=ASC&gt;a2HLM&lt;/FIND&gt;&lt;REPLACE TYPE=ASC&gt;a2HLMU&lt;/REPLACE&gt;
&lt;FIND TYPE=ASC&gt;a2_HLM&lt;/FIND&gt;&lt;REPLACE TYPE=ASC&gt;a2_HLM&lt;/REPLACE&gt;</v>
      </c>
      <c r="B35" s="7" t="s">
        <v>38</v>
      </c>
      <c r="C35" s="30" t="s">
        <v>547</v>
      </c>
      <c r="D35" s="7" t="s">
        <v>547</v>
      </c>
      <c r="E35" s="7" t="s">
        <v>83</v>
      </c>
      <c r="F35" s="3" t="s">
        <v>73</v>
      </c>
      <c r="G35" s="8" t="s">
        <v>518</v>
      </c>
      <c r="H35" s="7" t="s">
        <v>43</v>
      </c>
      <c r="I35" s="7" t="s">
        <v>618</v>
      </c>
      <c r="J35" s="7" t="s">
        <v>170</v>
      </c>
      <c r="K35" s="7" t="s">
        <v>146</v>
      </c>
      <c r="L35" s="7" t="s">
        <v>157</v>
      </c>
      <c r="M35" s="7"/>
      <c r="N35" s="7">
        <v>-9999999</v>
      </c>
      <c r="O35" s="7">
        <v>9999999</v>
      </c>
      <c r="P35" s="7">
        <v>1</v>
      </c>
      <c r="Q35" s="7">
        <v>30</v>
      </c>
      <c r="R35" s="17" t="str">
        <f>UPPER(R$1&amp;":"&amp;C35)</f>
        <v>RSCN:A2_HLM</v>
      </c>
      <c r="S35" s="9" t="str">
        <f>UPPER(S$1&amp;":"&amp;D35)</f>
        <v>RSCN:A2_HLM</v>
      </c>
      <c r="T35" s="17" t="str">
        <f>SUBSTITUTE(C35,"_","")</f>
        <v>a2HLM</v>
      </c>
      <c r="U35" s="9" t="str">
        <f>SUBSTITUTE(D35,"_","")&amp;IF(RIGHT(I35)="u","U","")</f>
        <v>a2HLMU</v>
      </c>
      <c r="V35" s="9" t="str">
        <f>IF(ISNUMBER(K35),K35,"$(P):"&amp;$S$1&amp;":"&amp;K35)</f>
        <v>$(P):RSCN:ST_ALWAYS</v>
      </c>
      <c r="W35" s="9" t="str">
        <f>IF(ISNUMBER(L35),L35,"$(P):"&amp;$S$1&amp;":"&amp;L35)</f>
        <v>$(P):RSCN:ST_GLOBAL</v>
      </c>
      <c r="X35" s="9" t="str">
        <f>IF(LEFT(I35)="g",IF(H35="real",y_pmacRascanGSVar,IF(H35="int",y_pmacRascanGSVar,"")),"")</f>
        <v>expand("pmacRascanGSVar.vdb", GSVar~VAR) {
  macro(VAR, "~VAR")
  macro(EGU, "~EGU")
  macro(P, "$(P)")
  macro(Q, ":~PVNAME")
  macro(PORT, "$(PORT)")
  macro(CanGet, "~CANGET")
  macro(CanSet, "~CANSET")
  macro(PREC, "$(PREC=~PREC)")
  macro(DESC,"~DESC")
}</v>
      </c>
      <c r="Y35" s="9" t="str">
        <f>SUBSTITUTE(SUBSTITUTE(SUBSTITUTE(SUBSTITUTE(SUBSTITUTE(SUBSTITUTE(SUBSTITUTE(X35,"~PVNAME",S35),"~EGU",J35),"~PREC",P35),"~VAR",E35),"~CANGET",V35),"~CANSET",W35),"~DESC",LEFT(G35,40))</f>
        <v>expand("pmacRascanGSVar.vdb", GSVarP2004) {
  macro(VAR, "P2004")
  macro(EGU, "EGU/s2")
  macro(P, "$(P)")
  macro(Q, ":RSCN:A2_HLM")
  macro(PORT, "$(PORT)")
  macro(CanGet, "$(P):RSCN:ST_ALWAYS")
  macro(CanSet, "$(P):RSCN:ST_GLOBAL")
  macro(PREC, "$(PREC=1)")
  macro(DESC,"Increment axis acceleration desired limi")
}</v>
      </c>
      <c r="Z35" s="32" t="str">
        <f>IF(ISNUMBER($F35),SUBSTITUTE(SUBSTITUTE(SUBSTITUTE(SUBSTITUTE(SUBSTITUTE(SUBSTITUTE(SUBSTITUTE(SUBSTITUTE(y_QLabel &amp; y_QELabel &amp; IF($I35="gsu",y_QELineEdit,""),"~PVNAME",$S35),"~EGU",$J35),"~PREC",$P35),"~VAR",$E35),"~CANGET",$V35),"~CANSET",$W35),"~ROW",$F35),"~NAME",$D35),"")</f>
        <v/>
      </c>
      <c r="AA35" s="9" t="str">
        <f>VLOOKUP(H35,y_EPICS_Formats,2,FALSE)</f>
        <v>%f</v>
      </c>
      <c r="AB35" s="9" t="str">
        <f>IF(LEFT(I35)="g",y_Prefix&amp;S35&amp;" = ","")</f>
        <v xml:space="preserve">SR05ID01FST01:RSCN:A2_HLM = </v>
      </c>
      <c r="AC35" s="9" t="str">
        <f>IFERROR(";"&amp;G35&amp;"["&amp;J35&amp;"]"&amp;I35&amp;CHAR(10)&amp;B35 &amp;CHAR(9)&amp;U35&amp;CHAR(9)&amp;E35 &amp;CHAR(9),";;Error!")</f>
        <v xml:space="preserve">;Increment axis acceleration desired limit[EGU/s2]gsu
#define	a2HLMU	P2004	</v>
      </c>
      <c r="AD35" s="9" t="str">
        <f>IF(IFERROR(Q35&gt;0,FALSE),SUBSTITUTE(SUBSTITUTE(SUBSTITUTE(y_archiverXML,"~PVNAME",S35&amp;IF(LEN(X35)&lt;1,"",":RBV")),"~PREFIX",y_Prefix),"~PERIOD",Q35),"")</f>
        <v xml:space="preserve">      &lt;channel&gt;
         &lt;name&gt;SR05ID01FST01:RSCN:A2_HLM:RBV&lt;/name&gt;
         &lt;period&gt;30&lt;/period&gt;
         &lt;monitor/&gt;
      &lt;/channel&gt;</v>
      </c>
      <c r="AE35" s="20">
        <f>IF(OR(LEFT($I35)="e",LEFT($I35)="g"),AE$1-LEN(S35),"")</f>
        <v>5</v>
      </c>
      <c r="AF35" s="20">
        <f>IF(OR(LEFT($I35)="e",LEFT($I35)="g"),AF$1-LEN(T35),"")</f>
        <v>11</v>
      </c>
      <c r="AG35" s="20">
        <f>IF(OR(LEFT($I35)="e",LEFT($I35)="g"),AG$1-LEN(U35),"")</f>
        <v>10</v>
      </c>
      <c r="AH35" s="20">
        <f>IF(OR(LEFT($I35)="e",LEFT($I35)="g"),AH$1-LEN(V35),"")</f>
        <v>21</v>
      </c>
      <c r="AI35" s="2" t="str">
        <f>IF(ISNUMBER(E35),"0"&amp;LEFT(D35,2)&amp;TEXT(E35,"#.0000"),E35)</f>
        <v>P2004</v>
      </c>
    </row>
    <row r="36" spans="1:35" ht="29.25" x14ac:dyDescent="0.3">
      <c r="A36" s="6" t="str">
        <f>IF(T36&lt;&gt;U36,"&lt;FIND TYPE=ASC&gt;"&amp;R36&amp;"&lt;/FIND&gt;&lt;REPLACE TYPE=ASC&gt;"&amp;S36&amp;"&lt;/REPLACE&gt;"&amp;CHAR(10)&amp;"&lt;FIND TYPE=ASC&gt;"&amp;T36&amp;"&lt;/FIND&gt;&lt;REPLACE TYPE=ASC&gt;"&amp;U36&amp;"&lt;/REPLACE&gt;"&amp;CHAR(10)&amp;"&lt;FIND TYPE=ASC&gt;"&amp;C36&amp;"&lt;/FIND&gt;&lt;REPLACE TYPE=ASC&gt;"&amp;D36&amp;"&lt;/REPLACE&gt;",".")</f>
        <v>&lt;FIND TYPE=ASC&gt;RSCN:T_IN_LLM&lt;/FIND&gt;&lt;REPLACE TYPE=ASC&gt;RSCN:T_IN_LLM&lt;/REPLACE&gt;
&lt;FIND TYPE=ASC&gt;tInLLM&lt;/FIND&gt;&lt;REPLACE TYPE=ASC&gt;tInLLMU&lt;/REPLACE&gt;
&lt;FIND TYPE=ASC&gt;t_In_LLM&lt;/FIND&gt;&lt;REPLACE TYPE=ASC&gt;t_In_LLM&lt;/REPLACE&gt;</v>
      </c>
      <c r="B36" s="7" t="s">
        <v>38</v>
      </c>
      <c r="C36" s="30" t="s">
        <v>542</v>
      </c>
      <c r="D36" s="7" t="s">
        <v>542</v>
      </c>
      <c r="E36" s="7" t="s">
        <v>156</v>
      </c>
      <c r="F36" s="3">
        <v>6</v>
      </c>
      <c r="G36" s="8" t="s">
        <v>508</v>
      </c>
      <c r="H36" s="7" t="s">
        <v>43</v>
      </c>
      <c r="I36" s="7" t="s">
        <v>618</v>
      </c>
      <c r="J36" s="7" t="s">
        <v>73</v>
      </c>
      <c r="K36" s="7" t="s">
        <v>146</v>
      </c>
      <c r="L36" s="7" t="s">
        <v>157</v>
      </c>
      <c r="M36" s="7"/>
      <c r="N36" s="7">
        <v>1E-3</v>
      </c>
      <c r="O36" s="7">
        <v>4</v>
      </c>
      <c r="P36" s="7">
        <v>4</v>
      </c>
      <c r="Q36" s="7">
        <v>30</v>
      </c>
      <c r="R36" s="17" t="str">
        <f>UPPER(R$1&amp;":"&amp;C36)</f>
        <v>RSCN:T_IN_LLM</v>
      </c>
      <c r="S36" s="9" t="str">
        <f>UPPER(S$1&amp;":"&amp;D36)</f>
        <v>RSCN:T_IN_LLM</v>
      </c>
      <c r="T36" s="17" t="str">
        <f>SUBSTITUTE(C36,"_","")</f>
        <v>tInLLM</v>
      </c>
      <c r="U36" s="9" t="str">
        <f>SUBSTITUTE(D36,"_","")&amp;IF(RIGHT(I36)="u","U","")</f>
        <v>tInLLMU</v>
      </c>
      <c r="V36" s="9" t="str">
        <f>IF(ISNUMBER(K36),K36,"$(P):"&amp;$S$1&amp;":"&amp;K36)</f>
        <v>$(P):RSCN:ST_ALWAYS</v>
      </c>
      <c r="W36" s="9" t="str">
        <f>IF(ISNUMBER(L36),L36,"$(P):"&amp;$S$1&amp;":"&amp;L36)</f>
        <v>$(P):RSCN:ST_GLOBAL</v>
      </c>
      <c r="X36" s="9" t="str">
        <f>IF(LEFT(I36)="g",IF(H36="real",y_pmacRascanGSVar,IF(H36="int",y_pmacRascanGSVar,"")),"")</f>
        <v>expand("pmacRascanGSVar.vdb", GSVar~VAR) {
  macro(VAR, "~VAR")
  macro(EGU, "~EGU")
  macro(P, "$(P)")
  macro(Q, ":~PVNAME")
  macro(PORT, "$(PORT)")
  macro(CanGet, "~CANGET")
  macro(CanSet, "~CANSET")
  macro(PREC, "$(PREC=~PREC)")
  macro(DESC,"~DESC")
}</v>
      </c>
      <c r="Y36" s="9" t="str">
        <f>SUBSTITUTE(SUBSTITUTE(SUBSTITUTE(SUBSTITUTE(SUBSTITUTE(SUBSTITUTE(SUBSTITUTE(X36,"~PVNAME",S36),"~EGU",J36),"~PREC",P36),"~VAR",E36),"~CANGET",V36),"~CANSET",W36),"~DESC",LEFT(G36,40))</f>
        <v>expand("pmacRascanGSVar.vdb", GSVarP2005) {
  macro(VAR, "P2005")
  macro(EGU, "s")
  macro(P, "$(P)")
  macro(Q, ":RSCN:T_IN_LLM")
  macro(PORT, "$(PORT)")
  macro(CanGet, "$(P):RSCN:ST_ALWAYS")
  macro(CanSet, "$(P):RSCN:ST_GLOBAL")
  macro(PREC, "$(PREC=4)")
  macro(DESC,"Fly axis min allowd inner-skip time")
}</v>
      </c>
      <c r="Z36" s="32" t="str">
        <f>IF(ISNUMBER($F36),SUBSTITUTE(SUBSTITUTE(SUBSTITUTE(SUBSTITUTE(SUBSTITUTE(SUBSTITUTE(SUBSTITUTE(SUBSTITUTE(y_QLabel &amp; y_QELabel &amp; IF($I36="gsu",y_QELineEdit,""),"~PVNAME",$S36),"~EGU",$J36),"~PREC",$P36),"~VAR",$E36),"~CANGET",$V36),"~CANSET",$W36),"~ROW",$F36),"~NAME",$D36),"")</f>
        <v>&lt;item row="6" column="0"&gt;
            &lt;widget class="QLabel" name="L_P2005"&gt;
             &lt;property name="sizePolicy"&gt;
              &lt;sizepolicy hsizetype="MinimumExpanding" vsizetype="Preferred"&gt;
               &lt;horstretch&gt;0&lt;/horstretch&gt;
               &lt;verstretch&gt;0&lt;/verstretch&gt;
              &lt;/sizepolicy&gt;
             &lt;/property&gt;
             &lt;property name="minimumSize"&gt;
              &lt;size&gt;
               &lt;width&gt;88&lt;/width&gt;
               &lt;height&gt;8&lt;/height&gt;
              &lt;/size&gt;
             &lt;/property&gt;
             &lt;property name="text"&gt;
              &lt;string&gt;t_In_LLM&lt;/string&gt;
             &lt;/property&gt;
            &lt;/widget&gt;
           &lt;/item&gt;&lt;item row="6" column="1"&gt;
            &lt;widget class="QELabel" name="QL_P2005"&gt;
             &lt;property name="variable" stdset="0"&gt;
              &lt;string&gt;"SR99ID01FST01:RSCN:T_IN_LLM:SYNC"&lt;/string&gt;
             &lt;/property&gt;
            &lt;/widget&gt;
           &lt;/item&gt;&lt;item row="6" column="2"&gt;
            &lt;widget class="QELineEdit" name="QLD_P2005"&gt;
             &lt;property name="variable" stdset="0"&gt;
              &lt;string&gt;"SR99ID01FST01:RSCN:T_IN_LLM"&lt;/string&gt;
             &lt;/property&gt;
            &lt;/widget&gt;
           &lt;/item&gt;</v>
      </c>
      <c r="AA36" s="9" t="str">
        <f>VLOOKUP(H36,y_EPICS_Formats,2,FALSE)</f>
        <v>%f</v>
      </c>
      <c r="AB36" s="9" t="str">
        <f>IF(LEFT(I36)="g",y_Prefix&amp;S36&amp;" = ","")</f>
        <v xml:space="preserve">SR05ID01FST01:RSCN:T_IN_LLM = </v>
      </c>
      <c r="AC36" s="9" t="str">
        <f>IFERROR(";"&amp;G36&amp;"["&amp;J36&amp;"]"&amp;I36&amp;CHAR(10)&amp;B36 &amp;CHAR(9)&amp;U36&amp;CHAR(9)&amp;E36 &amp;CHAR(9),";;Error!")</f>
        <v xml:space="preserve">;Fly axis min allowd inner-skip time[s]gsu
#define	tInLLMU	P2005	</v>
      </c>
      <c r="AD36" s="9" t="str">
        <f>IF(IFERROR(Q36&gt;0,FALSE),SUBSTITUTE(SUBSTITUTE(SUBSTITUTE(y_archiverXML,"~PVNAME",S36&amp;IF(LEN(X36)&lt;1,"",":RBV")),"~PREFIX",y_Prefix),"~PERIOD",Q36),"")</f>
        <v xml:space="preserve">      &lt;channel&gt;
         &lt;name&gt;SR05ID01FST01:RSCN:T_IN_LLM:RBV&lt;/name&gt;
         &lt;period&gt;30&lt;/period&gt;
         &lt;monitor/&gt;
      &lt;/channel&gt;</v>
      </c>
      <c r="AE36" s="20">
        <f>IF(OR(LEFT($I36)="e",LEFT($I36)="g"),AE$1-LEN(S36),"")</f>
        <v>3</v>
      </c>
      <c r="AF36" s="20">
        <f>IF(OR(LEFT($I36)="e",LEFT($I36)="g"),AF$1-LEN(T36),"")</f>
        <v>10</v>
      </c>
      <c r="AG36" s="20">
        <f>IF(OR(LEFT($I36)="e",LEFT($I36)="g"),AG$1-LEN(U36),"")</f>
        <v>9</v>
      </c>
      <c r="AH36" s="20">
        <f>IF(OR(LEFT($I36)="e",LEFT($I36)="g"),AH$1-LEN(V36),"")</f>
        <v>21</v>
      </c>
      <c r="AI36" s="2" t="str">
        <f>IF(ISNUMBER(E36),"0"&amp;LEFT(D36,2)&amp;TEXT(E36,"#.0000"),E36)</f>
        <v>P2005</v>
      </c>
    </row>
    <row r="37" spans="1:35" x14ac:dyDescent="0.3">
      <c r="A37" s="6" t="str">
        <f>IF(T37&lt;&gt;U37,"&lt;FIND TYPE=ASC&gt;"&amp;R37&amp;"&lt;/FIND&gt;&lt;REPLACE TYPE=ASC&gt;"&amp;S37&amp;"&lt;/REPLACE&gt;"&amp;CHAR(10)&amp;"&lt;FIND TYPE=ASC&gt;"&amp;T37&amp;"&lt;/FIND&gt;&lt;REPLACE TYPE=ASC&gt;"&amp;U37&amp;"&lt;/REPLACE&gt;"&amp;CHAR(10)&amp;"&lt;FIND TYPE=ASC&gt;"&amp;C37&amp;"&lt;/FIND&gt;&lt;REPLACE TYPE=ASC&gt;"&amp;D37&amp;"&lt;/REPLACE&gt;",".")</f>
        <v>&lt;FIND TYPE=ASC&gt;RSCN:D2_STEP&lt;/FIND&gt;&lt;REPLACE TYPE=ASC&gt;RSCN:D2_STEP&lt;/REPLACE&gt;
&lt;FIND TYPE=ASC&gt;d2Step&lt;/FIND&gt;&lt;REPLACE TYPE=ASC&gt;d2StepU&lt;/REPLACE&gt;
&lt;FIND TYPE=ASC&gt;d2_Step&lt;/FIND&gt;&lt;REPLACE TYPE=ASC&gt;d2_Step&lt;/REPLACE&gt;</v>
      </c>
      <c r="B37" s="7" t="s">
        <v>38</v>
      </c>
      <c r="C37" s="30" t="s">
        <v>548</v>
      </c>
      <c r="D37" s="7" t="s">
        <v>548</v>
      </c>
      <c r="E37" s="7" t="s">
        <v>84</v>
      </c>
      <c r="F37" s="3">
        <v>8</v>
      </c>
      <c r="G37" s="8" t="s">
        <v>527</v>
      </c>
      <c r="H37" s="7" t="s">
        <v>43</v>
      </c>
      <c r="I37" s="7" t="s">
        <v>618</v>
      </c>
      <c r="J37" s="7" t="s">
        <v>169</v>
      </c>
      <c r="K37" s="7" t="s">
        <v>138</v>
      </c>
      <c r="L37" s="7" t="s">
        <v>137</v>
      </c>
      <c r="M37" s="7"/>
      <c r="N37" s="7">
        <v>0</v>
      </c>
      <c r="O37" s="7">
        <v>9999999</v>
      </c>
      <c r="P37" s="7">
        <v>5</v>
      </c>
      <c r="Q37" s="7">
        <v>30</v>
      </c>
      <c r="R37" s="17" t="str">
        <f>UPPER(R$1&amp;":"&amp;C37)</f>
        <v>RSCN:D2_STEP</v>
      </c>
      <c r="S37" s="9" t="str">
        <f>UPPER(S$1&amp;":"&amp;D37)</f>
        <v>RSCN:D2_STEP</v>
      </c>
      <c r="T37" s="17" t="str">
        <f>SUBSTITUTE(C37,"_","")</f>
        <v>d2Step</v>
      </c>
      <c r="U37" s="9" t="str">
        <f>SUBSTITUTE(D37,"_","")&amp;IF(RIGHT(I37)="u","U","")</f>
        <v>d2StepU</v>
      </c>
      <c r="V37" s="9" t="str">
        <f>IF(ISNUMBER(K37),K37,"$(P):"&amp;$S$1&amp;":"&amp;K37)</f>
        <v>$(P):RSCN:ST_MONITOR</v>
      </c>
      <c r="W37" s="9" t="str">
        <f>IF(ISNUMBER(L37),L37,"$(P):"&amp;$S$1&amp;":"&amp;L37)</f>
        <v>$(P):RSCN:ST_TRAJSET</v>
      </c>
      <c r="X37" s="9" t="str">
        <f>IF(LEFT(I37)="g",IF(H37="real",y_pmacRascanGSVar,IF(H37="int",y_pmacRascanGSVar,"")),"")</f>
        <v>expand("pmacRascanGSVar.vdb", GSVar~VAR) {
  macro(VAR, "~VAR")
  macro(EGU, "~EGU")
  macro(P, "$(P)")
  macro(Q, ":~PVNAME")
  macro(PORT, "$(PORT)")
  macro(CanGet, "~CANGET")
  macro(CanSet, "~CANSET")
  macro(PREC, "$(PREC=~PREC)")
  macro(DESC,"~DESC")
}</v>
      </c>
      <c r="Y37" s="9" t="str">
        <f>SUBSTITUTE(SUBSTITUTE(SUBSTITUTE(SUBSTITUTE(SUBSTITUTE(SUBSTITUTE(SUBSTITUTE(X37,"~PVNAME",S37),"~EGU",J37),"~PREC",P37),"~VAR",E37),"~CANGET",V37),"~CANSET",W37),"~DESC",LEFT(G37,40))</f>
        <v>expand("pmacRascanGSVar.vdb", GSVarP2006) {
  macro(VAR, "P2006")
  macro(EGU, "EGU")
  macro(P, "$(P)")
  macro(Q, ":RSCN:D2_STEP")
  macro(PORT, "$(PORT)")
  macro(CanGet, "$(P):RSCN:ST_MONITOR")
  macro(CanSet, "$(P):RSCN:ST_TRAJSET")
  macro(PREC, "$(PREC=5)")
  macro(DESC,"Increment axis line separation (step siz")
}</v>
      </c>
      <c r="Z37" s="32" t="str">
        <f>IF(ISNUMBER($F37),SUBSTITUTE(SUBSTITUTE(SUBSTITUTE(SUBSTITUTE(SUBSTITUTE(SUBSTITUTE(SUBSTITUTE(SUBSTITUTE(y_QLabel &amp; y_QELabel &amp; IF($I37="gsu",y_QELineEdit,""),"~PVNAME",$S37),"~EGU",$J37),"~PREC",$P37),"~VAR",$E37),"~CANGET",$V37),"~CANSET",$W37),"~ROW",$F37),"~NAME",$D37),"")</f>
        <v>&lt;item row="8" column="0"&gt;
            &lt;widget class="QLabel" name="L_P2006"&gt;
             &lt;property name="sizePolicy"&gt;
              &lt;sizepolicy hsizetype="MinimumExpanding" vsizetype="Preferred"&gt;
               &lt;horstretch&gt;0&lt;/horstretch&gt;
               &lt;verstretch&gt;0&lt;/verstretch&gt;
              &lt;/sizepolicy&gt;
             &lt;/property&gt;
             &lt;property name="minimumSize"&gt;
              &lt;size&gt;
               &lt;width&gt;88&lt;/width&gt;
               &lt;height&gt;8&lt;/height&gt;
              &lt;/size&gt;
             &lt;/property&gt;
             &lt;property name="text"&gt;
              &lt;string&gt;d2_Step&lt;/string&gt;
             &lt;/property&gt;
            &lt;/widget&gt;
           &lt;/item&gt;&lt;item row="8" column="1"&gt;
            &lt;widget class="QELabel" name="QL_P2006"&gt;
             &lt;property name="variable" stdset="0"&gt;
              &lt;string&gt;"SR99ID01FST01:RSCN:D2_STEP:SYNC"&lt;/string&gt;
             &lt;/property&gt;
            &lt;/widget&gt;
           &lt;/item&gt;&lt;item row="8" column="2"&gt;
            &lt;widget class="QELineEdit" name="QLD_P2006"&gt;
             &lt;property name="variable" stdset="0"&gt;
              &lt;string&gt;"SR99ID01FST01:RSCN:D2_STEP"&lt;/string&gt;
             &lt;/property&gt;
            &lt;/widget&gt;
           &lt;/item&gt;</v>
      </c>
      <c r="AA37" s="9" t="str">
        <f>VLOOKUP(H37,y_EPICS_Formats,2,FALSE)</f>
        <v>%f</v>
      </c>
      <c r="AB37" s="9" t="str">
        <f>IF(LEFT(I37)="g",y_Prefix&amp;S37&amp;" = ","")</f>
        <v xml:space="preserve">SR05ID01FST01:RSCN:D2_STEP = </v>
      </c>
      <c r="AC37" s="9" t="str">
        <f>IFERROR(";"&amp;G37&amp;"["&amp;J37&amp;"]"&amp;I37&amp;CHAR(10)&amp;B37 &amp;CHAR(9)&amp;U37&amp;CHAR(9)&amp;E37 &amp;CHAR(9),";;Error!")</f>
        <v xml:space="preserve">;Increment axis line separation (step size)[EGU]gsu
#define	d2StepU	P2006	</v>
      </c>
      <c r="AD37" s="9" t="str">
        <f>IF(IFERROR(Q37&gt;0,FALSE),SUBSTITUTE(SUBSTITUTE(SUBSTITUTE(y_archiverXML,"~PVNAME",S37&amp;IF(LEN(X37)&lt;1,"",":RBV")),"~PREFIX",y_Prefix),"~PERIOD",Q37),"")</f>
        <v xml:space="preserve">      &lt;channel&gt;
         &lt;name&gt;SR05ID01FST01:RSCN:D2_STEP:RBV&lt;/name&gt;
         &lt;period&gt;30&lt;/period&gt;
         &lt;monitor/&gt;
      &lt;/channel&gt;</v>
      </c>
      <c r="AE37" s="20">
        <f>IF(OR(LEFT($I37)="e",LEFT($I37)="g"),AE$1-LEN(S37),"")</f>
        <v>4</v>
      </c>
      <c r="AF37" s="20">
        <f>IF(OR(LEFT($I37)="e",LEFT($I37)="g"),AF$1-LEN(T37),"")</f>
        <v>10</v>
      </c>
      <c r="AG37" s="20">
        <f>IF(OR(LEFT($I37)="e",LEFT($I37)="g"),AG$1-LEN(U37),"")</f>
        <v>9</v>
      </c>
      <c r="AH37" s="20">
        <f>IF(OR(LEFT($I37)="e",LEFT($I37)="g"),AH$1-LEN(V37),"")</f>
        <v>20</v>
      </c>
      <c r="AI37" s="2" t="str">
        <f>IF(ISNUMBER(E37),"0"&amp;LEFT(D37,2)&amp;TEXT(E37,"#.0000"),E37)</f>
        <v>P2006</v>
      </c>
    </row>
    <row r="38" spans="1:35" x14ac:dyDescent="0.3">
      <c r="A38" s="6" t="str">
        <f>IF(T38&lt;&gt;U38,"&lt;FIND TYPE=ASC&gt;"&amp;R38&amp;"&lt;/FIND&gt;&lt;REPLACE TYPE=ASC&gt;"&amp;S38&amp;"&lt;/REPLACE&gt;"&amp;CHAR(10)&amp;"&lt;FIND TYPE=ASC&gt;"&amp;T38&amp;"&lt;/FIND&gt;&lt;REPLACE TYPE=ASC&gt;"&amp;U38&amp;"&lt;/REPLACE&gt;"&amp;CHAR(10)&amp;"&lt;FIND TYPE=ASC&gt;"&amp;C38&amp;"&lt;/FIND&gt;&lt;REPLACE TYPE=ASC&gt;"&amp;D38&amp;"&lt;/REPLACE&gt;",".")</f>
        <v>&lt;FIND TYPE=ASC&gt;RSCN:V1_SCAN&lt;/FIND&gt;&lt;REPLACE TYPE=ASC&gt;RSCN:V1_SCAN&lt;/REPLACE&gt;
&lt;FIND TYPE=ASC&gt;v1Scan&lt;/FIND&gt;&lt;REPLACE TYPE=ASC&gt;v1ScanU&lt;/REPLACE&gt;
&lt;FIND TYPE=ASC&gt;v1_Scan&lt;/FIND&gt;&lt;REPLACE TYPE=ASC&gt;v1_Scan&lt;/REPLACE&gt;</v>
      </c>
      <c r="B38" s="7" t="s">
        <v>38</v>
      </c>
      <c r="C38" s="30" t="s">
        <v>549</v>
      </c>
      <c r="D38" s="7" t="s">
        <v>549</v>
      </c>
      <c r="E38" s="7" t="s">
        <v>85</v>
      </c>
      <c r="F38" s="3">
        <v>10</v>
      </c>
      <c r="G38" s="8" t="s">
        <v>594</v>
      </c>
      <c r="H38" s="7" t="s">
        <v>43</v>
      </c>
      <c r="I38" s="7" t="s">
        <v>618</v>
      </c>
      <c r="J38" s="7" t="s">
        <v>171</v>
      </c>
      <c r="K38" s="7" t="s">
        <v>138</v>
      </c>
      <c r="L38" s="7" t="s">
        <v>137</v>
      </c>
      <c r="M38" s="7"/>
      <c r="N38" s="7">
        <v>-9999999</v>
      </c>
      <c r="O38" s="7">
        <v>9999999</v>
      </c>
      <c r="P38" s="7">
        <v>3</v>
      </c>
      <c r="Q38" s="7">
        <v>30</v>
      </c>
      <c r="R38" s="17" t="str">
        <f>UPPER(R$1&amp;":"&amp;C38)</f>
        <v>RSCN:V1_SCAN</v>
      </c>
      <c r="S38" s="9" t="str">
        <f>UPPER(S$1&amp;":"&amp;D38)</f>
        <v>RSCN:V1_SCAN</v>
      </c>
      <c r="T38" s="17" t="str">
        <f>SUBSTITUTE(C38,"_","")</f>
        <v>v1Scan</v>
      </c>
      <c r="U38" s="9" t="str">
        <f>SUBSTITUTE(D38,"_","")&amp;IF(RIGHT(I38)="u","U","")</f>
        <v>v1ScanU</v>
      </c>
      <c r="V38" s="9" t="str">
        <f>IF(ISNUMBER(K38),K38,"$(P):"&amp;$S$1&amp;":"&amp;K38)</f>
        <v>$(P):RSCN:ST_MONITOR</v>
      </c>
      <c r="W38" s="9" t="str">
        <f>IF(ISNUMBER(L38),L38,"$(P):"&amp;$S$1&amp;":"&amp;L38)</f>
        <v>$(P):RSCN:ST_TRAJSET</v>
      </c>
      <c r="X38" s="9" t="str">
        <f>IF(LEFT(I38)="g",IF(H38="real",y_pmacRascanGSVar,IF(H38="int",y_pmacRascanGSVar,"")),"")</f>
        <v>expand("pmacRascanGSVar.vdb", GSVar~VAR) {
  macro(VAR, "~VAR")
  macro(EGU, "~EGU")
  macro(P, "$(P)")
  macro(Q, ":~PVNAME")
  macro(PORT, "$(PORT)")
  macro(CanGet, "~CANGET")
  macro(CanSet, "~CANSET")
  macro(PREC, "$(PREC=~PREC)")
  macro(DESC,"~DESC")
}</v>
      </c>
      <c r="Y38" s="9" t="str">
        <f>SUBSTITUTE(SUBSTITUTE(SUBSTITUTE(SUBSTITUTE(SUBSTITUTE(SUBSTITUTE(SUBSTITUTE(X38,"~PVNAME",S38),"~EGU",J38),"~PREC",P38),"~VAR",E38),"~CANGET",V38),"~CANSET",W38),"~DESC",LEFT(G38,40))</f>
        <v>expand("pmacRascanGSVar.vdb", GSVarP2007) {
  macro(VAR, "P2007")
  macro(EGU, "EGU/s")
  macro(P, "$(P)")
  macro(Q, ":RSCN:V1_SCAN")
  macro(PORT, "$(PORT)")
  macro(CanGet, "$(P):RSCN:ST_MONITOR")
  macro(CanSet, "$(P):RSCN:ST_TRAJSET")
  macro(PREC, "$(PREC=3)")
  macro(DESC,"Fly axis line scan velocity")
}</v>
      </c>
      <c r="Z38" s="32" t="str">
        <f>IF(ISNUMBER($F38),SUBSTITUTE(SUBSTITUTE(SUBSTITUTE(SUBSTITUTE(SUBSTITUTE(SUBSTITUTE(SUBSTITUTE(SUBSTITUTE(y_QLabel &amp; y_QELabel &amp; IF($I38="gsu",y_QELineEdit,""),"~PVNAME",$S38),"~EGU",$J38),"~PREC",$P38),"~VAR",$E38),"~CANGET",$V38),"~CANSET",$W38),"~ROW",$F38),"~NAME",$D38),"")</f>
        <v>&lt;item row="10" column="0"&gt;
            &lt;widget class="QLabel" name="L_P2007"&gt;
             &lt;property name="sizePolicy"&gt;
              &lt;sizepolicy hsizetype="MinimumExpanding" vsizetype="Preferred"&gt;
               &lt;horstretch&gt;0&lt;/horstretch&gt;
               &lt;verstretch&gt;0&lt;/verstretch&gt;
              &lt;/sizepolicy&gt;
             &lt;/property&gt;
             &lt;property name="minimumSize"&gt;
              &lt;size&gt;
               &lt;width&gt;88&lt;/width&gt;
               &lt;height&gt;8&lt;/height&gt;
              &lt;/size&gt;
             &lt;/property&gt;
             &lt;property name="text"&gt;
              &lt;string&gt;v1_Scan&lt;/string&gt;
             &lt;/property&gt;
            &lt;/widget&gt;
           &lt;/item&gt;&lt;item row="10" column="1"&gt;
            &lt;widget class="QELabel" name="QL_P2007"&gt;
             &lt;property name="variable" stdset="0"&gt;
              &lt;string&gt;"SR99ID01FST01:RSCN:V1_SCAN:SYNC"&lt;/string&gt;
             &lt;/property&gt;
            &lt;/widget&gt;
           &lt;/item&gt;&lt;item row="10" column="2"&gt;
            &lt;widget class="QELineEdit" name="QLD_P2007"&gt;
             &lt;property name="variable" stdset="0"&gt;
              &lt;string&gt;"SR99ID01FST01:RSCN:V1_SCAN"&lt;/string&gt;
             &lt;/property&gt;
            &lt;/widget&gt;
           &lt;/item&gt;</v>
      </c>
      <c r="AA38" s="9" t="str">
        <f>VLOOKUP(H38,y_EPICS_Formats,2,FALSE)</f>
        <v>%f</v>
      </c>
      <c r="AB38" s="9" t="str">
        <f>IF(LEFT(I38)="g",y_Prefix&amp;S38&amp;" = ","")</f>
        <v xml:space="preserve">SR05ID01FST01:RSCN:V1_SCAN = </v>
      </c>
      <c r="AC38" s="9" t="str">
        <f>IFERROR(";"&amp;G38&amp;"["&amp;J38&amp;"]"&amp;I38&amp;CHAR(10)&amp;B38 &amp;CHAR(9)&amp;U38&amp;CHAR(9)&amp;E38 &amp;CHAR(9),";;Error!")</f>
        <v xml:space="preserve">;Fly axis line scan velocity[EGU/s]gsu
#define	v1ScanU	P2007	</v>
      </c>
      <c r="AD38" s="9" t="str">
        <f>IF(IFERROR(Q38&gt;0,FALSE),SUBSTITUTE(SUBSTITUTE(SUBSTITUTE(y_archiverXML,"~PVNAME",S38&amp;IF(LEN(X38)&lt;1,"",":RBV")),"~PREFIX",y_Prefix),"~PERIOD",Q38),"")</f>
        <v xml:space="preserve">      &lt;channel&gt;
         &lt;name&gt;SR05ID01FST01:RSCN:V1_SCAN:RBV&lt;/name&gt;
         &lt;period&gt;30&lt;/period&gt;
         &lt;monitor/&gt;
      &lt;/channel&gt;</v>
      </c>
      <c r="AE38" s="20">
        <f>IF(OR(LEFT($I38)="e",LEFT($I38)="g"),AE$1-LEN(S38),"")</f>
        <v>4</v>
      </c>
      <c r="AF38" s="20">
        <f>IF(OR(LEFT($I38)="e",LEFT($I38)="g"),AF$1-LEN(T38),"")</f>
        <v>10</v>
      </c>
      <c r="AG38" s="20">
        <f>IF(OR(LEFT($I38)="e",LEFT($I38)="g"),AG$1-LEN(U38),"")</f>
        <v>9</v>
      </c>
      <c r="AH38" s="20">
        <f>IF(OR(LEFT($I38)="e",LEFT($I38)="g"),AH$1-LEN(V38),"")</f>
        <v>20</v>
      </c>
      <c r="AI38" s="2" t="str">
        <f>IF(ISNUMBER(E38),"0"&amp;LEFT(D38,2)&amp;TEXT(E38,"#.0000"),E38)</f>
        <v>P2007</v>
      </c>
    </row>
    <row r="39" spans="1:35" x14ac:dyDescent="0.3">
      <c r="A39" s="6" t="str">
        <f>IF(T39&lt;&gt;U39,"&lt;FIND TYPE=ASC&gt;"&amp;R39&amp;"&lt;/FIND&gt;&lt;REPLACE TYPE=ASC&gt;"&amp;S39&amp;"&lt;/REPLACE&gt;"&amp;CHAR(10)&amp;"&lt;FIND TYPE=ASC&gt;"&amp;T39&amp;"&lt;/FIND&gt;&lt;REPLACE TYPE=ASC&gt;"&amp;U39&amp;"&lt;/REPLACE&gt;"&amp;CHAR(10)&amp;"&lt;FIND TYPE=ASC&gt;"&amp;C39&amp;"&lt;/FIND&gt;&lt;REPLACE TYPE=ASC&gt;"&amp;D39&amp;"&lt;/REPLACE&gt;",".")</f>
        <v>.</v>
      </c>
      <c r="B39" s="7" t="s">
        <v>38</v>
      </c>
      <c r="C39" s="30" t="s">
        <v>550</v>
      </c>
      <c r="D39" s="7" t="s">
        <v>550</v>
      </c>
      <c r="E39" s="7" t="s">
        <v>86</v>
      </c>
      <c r="F39" s="3">
        <v>10</v>
      </c>
      <c r="G39" s="8" t="s">
        <v>586</v>
      </c>
      <c r="H39" s="7" t="s">
        <v>43</v>
      </c>
      <c r="I39" s="7" t="s">
        <v>46</v>
      </c>
      <c r="J39" s="7" t="s">
        <v>171</v>
      </c>
      <c r="K39" s="7" t="s">
        <v>138</v>
      </c>
      <c r="L39" s="7" t="s">
        <v>137</v>
      </c>
      <c r="M39" s="7"/>
      <c r="N39" s="7">
        <v>-9999999</v>
      </c>
      <c r="O39" s="7">
        <v>9999999</v>
      </c>
      <c r="P39" s="7">
        <v>3</v>
      </c>
      <c r="Q39" s="7">
        <v>30</v>
      </c>
      <c r="R39" s="17" t="str">
        <f>UPPER(R$1&amp;":"&amp;C39)</f>
        <v>RSCN:V1_DELTA</v>
      </c>
      <c r="S39" s="9" t="str">
        <f>UPPER(S$1&amp;":"&amp;D39)</f>
        <v>RSCN:V1_DELTA</v>
      </c>
      <c r="T39" s="17" t="str">
        <f>SUBSTITUTE(C39,"_","")</f>
        <v>v1Delta</v>
      </c>
      <c r="U39" s="9" t="str">
        <f>SUBSTITUTE(D39,"_","")&amp;IF(RIGHT(I39)="u","U","")</f>
        <v>v1Delta</v>
      </c>
      <c r="V39" s="9" t="str">
        <f>IF(ISNUMBER(K39),K39,"$(P):"&amp;$S$1&amp;":"&amp;K39)</f>
        <v>$(P):RSCN:ST_MONITOR</v>
      </c>
      <c r="W39" s="9" t="str">
        <f>IF(ISNUMBER(L39),L39,"$(P):"&amp;$S$1&amp;":"&amp;L39)</f>
        <v>$(P):RSCN:ST_TRAJSET</v>
      </c>
      <c r="X39" s="9" t="str">
        <f>IF(LEFT(I39)="g",IF(H39="real",y_pmacRascanGSVar,IF(H39="int",y_pmacRascanGSVar,"")),"")</f>
        <v>expand("pmacRascanGSVar.vdb", GSVar~VAR) {
  macro(VAR, "~VAR")
  macro(EGU, "~EGU")
  macro(P, "$(P)")
  macro(Q, ":~PVNAME")
  macro(PORT, "$(PORT)")
  macro(CanGet, "~CANGET")
  macro(CanSet, "~CANSET")
  macro(PREC, "$(PREC=~PREC)")
  macro(DESC,"~DESC")
}</v>
      </c>
      <c r="Y39" s="9" t="str">
        <f>SUBSTITUTE(SUBSTITUTE(SUBSTITUTE(SUBSTITUTE(SUBSTITUTE(SUBSTITUTE(SUBSTITUTE(X39,"~PVNAME",S39),"~EGU",J39),"~PREC",P39),"~VAR",E39),"~CANGET",V39),"~CANSET",W39),"~DESC",LEFT(G39,40))</f>
        <v>expand("pmacRascanGSVar.vdb", GSVarP2008) {
  macro(VAR, "P2008")
  macro(EGU, "EGU/s")
  macro(P, "$(P)")
  macro(Q, ":RSCN:V1_DELTA")
  macro(PORT, "$(PORT)")
  macro(CanGet, "$(P):RSCN:ST_MONITOR")
  macro(CanSet, "$(P):RSCN:ST_TRAJSET")
  macro(PREC, "$(PREC=3)")
  macro(DESC,"Fly axis line scan velocity tolerance de")
}</v>
      </c>
      <c r="Z39" s="32" t="str">
        <f>IF(ISNUMBER($F39),SUBSTITUTE(SUBSTITUTE(SUBSTITUTE(SUBSTITUTE(SUBSTITUTE(SUBSTITUTE(SUBSTITUTE(SUBSTITUTE(y_QLabel &amp; y_QELabel &amp; IF($I39="gsu",y_QELineEdit,""),"~PVNAME",$S39),"~EGU",$J39),"~PREC",$P39),"~VAR",$E39),"~CANGET",$V39),"~CANSET",$W39),"~ROW",$F39),"~NAME",$D39),"")</f>
        <v>&lt;item row="10" column="0"&gt;
            &lt;widget class="QLabel" name="L_P2008"&gt;
             &lt;property name="sizePolicy"&gt;
              &lt;sizepolicy hsizetype="MinimumExpanding" vsizetype="Preferred"&gt;
               &lt;horstretch&gt;0&lt;/horstretch&gt;
               &lt;verstretch&gt;0&lt;/verstretch&gt;
              &lt;/sizepolicy&gt;
             &lt;/property&gt;
             &lt;property name="minimumSize"&gt;
              &lt;size&gt;
               &lt;width&gt;88&lt;/width&gt;
               &lt;height&gt;8&lt;/height&gt;
              &lt;/size&gt;
             &lt;/property&gt;
             &lt;property name="text"&gt;
              &lt;string&gt;v1_Delta&lt;/string&gt;
             &lt;/property&gt;
            &lt;/widget&gt;
           &lt;/item&gt;&lt;item row="10" column="1"&gt;
            &lt;widget class="QELabel" name="QL_P2008"&gt;
             &lt;property name="variable" stdset="0"&gt;
              &lt;string&gt;"SR99ID01FST01:RSCN:V1_DELTA:SYNC"&lt;/string&gt;
             &lt;/property&gt;
            &lt;/widget&gt;
           &lt;/item&gt;</v>
      </c>
      <c r="AA39" s="9" t="str">
        <f>VLOOKUP(H39,y_EPICS_Formats,2,FALSE)</f>
        <v>%f</v>
      </c>
      <c r="AB39" s="9" t="str">
        <f>IF(LEFT(I39)="g",y_Prefix&amp;S39&amp;" = ","")</f>
        <v xml:space="preserve">SR05ID01FST01:RSCN:V1_DELTA = </v>
      </c>
      <c r="AC39" s="9" t="str">
        <f>IFERROR(";"&amp;G39&amp;"["&amp;J39&amp;"]"&amp;I39&amp;CHAR(10)&amp;B39 &amp;CHAR(9)&amp;U39&amp;CHAR(9)&amp;E39 &amp;CHAR(9),";;Error!")</f>
        <v xml:space="preserve">;Fly axis line scan velocity tolerance delta[EGU/s]g
#define	v1Delta	P2008	</v>
      </c>
      <c r="AD39" s="9" t="str">
        <f>IF(IFERROR(Q39&gt;0,FALSE),SUBSTITUTE(SUBSTITUTE(SUBSTITUTE(y_archiverXML,"~PVNAME",S39&amp;IF(LEN(X39)&lt;1,"",":RBV")),"~PREFIX",y_Prefix),"~PERIOD",Q39),"")</f>
        <v xml:space="preserve">      &lt;channel&gt;
         &lt;name&gt;SR05ID01FST01:RSCN:V1_DELTA:RBV&lt;/name&gt;
         &lt;period&gt;30&lt;/period&gt;
         &lt;monitor/&gt;
      &lt;/channel&gt;</v>
      </c>
      <c r="AE39" s="20">
        <f>IF(OR(LEFT($I39)="e",LEFT($I39)="g"),AE$1-LEN(S39),"")</f>
        <v>3</v>
      </c>
      <c r="AF39" s="20">
        <f>IF(OR(LEFT($I39)="e",LEFT($I39)="g"),AF$1-LEN(T39),"")</f>
        <v>9</v>
      </c>
      <c r="AG39" s="20">
        <f>IF(OR(LEFT($I39)="e",LEFT($I39)="g"),AG$1-LEN(U39),"")</f>
        <v>9</v>
      </c>
      <c r="AH39" s="20">
        <f>IF(OR(LEFT($I39)="e",LEFT($I39)="g"),AH$1-LEN(V39),"")</f>
        <v>20</v>
      </c>
      <c r="AI39" s="2" t="str">
        <f>IF(ISNUMBER(E39),"0"&amp;LEFT(D39,2)&amp;TEXT(E39,"#.0000"),E39)</f>
        <v>P2008</v>
      </c>
    </row>
    <row r="40" spans="1:35" x14ac:dyDescent="0.3">
      <c r="A40" s="6" t="str">
        <f>IF(T40&lt;&gt;U40,"&lt;FIND TYPE=ASC&gt;"&amp;R40&amp;"&lt;/FIND&gt;&lt;REPLACE TYPE=ASC&gt;"&amp;S40&amp;"&lt;/REPLACE&gt;"&amp;CHAR(10)&amp;"&lt;FIND TYPE=ASC&gt;"&amp;T40&amp;"&lt;/FIND&gt;&lt;REPLACE TYPE=ASC&gt;"&amp;U40&amp;"&lt;/REPLACE&gt;"&amp;CHAR(10)&amp;"&lt;FIND TYPE=ASC&gt;"&amp;C40&amp;"&lt;/FIND&gt;&lt;REPLACE TYPE=ASC&gt;"&amp;D40&amp;"&lt;/REPLACE&gt;",".")</f>
        <v>&lt;FIND TYPE=ASC&gt;RSCN:CS_ANGLEXZ&lt;/FIND&gt;&lt;REPLACE TYPE=ASC&gt;RSCN:CS_ANGLEXZ&lt;/REPLACE&gt;
&lt;FIND TYPE=ASC&gt;csAngleXZ&lt;/FIND&gt;&lt;REPLACE TYPE=ASC&gt;csAngleXZU&lt;/REPLACE&gt;
&lt;FIND TYPE=ASC&gt;cs_AngleXZ&lt;/FIND&gt;&lt;REPLACE TYPE=ASC&gt;cs_AngleXZ&lt;/REPLACE&gt;</v>
      </c>
      <c r="B40" s="7" t="s">
        <v>38</v>
      </c>
      <c r="C40" s="30" t="s">
        <v>532</v>
      </c>
      <c r="D40" s="7" t="s">
        <v>532</v>
      </c>
      <c r="E40" s="7" t="s">
        <v>87</v>
      </c>
      <c r="F40" s="3">
        <v>11</v>
      </c>
      <c r="G40" s="8" t="s">
        <v>44</v>
      </c>
      <c r="H40" s="7" t="s">
        <v>43</v>
      </c>
      <c r="I40" s="7" t="s">
        <v>618</v>
      </c>
      <c r="J40" s="7" t="s">
        <v>45</v>
      </c>
      <c r="K40" s="7" t="s">
        <v>146</v>
      </c>
      <c r="L40" s="7" t="s">
        <v>157</v>
      </c>
      <c r="M40" s="7"/>
      <c r="N40" s="7">
        <v>1</v>
      </c>
      <c r="O40" s="7">
        <v>89</v>
      </c>
      <c r="P40" s="7">
        <v>3</v>
      </c>
      <c r="Q40" s="7">
        <v>30</v>
      </c>
      <c r="R40" s="17" t="str">
        <f>UPPER(R$1&amp;":"&amp;C40)</f>
        <v>RSCN:CS_ANGLEXZ</v>
      </c>
      <c r="S40" s="9" t="str">
        <f>UPPER(S$1&amp;":"&amp;D40)</f>
        <v>RSCN:CS_ANGLEXZ</v>
      </c>
      <c r="T40" s="17" t="str">
        <f>SUBSTITUTE(C40,"_","")</f>
        <v>csAngleXZ</v>
      </c>
      <c r="U40" s="9" t="str">
        <f>SUBSTITUTE(D40,"_","")&amp;IF(RIGHT(I40)="u","U","")</f>
        <v>csAngleXZU</v>
      </c>
      <c r="V40" s="9" t="str">
        <f>IF(ISNUMBER(K40),K40,"$(P):"&amp;$S$1&amp;":"&amp;K40)</f>
        <v>$(P):RSCN:ST_ALWAYS</v>
      </c>
      <c r="W40" s="9" t="str">
        <f>IF(ISNUMBER(L40),L40,"$(P):"&amp;$S$1&amp;":"&amp;L40)</f>
        <v>$(P):RSCN:ST_GLOBAL</v>
      </c>
      <c r="X40" s="9" t="str">
        <f>IF(LEFT(I40)="g",IF(H40="real",y_pmacRascanGSVar,IF(H40="int",y_pmacRascanGSVar,"")),"")</f>
        <v>expand("pmacRascanGSVar.vdb", GSVar~VAR) {
  macro(VAR, "~VAR")
  macro(EGU, "~EGU")
  macro(P, "$(P)")
  macro(Q, ":~PVNAME")
  macro(PORT, "$(PORT)")
  macro(CanGet, "~CANGET")
  macro(CanSet, "~CANSET")
  macro(PREC, "$(PREC=~PREC)")
  macro(DESC,"~DESC")
}</v>
      </c>
      <c r="Y40" s="9" t="str">
        <f>SUBSTITUTE(SUBSTITUTE(SUBSTITUTE(SUBSTITUTE(SUBSTITUTE(SUBSTITUTE(SUBSTITUTE(X40,"~PVNAME",S40),"~EGU",J40),"~PREC",P40),"~VAR",E40),"~CANGET",V40),"~CANSET",W40),"~DESC",LEFT(G40,40))</f>
        <v>expand("pmacRascanGSVar.vdb", GSVarP2009) {
  macro(VAR, "P2009")
  macro(EGU, "deg")
  macro(P, "$(P)")
  macro(Q, ":RSCN:CS_ANGLEXZ")
  macro(PORT, "$(PORT)")
  macro(CanGet, "$(P):RSCN:ST_ALWAYS")
  macro(CanSet, "$(P):RSCN:ST_GLOBAL")
  macro(PREC, "$(PREC=3)")
  macro(DESC,"X-Z scan angle")
}</v>
      </c>
      <c r="Z40" s="32" t="str">
        <f>IF(ISNUMBER($F40),SUBSTITUTE(SUBSTITUTE(SUBSTITUTE(SUBSTITUTE(SUBSTITUTE(SUBSTITUTE(SUBSTITUTE(SUBSTITUTE(y_QLabel &amp; y_QELabel &amp; IF($I40="gsu",y_QELineEdit,""),"~PVNAME",$S40),"~EGU",$J40),"~PREC",$P40),"~VAR",$E40),"~CANGET",$V40),"~CANSET",$W40),"~ROW",$F40),"~NAME",$D40),"")</f>
        <v>&lt;item row="11" column="0"&gt;
            &lt;widget class="QLabel" name="L_P2009"&gt;
             &lt;property name="sizePolicy"&gt;
              &lt;sizepolicy hsizetype="MinimumExpanding" vsizetype="Preferred"&gt;
               &lt;horstretch&gt;0&lt;/horstretch&gt;
               &lt;verstretch&gt;0&lt;/verstretch&gt;
              &lt;/sizepolicy&gt;
             &lt;/property&gt;
             &lt;property name="minimumSize"&gt;
              &lt;size&gt;
               &lt;width&gt;88&lt;/width&gt;
               &lt;height&gt;8&lt;/height&gt;
              &lt;/size&gt;
             &lt;/property&gt;
             &lt;property name="text"&gt;
              &lt;string&gt;cs_AngleXZ&lt;/string&gt;
             &lt;/property&gt;
            &lt;/widget&gt;
           &lt;/item&gt;&lt;item row="11" column="1"&gt;
            &lt;widget class="QELabel" name="QL_P2009"&gt;
             &lt;property name="variable" stdset="0"&gt;
              &lt;string&gt;"SR99ID01FST01:RSCN:CS_ANGLEXZ:SYNC"&lt;/string&gt;
             &lt;/property&gt;
            &lt;/widget&gt;
           &lt;/item&gt;&lt;item row="11" column="2"&gt;
            &lt;widget class="QELineEdit" name="QLD_P2009"&gt;
             &lt;property name="variable" stdset="0"&gt;
              &lt;string&gt;"SR99ID01FST01:RSCN:CS_ANGLEXZ"&lt;/string&gt;
             &lt;/property&gt;
            &lt;/widget&gt;
           &lt;/item&gt;</v>
      </c>
      <c r="AA40" s="9" t="str">
        <f>VLOOKUP(H40,y_EPICS_Formats,2,FALSE)</f>
        <v>%f</v>
      </c>
      <c r="AB40" s="9" t="str">
        <f>IF(LEFT(I40)="g",y_Prefix&amp;S40&amp;" = ","")</f>
        <v xml:space="preserve">SR05ID01FST01:RSCN:CS_ANGLEXZ = </v>
      </c>
      <c r="AC40" s="9" t="str">
        <f>IFERROR(";"&amp;G40&amp;"["&amp;J40&amp;"]"&amp;I40&amp;CHAR(10)&amp;B40 &amp;CHAR(9)&amp;U40&amp;CHAR(9)&amp;E40 &amp;CHAR(9),";;Error!")</f>
        <v xml:space="preserve">;X-Z scan angle[deg]gsu
#define	csAngleXZU	P2009	</v>
      </c>
      <c r="AD40" s="9" t="str">
        <f>IF(IFERROR(Q40&gt;0,FALSE),SUBSTITUTE(SUBSTITUTE(SUBSTITUTE(y_archiverXML,"~PVNAME",S40&amp;IF(LEN(X40)&lt;1,"",":RBV")),"~PREFIX",y_Prefix),"~PERIOD",Q40),"")</f>
        <v xml:space="preserve">      &lt;channel&gt;
         &lt;name&gt;SR05ID01FST01:RSCN:CS_ANGLEXZ:RBV&lt;/name&gt;
         &lt;period&gt;30&lt;/period&gt;
         &lt;monitor/&gt;
      &lt;/channel&gt;</v>
      </c>
      <c r="AE40" s="20">
        <f>IF(OR(LEFT($I40)="e",LEFT($I40)="g"),AE$1-LEN(S40),"")</f>
        <v>1</v>
      </c>
      <c r="AF40" s="20">
        <f>IF(OR(LEFT($I40)="e",LEFT($I40)="g"),AF$1-LEN(T40),"")</f>
        <v>7</v>
      </c>
      <c r="AG40" s="20">
        <f>IF(OR(LEFT($I40)="e",LEFT($I40)="g"),AG$1-LEN(U40),"")</f>
        <v>6</v>
      </c>
      <c r="AH40" s="20">
        <f>IF(OR(LEFT($I40)="e",LEFT($I40)="g"),AH$1-LEN(V40),"")</f>
        <v>21</v>
      </c>
      <c r="AI40" s="2" t="str">
        <f>IF(ISNUMBER(E40),"0"&amp;LEFT(D40,2)&amp;TEXT(E40,"#.0000"),E40)</f>
        <v>P2009</v>
      </c>
    </row>
    <row r="41" spans="1:35" x14ac:dyDescent="0.3">
      <c r="A41" s="6" t="str">
        <f>IF(T41&lt;&gt;U41,"&lt;FIND TYPE=ASC&gt;"&amp;R41&amp;"&lt;/FIND&gt;&lt;REPLACE TYPE=ASC&gt;"&amp;S41&amp;"&lt;/REPLACE&gt;"&amp;CHAR(10)&amp;"&lt;FIND TYPE=ASC&gt;"&amp;T41&amp;"&lt;/FIND&gt;&lt;REPLACE TYPE=ASC&gt;"&amp;U41&amp;"&lt;/REPLACE&gt;"&amp;CHAR(10)&amp;"&lt;FIND TYPE=ASC&gt;"&amp;C41&amp;"&lt;/FIND&gt;&lt;REPLACE TYPE=ASC&gt;"&amp;D41&amp;"&lt;/REPLACE&gt;",".")</f>
        <v>&lt;FIND TYPE=ASC&gt;RSCN:CS_GEARTX&lt;/FIND&gt;&lt;REPLACE TYPE=ASC&gt;RSCN:CS_GEARTX&lt;/REPLACE&gt;
&lt;FIND TYPE=ASC&gt;csGearTX&lt;/FIND&gt;&lt;REPLACE TYPE=ASC&gt;csGearTXU&lt;/REPLACE&gt;
&lt;FIND TYPE=ASC&gt;cs_GearTX&lt;/FIND&gt;&lt;REPLACE TYPE=ASC&gt;cs_GearTX&lt;/REPLACE&gt;</v>
      </c>
      <c r="B41" s="7" t="s">
        <v>38</v>
      </c>
      <c r="C41" s="30" t="s">
        <v>533</v>
      </c>
      <c r="D41" s="7" t="s">
        <v>533</v>
      </c>
      <c r="E41" s="7" t="s">
        <v>88</v>
      </c>
      <c r="F41" s="3">
        <v>12</v>
      </c>
      <c r="G41" s="8" t="s">
        <v>121</v>
      </c>
      <c r="H41" s="7" t="s">
        <v>43</v>
      </c>
      <c r="I41" s="7" t="s">
        <v>618</v>
      </c>
      <c r="J41" s="7" t="s">
        <v>174</v>
      </c>
      <c r="K41" s="7" t="s">
        <v>146</v>
      </c>
      <c r="L41" s="7" t="s">
        <v>157</v>
      </c>
      <c r="M41" s="7"/>
      <c r="N41" s="7">
        <v>1</v>
      </c>
      <c r="O41" s="7">
        <f>360*1000000000000</f>
        <v>360000000000000</v>
      </c>
      <c r="P41" s="7">
        <v>3</v>
      </c>
      <c r="Q41" s="7">
        <v>30</v>
      </c>
      <c r="R41" s="17" t="str">
        <f>UPPER(R$1&amp;":"&amp;C41)</f>
        <v>RSCN:CS_GEARTX</v>
      </c>
      <c r="S41" s="9" t="str">
        <f>UPPER(S$1&amp;":"&amp;D41)</f>
        <v>RSCN:CS_GEARTX</v>
      </c>
      <c r="T41" s="17" t="str">
        <f>SUBSTITUTE(C41,"_","")</f>
        <v>csGearTX</v>
      </c>
      <c r="U41" s="9" t="str">
        <f>SUBSTITUTE(D41,"_","")&amp;IF(RIGHT(I41)="u","U","")</f>
        <v>csGearTXU</v>
      </c>
      <c r="V41" s="9" t="str">
        <f>IF(ISNUMBER(K41),K41,"$(P):"&amp;$S$1&amp;":"&amp;K41)</f>
        <v>$(P):RSCN:ST_ALWAYS</v>
      </c>
      <c r="W41" s="9" t="str">
        <f>IF(ISNUMBER(L41),L41,"$(P):"&amp;$S$1&amp;":"&amp;L41)</f>
        <v>$(P):RSCN:ST_GLOBAL</v>
      </c>
      <c r="X41" s="9" t="str">
        <f>IF(LEFT(I41)="g",IF(H41="real",y_pmacRascanGSVar,IF(H41="int",y_pmacRascanGSVar,"")),"")</f>
        <v>expand("pmacRascanGSVar.vdb", GSVar~VAR) {
  macro(VAR, "~VAR")
  macro(EGU, "~EGU")
  macro(P, "$(P)")
  macro(Q, ":~PVNAME")
  macro(PORT, "$(PORT)")
  macro(CanGet, "~CANGET")
  macro(CanSet, "~CANSET")
  macro(PREC, "$(PREC=~PREC)")
  macro(DESC,"~DESC")
}</v>
      </c>
      <c r="Y41" s="9" t="str">
        <f>SUBSTITUTE(SUBSTITUTE(SUBSTITUTE(SUBSTITUTE(SUBSTITUTE(SUBSTITUTE(SUBSTITUTE(X41,"~PVNAME",S41),"~EGU",J41),"~PREC",P41),"~VAR",E41),"~CANGET",V41),"~CANSET",W41),"~DESC",LEFT(G41,40))</f>
        <v>expand("pmacRascanGSVar.vdb", GSVarP2010) {
  macro(VAR, "P2010")
  macro(EGU, "deg/mm")
  macro(P, "$(P)")
  macro(Q, ":RSCN:CS_GEARTX")
  macro(PORT, "$(PORT)")
  macro(CanGet, "$(P):RSCN:ST_ALWAYS")
  macro(CanSet, "$(P):RSCN:ST_GLOBAL")
  macro(PREC, "$(PREC=3)")
  macro(DESC,"Tomo-X scan gear ratio")
}</v>
      </c>
      <c r="Z41" s="32" t="str">
        <f>IF(ISNUMBER($F41),SUBSTITUTE(SUBSTITUTE(SUBSTITUTE(SUBSTITUTE(SUBSTITUTE(SUBSTITUTE(SUBSTITUTE(SUBSTITUTE(y_QLabel &amp; y_QELabel &amp; IF($I41="gsu",y_QELineEdit,""),"~PVNAME",$S41),"~EGU",$J41),"~PREC",$P41),"~VAR",$E41),"~CANGET",$V41),"~CANSET",$W41),"~ROW",$F41),"~NAME",$D41),"")</f>
        <v>&lt;item row="12" column="0"&gt;
            &lt;widget class="QLabel" name="L_P2010"&gt;
             &lt;property name="sizePolicy"&gt;
              &lt;sizepolicy hsizetype="MinimumExpanding" vsizetype="Preferred"&gt;
               &lt;horstretch&gt;0&lt;/horstretch&gt;
               &lt;verstretch&gt;0&lt;/verstretch&gt;
              &lt;/sizepolicy&gt;
             &lt;/property&gt;
             &lt;property name="minimumSize"&gt;
              &lt;size&gt;
               &lt;width&gt;88&lt;/width&gt;
               &lt;height&gt;8&lt;/height&gt;
              &lt;/size&gt;
             &lt;/property&gt;
             &lt;property name="text"&gt;
              &lt;string&gt;cs_GearTX&lt;/string&gt;
             &lt;/property&gt;
            &lt;/widget&gt;
           &lt;/item&gt;&lt;item row="12" column="1"&gt;
            &lt;widget class="QELabel" name="QL_P2010"&gt;
             &lt;property name="variable" stdset="0"&gt;
              &lt;string&gt;"SR99ID01FST01:RSCN:CS_GEARTX:SYNC"&lt;/string&gt;
             &lt;/property&gt;
            &lt;/widget&gt;
           &lt;/item&gt;&lt;item row="12" column="2"&gt;
            &lt;widget class="QELineEdit" name="QLD_P2010"&gt;
             &lt;property name="variable" stdset="0"&gt;
              &lt;string&gt;"SR99ID01FST01:RSCN:CS_GEARTX"&lt;/string&gt;
             &lt;/property&gt;
            &lt;/widget&gt;
           &lt;/item&gt;</v>
      </c>
      <c r="AA41" s="9" t="str">
        <f>VLOOKUP(H41,y_EPICS_Formats,2,FALSE)</f>
        <v>%f</v>
      </c>
      <c r="AB41" s="9" t="str">
        <f>IF(LEFT(I41)="g",y_Prefix&amp;S41&amp;" = ","")</f>
        <v xml:space="preserve">SR05ID01FST01:RSCN:CS_GEARTX = </v>
      </c>
      <c r="AC41" s="9" t="str">
        <f>IFERROR(";"&amp;G41&amp;"["&amp;J41&amp;"]"&amp;I41&amp;CHAR(10)&amp;B41 &amp;CHAR(9)&amp;U41&amp;CHAR(9)&amp;E41 &amp;CHAR(9),";;Error!")</f>
        <v xml:space="preserve">;Tomo-X scan gear ratio[deg/mm]gsu
#define	csGearTXU	P2010	</v>
      </c>
      <c r="AD41" s="9" t="str">
        <f>IF(IFERROR(Q41&gt;0,FALSE),SUBSTITUTE(SUBSTITUTE(SUBSTITUTE(y_archiverXML,"~PVNAME",S41&amp;IF(LEN(X41)&lt;1,"",":RBV")),"~PREFIX",y_Prefix),"~PERIOD",Q41),"")</f>
        <v xml:space="preserve">      &lt;channel&gt;
         &lt;name&gt;SR05ID01FST01:RSCN:CS_GEARTX:RBV&lt;/name&gt;
         &lt;period&gt;30&lt;/period&gt;
         &lt;monitor/&gt;
      &lt;/channel&gt;</v>
      </c>
      <c r="AE41" s="20">
        <f>IF(OR(LEFT($I41)="e",LEFT($I41)="g"),AE$1-LEN(S41),"")</f>
        <v>2</v>
      </c>
      <c r="AF41" s="20">
        <f>IF(OR(LEFT($I41)="e",LEFT($I41)="g"),AF$1-LEN(T41),"")</f>
        <v>8</v>
      </c>
      <c r="AG41" s="20">
        <f>IF(OR(LEFT($I41)="e",LEFT($I41)="g"),AG$1-LEN(U41),"")</f>
        <v>7</v>
      </c>
      <c r="AH41" s="20">
        <f>IF(OR(LEFT($I41)="e",LEFT($I41)="g"),AH$1-LEN(V41),"")</f>
        <v>21</v>
      </c>
      <c r="AI41" s="2" t="str">
        <f>IF(ISNUMBER(E41),"0"&amp;LEFT(D41,2)&amp;TEXT(E41,"#.0000"),E41)</f>
        <v>P2010</v>
      </c>
    </row>
    <row r="42" spans="1:35" ht="29.25" x14ac:dyDescent="0.3">
      <c r="A42" s="6" t="str">
        <f>IF(T42&lt;&gt;U42,"&lt;FIND TYPE=ASC&gt;"&amp;R42&amp;"&lt;/FIND&gt;&lt;REPLACE TYPE=ASC&gt;"&amp;S42&amp;"&lt;/REPLACE&gt;"&amp;CHAR(10)&amp;"&lt;FIND TYPE=ASC&gt;"&amp;T42&amp;"&lt;/FIND&gt;&lt;REPLACE TYPE=ASC&gt;"&amp;U42&amp;"&lt;/REPLACE&gt;"&amp;CHAR(10)&amp;"&lt;FIND TYPE=ASC&gt;"&amp;C42&amp;"&lt;/FIND&gt;&lt;REPLACE TYPE=ASC&gt;"&amp;D42&amp;"&lt;/REPLACE&gt;",".")</f>
        <v>.</v>
      </c>
      <c r="B42" s="7" t="s">
        <v>74</v>
      </c>
      <c r="C42" s="30"/>
      <c r="D42" s="7"/>
      <c r="E42" s="7" t="s">
        <v>89</v>
      </c>
      <c r="G42" s="8"/>
      <c r="H42" s="7"/>
      <c r="I42" s="7" t="s">
        <v>39</v>
      </c>
      <c r="J42" s="7"/>
      <c r="K42" s="7"/>
      <c r="L42" s="7"/>
      <c r="M42" s="7"/>
      <c r="N42" s="7"/>
      <c r="O42" s="7"/>
      <c r="P42" s="7"/>
      <c r="Q42" s="7"/>
      <c r="R42" s="17" t="str">
        <f>UPPER(R$1&amp;":"&amp;C42)</f>
        <v>RSCN:</v>
      </c>
      <c r="S42" s="9" t="str">
        <f>UPPER(S$1&amp;":"&amp;D42)</f>
        <v>RSCN:</v>
      </c>
      <c r="T42" s="17" t="str">
        <f>SUBSTITUTE(C42,"_","")</f>
        <v/>
      </c>
      <c r="U42" s="9" t="str">
        <f>SUBSTITUTE(D42,"_","")&amp;IF(RIGHT(I42)="u","U","")</f>
        <v/>
      </c>
      <c r="V42" s="9" t="str">
        <f>IF(ISNUMBER(K42),K42,"$(P):"&amp;$S$1&amp;":"&amp;K42)</f>
        <v>$(P):RSCN:</v>
      </c>
      <c r="W42" s="9" t="str">
        <f>IF(ISNUMBER(L42),L42,"$(P):"&amp;$S$1&amp;":"&amp;L42)</f>
        <v>$(P):RSCN:</v>
      </c>
      <c r="X42" s="9" t="str">
        <f>IF(LEFT(I42)="g",IF(H42="real",y_pmacRascanGSVar,IF(H42="int",y_pmacRascanGSVar,"")),"")</f>
        <v/>
      </c>
      <c r="Y42" s="9" t="str">
        <f>SUBSTITUTE(SUBSTITUTE(SUBSTITUTE(SUBSTITUTE(SUBSTITUTE(SUBSTITUTE(SUBSTITUTE(X42,"~PVNAME",S42),"~EGU",J42),"~PREC",P42),"~VAR",E42),"~CANGET",V42),"~CANSET",W42),"~DESC",LEFT(G42,40))</f>
        <v/>
      </c>
      <c r="Z42" s="32" t="str">
        <f>IF(ISNUMBER($F42),SUBSTITUTE(SUBSTITUTE(SUBSTITUTE(SUBSTITUTE(SUBSTITUTE(SUBSTITUTE(SUBSTITUTE(SUBSTITUTE(y_QLabel &amp; y_QELabel &amp; IF($I42="gsu",y_QELineEdit,""),"~PVNAME",$S42),"~EGU",$J42),"~PREC",$P42),"~VAR",$E42),"~CANGET",$V42),"~CANSET",$W42),"~ROW",$F42),"~NAME",$D42),"")</f>
        <v/>
      </c>
      <c r="AA42" s="9" t="e">
        <f>VLOOKUP(H42,y_EPICS_Formats,2,FALSE)</f>
        <v>#N/A</v>
      </c>
      <c r="AB42" s="9" t="str">
        <f>IF(LEFT(I42)="g",y_Prefix&amp;S42&amp;" = ","")</f>
        <v/>
      </c>
      <c r="AC42" s="9" t="str">
        <f>IFERROR(";"&amp;G42&amp;"["&amp;J42&amp;"]"&amp;I42&amp;CHAR(10)&amp;B42 &amp;CHAR(9)&amp;U42&amp;CHAR(9)&amp;E42 &amp;CHAR(9),";;Error!")</f>
        <v xml:space="preserve">;[]p
;;Free		P2011	</v>
      </c>
      <c r="AD42" s="9" t="str">
        <f>IF(IFERROR(Q42&gt;0,FALSE),SUBSTITUTE(SUBSTITUTE(SUBSTITUTE(y_archiverXML,"~PVNAME",S42&amp;IF(LEN(X42)&lt;1,"",":RBV")),"~PREFIX",y_Prefix),"~PERIOD",Q42),"")</f>
        <v/>
      </c>
      <c r="AE42" s="20" t="str">
        <f>IF(OR(LEFT($I42)="e",LEFT($I42)="g"),AE$1-LEN(S42),"")</f>
        <v/>
      </c>
      <c r="AF42" s="20" t="str">
        <f>IF(OR(LEFT($I42)="e",LEFT($I42)="g"),AF$1-LEN(T42),"")</f>
        <v/>
      </c>
      <c r="AG42" s="20" t="str">
        <f>IF(OR(LEFT($I42)="e",LEFT($I42)="g"),AG$1-LEN(U42),"")</f>
        <v/>
      </c>
      <c r="AH42" s="20" t="str">
        <f>IF(OR(LEFT($I42)="e",LEFT($I42)="g"),AH$1-LEN(V42),"")</f>
        <v/>
      </c>
      <c r="AI42" s="2" t="str">
        <f>IF(ISNUMBER(E42),"0"&amp;LEFT(D42,2)&amp;TEXT(E42,"#.0000"),E42)</f>
        <v>P2011</v>
      </c>
    </row>
    <row r="43" spans="1:35" ht="29.25" x14ac:dyDescent="0.3">
      <c r="A43" s="6" t="str">
        <f>IF(T43&lt;&gt;U43,"&lt;FIND TYPE=ASC&gt;"&amp;R43&amp;"&lt;/FIND&gt;&lt;REPLACE TYPE=ASC&gt;"&amp;S43&amp;"&lt;/REPLACE&gt;"&amp;CHAR(10)&amp;"&lt;FIND TYPE=ASC&gt;"&amp;T43&amp;"&lt;/FIND&gt;&lt;REPLACE TYPE=ASC&gt;"&amp;U43&amp;"&lt;/REPLACE&gt;"&amp;CHAR(10)&amp;"&lt;FIND TYPE=ASC&gt;"&amp;C43&amp;"&lt;/FIND&gt;&lt;REPLACE TYPE=ASC&gt;"&amp;D43&amp;"&lt;/REPLACE&gt;",".")</f>
        <v>&lt;FIND TYPE=ASC&gt;RSCN:LINE_END&lt;/FIND&gt;&lt;REPLACE TYPE=ASC&gt;RSCN:LINE_END&lt;/REPLACE&gt;
&lt;FIND TYPE=ASC&gt;lineEnd&lt;/FIND&gt;&lt;REPLACE TYPE=ASC&gt;lineEndU&lt;/REPLACE&gt;
&lt;FIND TYPE=ASC&gt;line_End&lt;/FIND&gt;&lt;REPLACE TYPE=ASC&gt;line_End&lt;/REPLACE&gt;</v>
      </c>
      <c r="B43" s="14" t="s">
        <v>38</v>
      </c>
      <c r="C43" s="30" t="s">
        <v>563</v>
      </c>
      <c r="D43" s="14" t="s">
        <v>563</v>
      </c>
      <c r="E43" s="14" t="s">
        <v>90</v>
      </c>
      <c r="F43" s="3">
        <v>14</v>
      </c>
      <c r="G43" s="15" t="s">
        <v>528</v>
      </c>
      <c r="H43" s="14" t="s">
        <v>41</v>
      </c>
      <c r="I43" s="7" t="s">
        <v>618</v>
      </c>
      <c r="J43" s="14"/>
      <c r="K43" s="14" t="s">
        <v>136</v>
      </c>
      <c r="L43" s="14" t="s">
        <v>136</v>
      </c>
      <c r="M43" s="14"/>
      <c r="N43" s="14">
        <v>1</v>
      </c>
      <c r="O43" s="14">
        <f>y_MaxPmacInt</f>
        <v>140737488355328</v>
      </c>
      <c r="P43" s="14">
        <v>0</v>
      </c>
      <c r="Q43" s="7">
        <v>30</v>
      </c>
      <c r="R43" s="18" t="str">
        <f>UPPER(R$1&amp;":"&amp;C43)</f>
        <v>RSCN:LINE_END</v>
      </c>
      <c r="S43" s="16" t="str">
        <f>UPPER(S$1&amp;":"&amp;D43)</f>
        <v>RSCN:LINE_END</v>
      </c>
      <c r="T43" s="17" t="str">
        <f>SUBSTITUTE(C43,"_","")</f>
        <v>lineEnd</v>
      </c>
      <c r="U43" s="9" t="str">
        <f>SUBSTITUTE(D43,"_","")&amp;IF(RIGHT(I43)="u","U","")</f>
        <v>lineEndU</v>
      </c>
      <c r="V43" s="16" t="str">
        <f>IF(ISNUMBER(K43),K43,"$(P):"&amp;$S$1&amp;":"&amp;K43)</f>
        <v>$(P):RSCN:ST_INPROG</v>
      </c>
      <c r="W43" s="16" t="str">
        <f>IF(ISNUMBER(L43),L43,"$(P):"&amp;$S$1&amp;":"&amp;L43)</f>
        <v>$(P):RSCN:ST_INPROG</v>
      </c>
      <c r="X43" s="9" t="str">
        <f>IF(LEFT(I43)="g",IF(H43="real",y_pmacRascanGSVar,IF(H43="int",y_pmacRascanGSVar,"")),"")</f>
        <v>expand("pmacRascanGSVar.vdb", GSVar~VAR) {
  macro(VAR, "~VAR")
  macro(EGU, "~EGU")
  macro(P, "$(P)")
  macro(Q, ":~PVNAME")
  macro(PORT, "$(PORT)")
  macro(CanGet, "~CANGET")
  macro(CanSet, "~CANSET")
  macro(PREC, "$(PREC=~PREC)")
  macro(DESC,"~DESC")
}</v>
      </c>
      <c r="Y43" s="16" t="str">
        <f>SUBSTITUTE(SUBSTITUTE(SUBSTITUTE(SUBSTITUTE(SUBSTITUTE(SUBSTITUTE(SUBSTITUTE(X43,"~PVNAME",S43),"~EGU",J43),"~PREC",P43),"~VAR",E43),"~CANGET",V43),"~CANSET",W43),"~DESC",LEFT(G43,40))</f>
        <v>expand("pmacRascanGSVar.vdb", GSVarP2012) {
  macro(VAR, "P2012")
  macro(EGU, "")
  macro(P, "$(P)")
  macro(Q, ":RSCN:LINE_END")
  macro(PORT, "$(PORT)")
  macro(CanGet, "$(P):RSCN:ST_INPROG")
  macro(CanSet, "$(P):RSCN:ST_INPROG")
  macro(PREC, "$(PREC=0)")
  macro(DESC,"End scan line")
}</v>
      </c>
      <c r="Z43" s="32" t="str">
        <f>IF(ISNUMBER($F43),SUBSTITUTE(SUBSTITUTE(SUBSTITUTE(SUBSTITUTE(SUBSTITUTE(SUBSTITUTE(SUBSTITUTE(SUBSTITUTE(y_QLabel &amp; y_QELabel &amp; IF($I43="gsu",y_QELineEdit,""),"~PVNAME",$S43),"~EGU",$J43),"~PREC",$P43),"~VAR",$E43),"~CANGET",$V43),"~CANSET",$W43),"~ROW",$F43),"~NAME",$D43),"")</f>
        <v>&lt;item row="14" column="0"&gt;
            &lt;widget class="QLabel" name="L_P2012"&gt;
             &lt;property name="sizePolicy"&gt;
              &lt;sizepolicy hsizetype="MinimumExpanding" vsizetype="Preferred"&gt;
               &lt;horstretch&gt;0&lt;/horstretch&gt;
               &lt;verstretch&gt;0&lt;/verstretch&gt;
              &lt;/sizepolicy&gt;
             &lt;/property&gt;
             &lt;property name="minimumSize"&gt;
              &lt;size&gt;
               &lt;width&gt;88&lt;/width&gt;
               &lt;height&gt;8&lt;/height&gt;
              &lt;/size&gt;
             &lt;/property&gt;
             &lt;property name="text"&gt;
              &lt;string&gt;line_End&lt;/string&gt;
             &lt;/property&gt;
            &lt;/widget&gt;
           &lt;/item&gt;&lt;item row="14" column="1"&gt;
            &lt;widget class="QELabel" name="QL_P2012"&gt;
             &lt;property name="variable" stdset="0"&gt;
              &lt;string&gt;"SR99ID01FST01:RSCN:LINE_END:SYNC"&lt;/string&gt;
             &lt;/property&gt;
            &lt;/widget&gt;
           &lt;/item&gt;&lt;item row="14" column="2"&gt;
            &lt;widget class="QELineEdit" name="QLD_P2012"&gt;
             &lt;property name="variable" stdset="0"&gt;
              &lt;string&gt;"SR99ID01FST01:RSCN:LINE_END"&lt;/string&gt;
             &lt;/property&gt;
            &lt;/widget&gt;
           &lt;/item&gt;</v>
      </c>
      <c r="AA43" s="16" t="str">
        <f>VLOOKUP(H43,y_EPICS_Formats,2,FALSE)</f>
        <v>%d</v>
      </c>
      <c r="AB43" s="9" t="str">
        <f>IF(LEFT(I43)="g",y_Prefix&amp;S43&amp;" = ","")</f>
        <v xml:space="preserve">SR05ID01FST01:RSCN:LINE_END = </v>
      </c>
      <c r="AC43" s="9" t="str">
        <f>IFERROR(";"&amp;G43&amp;"["&amp;J43&amp;"]"&amp;I43&amp;CHAR(10)&amp;B43 &amp;CHAR(9)&amp;U43&amp;CHAR(9)&amp;E43 &amp;CHAR(9),";;Error!")</f>
        <v xml:space="preserve">;End scan line[]gsu
#define	lineEndU	P2012	</v>
      </c>
      <c r="AD43" s="9" t="str">
        <f>IF(IFERROR(Q43&gt;0,FALSE),SUBSTITUTE(SUBSTITUTE(SUBSTITUTE(y_archiverXML,"~PVNAME",S43&amp;IF(LEN(X43)&lt;1,"",":RBV")),"~PREFIX",y_Prefix),"~PERIOD",Q43),"")</f>
        <v xml:space="preserve">      &lt;channel&gt;
         &lt;name&gt;SR05ID01FST01:RSCN:LINE_END:RBV&lt;/name&gt;
         &lt;period&gt;30&lt;/period&gt;
         &lt;monitor/&gt;
      &lt;/channel&gt;</v>
      </c>
      <c r="AE43" s="20">
        <f>IF(OR(LEFT($I43)="e",LEFT($I43)="g"),AE$1-LEN(S43),"")</f>
        <v>3</v>
      </c>
      <c r="AF43" s="20">
        <f>IF(OR(LEFT($I43)="e",LEFT($I43)="g"),AF$1-LEN(T43),"")</f>
        <v>9</v>
      </c>
      <c r="AG43" s="20">
        <f>IF(OR(LEFT($I43)="e",LEFT($I43)="g"),AG$1-LEN(U43),"")</f>
        <v>8</v>
      </c>
      <c r="AH43" s="20">
        <f>IF(OR(LEFT($I43)="e",LEFT($I43)="g"),AH$1-LEN(V43),"")</f>
        <v>21</v>
      </c>
      <c r="AI43" s="2" t="str">
        <f>IF(ISNUMBER(E43),"0"&amp;LEFT(D43,2)&amp;TEXT(E43,"#.0000"),E43)</f>
        <v>P2012</v>
      </c>
    </row>
    <row r="44" spans="1:35" ht="29.25" x14ac:dyDescent="0.3">
      <c r="A44" s="6" t="str">
        <f>IF(T44&lt;&gt;U44,"&lt;FIND TYPE=ASC&gt;"&amp;R44&amp;"&lt;/FIND&gt;&lt;REPLACE TYPE=ASC&gt;"&amp;S44&amp;"&lt;/REPLACE&gt;"&amp;CHAR(10)&amp;"&lt;FIND TYPE=ASC&gt;"&amp;T44&amp;"&lt;/FIND&gt;&lt;REPLACE TYPE=ASC&gt;"&amp;U44&amp;"&lt;/REPLACE&gt;"&amp;CHAR(10)&amp;"&lt;FIND TYPE=ASC&gt;"&amp;C44&amp;"&lt;/FIND&gt;&lt;REPLACE TYPE=ASC&gt;"&amp;D44&amp;"&lt;/REPLACE&gt;",".")</f>
        <v>&lt;FIND TYPE=ASC&gt;RSCN:D1_CENTRE&lt;/FIND&gt;&lt;REPLACE TYPE=ASC&gt;RSCN:D1_CENTRE&lt;/REPLACE&gt;
&lt;FIND TYPE=ASC&gt;d1Centre&lt;/FIND&gt;&lt;REPLACE TYPE=ASC&gt;d1CentreU&lt;/REPLACE&gt;
&lt;FIND TYPE=ASC&gt;d1_Centre&lt;/FIND&gt;&lt;REPLACE TYPE=ASC&gt;d1_Centre&lt;/REPLACE&gt;</v>
      </c>
      <c r="B44" s="7" t="s">
        <v>38</v>
      </c>
      <c r="C44" s="30" t="s">
        <v>551</v>
      </c>
      <c r="D44" s="7" t="s">
        <v>551</v>
      </c>
      <c r="E44" s="7" t="s">
        <v>91</v>
      </c>
      <c r="G44" s="8" t="s">
        <v>509</v>
      </c>
      <c r="H44" s="7" t="s">
        <v>43</v>
      </c>
      <c r="I44" s="7" t="s">
        <v>618</v>
      </c>
      <c r="J44" s="7" t="s">
        <v>169</v>
      </c>
      <c r="K44" s="7" t="s">
        <v>138</v>
      </c>
      <c r="L44" s="7" t="s">
        <v>137</v>
      </c>
      <c r="M44" s="7"/>
      <c r="N44" s="7">
        <v>-9999999</v>
      </c>
      <c r="O44" s="7">
        <v>9999999</v>
      </c>
      <c r="P44" s="7">
        <v>5</v>
      </c>
      <c r="Q44" s="7">
        <v>30</v>
      </c>
      <c r="R44" s="17" t="str">
        <f>UPPER(R$1&amp;":"&amp;C44)</f>
        <v>RSCN:D1_CENTRE</v>
      </c>
      <c r="S44" s="9" t="str">
        <f>UPPER(S$1&amp;":"&amp;D44)</f>
        <v>RSCN:D1_CENTRE</v>
      </c>
      <c r="T44" s="17" t="str">
        <f>SUBSTITUTE(C44,"_","")</f>
        <v>d1Centre</v>
      </c>
      <c r="U44" s="9" t="str">
        <f>SUBSTITUTE(D44,"_","")&amp;IF(RIGHT(I44)="u","U","")</f>
        <v>d1CentreU</v>
      </c>
      <c r="V44" s="9" t="str">
        <f>IF(ISNUMBER(K44),K44,"$(P):"&amp;$S$1&amp;":"&amp;K44)</f>
        <v>$(P):RSCN:ST_MONITOR</v>
      </c>
      <c r="W44" s="9" t="str">
        <f>IF(ISNUMBER(L44),L44,"$(P):"&amp;$S$1&amp;":"&amp;L44)</f>
        <v>$(P):RSCN:ST_TRAJSET</v>
      </c>
      <c r="X44" s="9" t="str">
        <f>IF(LEFT(I44)="g",IF(H44="real",y_pmacRascanGSVar,IF(H44="int",y_pmacRascanGSVar,"")),"")</f>
        <v>expand("pmacRascanGSVar.vdb", GSVar~VAR) {
  macro(VAR, "~VAR")
  macro(EGU, "~EGU")
  macro(P, "$(P)")
  macro(Q, ":~PVNAME")
  macro(PORT, "$(PORT)")
  macro(CanGet, "~CANGET")
  macro(CanSet, "~CANSET")
  macro(PREC, "$(PREC=~PREC)")
  macro(DESC,"~DESC")
}</v>
      </c>
      <c r="Y44" s="9" t="str">
        <f>SUBSTITUTE(SUBSTITUTE(SUBSTITUTE(SUBSTITUTE(SUBSTITUTE(SUBSTITUTE(SUBSTITUTE(X44,"~PVNAME",S44),"~EGU",J44),"~PREC",P44),"~VAR",E44),"~CANGET",V44),"~CANSET",W44),"~DESC",LEFT(G44,40))</f>
        <v>expand("pmacRascanGSVar.vdb", GSVarP2013) {
  macro(VAR, "P2013")
  macro(EGU, "EGU")
  macro(P, "$(P)")
  macro(Q, ":RSCN:D1_CENTRE")
  macro(PORT, "$(PORT)")
  macro(CanGet, "$(P):RSCN:ST_MONITOR")
  macro(CanSet, "$(P):RSCN:ST_TRAJSET")
  macro(PREC, "$(PREC=5)")
  macro(DESC,"Fly axis scan starting position")
}</v>
      </c>
      <c r="Z44" s="32" t="str">
        <f>IF(ISNUMBER($F44),SUBSTITUTE(SUBSTITUTE(SUBSTITUTE(SUBSTITUTE(SUBSTITUTE(SUBSTITUTE(SUBSTITUTE(SUBSTITUTE(y_QLabel &amp; y_QELabel &amp; IF($I44="gsu",y_QELineEdit,""),"~PVNAME",$S44),"~EGU",$J44),"~PREC",$P44),"~VAR",$E44),"~CANGET",$V44),"~CANSET",$W44),"~ROW",$F44),"~NAME",$D44),"")</f>
        <v/>
      </c>
      <c r="AA44" s="9" t="str">
        <f>VLOOKUP(H44,y_EPICS_Formats,2,FALSE)</f>
        <v>%f</v>
      </c>
      <c r="AB44" s="9" t="str">
        <f>IF(LEFT(I44)="g",y_Prefix&amp;S44&amp;" = ","")</f>
        <v xml:space="preserve">SR05ID01FST01:RSCN:D1_CENTRE = </v>
      </c>
      <c r="AC44" s="9" t="str">
        <f>IFERROR(";"&amp;G44&amp;"["&amp;J44&amp;"]"&amp;I44&amp;CHAR(10)&amp;B44 &amp;CHAR(9)&amp;U44&amp;CHAR(9)&amp;E44 &amp;CHAR(9),";;Error!")</f>
        <v xml:space="preserve">;Fly axis scan starting position[EGU]gsu
#define	d1CentreU	P2013	</v>
      </c>
      <c r="AD44" s="9" t="str">
        <f>IF(IFERROR(Q44&gt;0,FALSE),SUBSTITUTE(SUBSTITUTE(SUBSTITUTE(y_archiverXML,"~PVNAME",S44&amp;IF(LEN(X44)&lt;1,"",":RBV")),"~PREFIX",y_Prefix),"~PERIOD",Q44),"")</f>
        <v xml:space="preserve">      &lt;channel&gt;
         &lt;name&gt;SR05ID01FST01:RSCN:D1_CENTRE:RBV&lt;/name&gt;
         &lt;period&gt;30&lt;/period&gt;
         &lt;monitor/&gt;
      &lt;/channel&gt;</v>
      </c>
      <c r="AE44" s="20">
        <f>IF(OR(LEFT($I44)="e",LEFT($I44)="g"),AE$1-LEN(S44),"")</f>
        <v>2</v>
      </c>
      <c r="AF44" s="20">
        <f>IF(OR(LEFT($I44)="e",LEFT($I44)="g"),AF$1-LEN(T44),"")</f>
        <v>8</v>
      </c>
      <c r="AG44" s="20">
        <f>IF(OR(LEFT($I44)="e",LEFT($I44)="g"),AG$1-LEN(U44),"")</f>
        <v>7</v>
      </c>
      <c r="AH44" s="20">
        <f>IF(OR(LEFT($I44)="e",LEFT($I44)="g"),AH$1-LEN(V44),"")</f>
        <v>20</v>
      </c>
      <c r="AI44" s="2" t="str">
        <f>IF(ISNUMBER(E44),"0"&amp;LEFT(D44,2)&amp;TEXT(E44,"#.0000"),E44)</f>
        <v>P2013</v>
      </c>
    </row>
    <row r="45" spans="1:35" x14ac:dyDescent="0.3">
      <c r="A45" s="6" t="str">
        <f>IF(T45&lt;&gt;U45,"&lt;FIND TYPE=ASC&gt;"&amp;R45&amp;"&lt;/FIND&gt;&lt;REPLACE TYPE=ASC&gt;"&amp;S45&amp;"&lt;/REPLACE&gt;"&amp;CHAR(10)&amp;"&lt;FIND TYPE=ASC&gt;"&amp;T45&amp;"&lt;/FIND&gt;&lt;REPLACE TYPE=ASC&gt;"&amp;U45&amp;"&lt;/REPLACE&gt;"&amp;CHAR(10)&amp;"&lt;FIND TYPE=ASC&gt;"&amp;C45&amp;"&lt;/FIND&gt;&lt;REPLACE TYPE=ASC&gt;"&amp;D45&amp;"&lt;/REPLACE&gt;",".")</f>
        <v>&lt;FIND TYPE=ASC&gt;RSCN:D2_START&lt;/FIND&gt;&lt;REPLACE TYPE=ASC&gt;RSCN:D2_START&lt;/REPLACE&gt;
&lt;FIND TYPE=ASC&gt;d2Start&lt;/FIND&gt;&lt;REPLACE TYPE=ASC&gt;d2StartU&lt;/REPLACE&gt;
&lt;FIND TYPE=ASC&gt;d2_Start&lt;/FIND&gt;&lt;REPLACE TYPE=ASC&gt;d2_Start&lt;/REPLACE&gt;</v>
      </c>
      <c r="B45" s="7" t="s">
        <v>38</v>
      </c>
      <c r="C45" s="30" t="s">
        <v>571</v>
      </c>
      <c r="D45" s="7" t="s">
        <v>571</v>
      </c>
      <c r="E45" s="7" t="s">
        <v>92</v>
      </c>
      <c r="G45" s="8" t="s">
        <v>523</v>
      </c>
      <c r="H45" s="7" t="s">
        <v>43</v>
      </c>
      <c r="I45" s="7" t="s">
        <v>618</v>
      </c>
      <c r="J45" s="7" t="s">
        <v>169</v>
      </c>
      <c r="K45" s="7" t="s">
        <v>138</v>
      </c>
      <c r="L45" s="7" t="s">
        <v>137</v>
      </c>
      <c r="M45" s="7"/>
      <c r="N45" s="7">
        <v>-9999999</v>
      </c>
      <c r="O45" s="7">
        <v>9999999</v>
      </c>
      <c r="P45" s="7">
        <v>5</v>
      </c>
      <c r="Q45" s="7">
        <v>30</v>
      </c>
      <c r="R45" s="17" t="str">
        <f>UPPER(R$1&amp;":"&amp;C45)</f>
        <v>RSCN:D2_START</v>
      </c>
      <c r="S45" s="9" t="str">
        <f>UPPER(S$1&amp;":"&amp;D45)</f>
        <v>RSCN:D2_START</v>
      </c>
      <c r="T45" s="17" t="str">
        <f>SUBSTITUTE(C45,"_","")</f>
        <v>d2Start</v>
      </c>
      <c r="U45" s="9" t="str">
        <f>SUBSTITUTE(D45,"_","")&amp;IF(RIGHT(I45)="u","U","")</f>
        <v>d2StartU</v>
      </c>
      <c r="V45" s="9" t="str">
        <f>IF(ISNUMBER(K45),K45,"$(P):"&amp;$S$1&amp;":"&amp;K45)</f>
        <v>$(P):RSCN:ST_MONITOR</v>
      </c>
      <c r="W45" s="9" t="str">
        <f>IF(ISNUMBER(L45),L45,"$(P):"&amp;$S$1&amp;":"&amp;L45)</f>
        <v>$(P):RSCN:ST_TRAJSET</v>
      </c>
      <c r="X45" s="9" t="str">
        <f>IF(LEFT(I45)="g",IF(H45="real",y_pmacRascanGSVar,IF(H45="int",y_pmacRascanGSVar,"")),"")</f>
        <v>expand("pmacRascanGSVar.vdb", GSVar~VAR) {
  macro(VAR, "~VAR")
  macro(EGU, "~EGU")
  macro(P, "$(P)")
  macro(Q, ":~PVNAME")
  macro(PORT, "$(PORT)")
  macro(CanGet, "~CANGET")
  macro(CanSet, "~CANSET")
  macro(PREC, "$(PREC=~PREC)")
  macro(DESC,"~DESC")
}</v>
      </c>
      <c r="Y45" s="9" t="str">
        <f>SUBSTITUTE(SUBSTITUTE(SUBSTITUTE(SUBSTITUTE(SUBSTITUTE(SUBSTITUTE(SUBSTITUTE(X45,"~PVNAME",S45),"~EGU",J45),"~PREC",P45),"~VAR",E45),"~CANGET",V45),"~CANSET",W45),"~DESC",LEFT(G45,40))</f>
        <v>expand("pmacRascanGSVar.vdb", GSVarP2014) {
  macro(VAR, "P2014")
  macro(EGU, "EGU")
  macro(P, "$(P)")
  macro(Q, ":RSCN:D2_START")
  macro(PORT, "$(PORT)")
  macro(CanGet, "$(P):RSCN:ST_MONITOR")
  macro(CanSet, "$(P):RSCN:ST_TRAJSET")
  macro(PREC, "$(PREC=5)")
  macro(DESC,"Increment axis scan starting position")
}</v>
      </c>
      <c r="Z45" s="32" t="str">
        <f>IF(ISNUMBER($F45),SUBSTITUTE(SUBSTITUTE(SUBSTITUTE(SUBSTITUTE(SUBSTITUTE(SUBSTITUTE(SUBSTITUTE(SUBSTITUTE(y_QLabel &amp; y_QELabel &amp; IF($I45="gsu",y_QELineEdit,""),"~PVNAME",$S45),"~EGU",$J45),"~PREC",$P45),"~VAR",$E45),"~CANGET",$V45),"~CANSET",$W45),"~ROW",$F45),"~NAME",$D45),"")</f>
        <v/>
      </c>
      <c r="AA45" s="9" t="str">
        <f>VLOOKUP(H45,y_EPICS_Formats,2,FALSE)</f>
        <v>%f</v>
      </c>
      <c r="AB45" s="9" t="str">
        <f>IF(LEFT(I45)="g",y_Prefix&amp;S45&amp;" = ","")</f>
        <v xml:space="preserve">SR05ID01FST01:RSCN:D2_START = </v>
      </c>
      <c r="AC45" s="9" t="str">
        <f>IFERROR(";"&amp;G45&amp;"["&amp;J45&amp;"]"&amp;I45&amp;CHAR(10)&amp;B45 &amp;CHAR(9)&amp;U45&amp;CHAR(9)&amp;E45 &amp;CHAR(9),";;Error!")</f>
        <v xml:space="preserve">;Increment axis scan starting position[EGU]gsu
#define	d2StartU	P2014	</v>
      </c>
      <c r="AD45" s="9" t="str">
        <f>IF(IFERROR(Q45&gt;0,FALSE),SUBSTITUTE(SUBSTITUTE(SUBSTITUTE(y_archiverXML,"~PVNAME",S45&amp;IF(LEN(X45)&lt;1,"",":RBV")),"~PREFIX",y_Prefix),"~PERIOD",Q45),"")</f>
        <v xml:space="preserve">      &lt;channel&gt;
         &lt;name&gt;SR05ID01FST01:RSCN:D2_START:RBV&lt;/name&gt;
         &lt;period&gt;30&lt;/period&gt;
         &lt;monitor/&gt;
      &lt;/channel&gt;</v>
      </c>
      <c r="AE45" s="20">
        <f>IF(OR(LEFT($I45)="e",LEFT($I45)="g"),AE$1-LEN(S45),"")</f>
        <v>3</v>
      </c>
      <c r="AF45" s="20">
        <f>IF(OR(LEFT($I45)="e",LEFT($I45)="g"),AF$1-LEN(T45),"")</f>
        <v>9</v>
      </c>
      <c r="AG45" s="20">
        <f>IF(OR(LEFT($I45)="e",LEFT($I45)="g"),AG$1-LEN(U45),"")</f>
        <v>8</v>
      </c>
      <c r="AH45" s="20">
        <f>IF(OR(LEFT($I45)="e",LEFT($I45)="g"),AH$1-LEN(V45),"")</f>
        <v>20</v>
      </c>
      <c r="AI45" s="2" t="str">
        <f>IF(ISNUMBER(E45),"0"&amp;LEFT(D45,2)&amp;TEXT(E45,"#.0000"),E45)</f>
        <v>P2014</v>
      </c>
    </row>
    <row r="46" spans="1:35" x14ac:dyDescent="0.3">
      <c r="A46" s="6" t="str">
        <f>IF(T46&lt;&gt;U46,"&lt;FIND TYPE=ASC&gt;"&amp;R46&amp;"&lt;/FIND&gt;&lt;REPLACE TYPE=ASC&gt;"&amp;S46&amp;"&lt;/REPLACE&gt;"&amp;CHAR(10)&amp;"&lt;FIND TYPE=ASC&gt;"&amp;T46&amp;"&lt;/FIND&gt;&lt;REPLACE TYPE=ASC&gt;"&amp;U46&amp;"&lt;/REPLACE&gt;"&amp;CHAR(10)&amp;"&lt;FIND TYPE=ASC&gt;"&amp;C46&amp;"&lt;/FIND&gt;&lt;REPLACE TYPE=ASC&gt;"&amp;D46&amp;"&lt;/REPLACE&gt;",".")</f>
        <v>&lt;FIND TYPE=ASC&gt;RSCN:D2_TOLRATIO&lt;/FIND&gt;&lt;REPLACE TYPE=ASC&gt;RSCN:D2_TOLRATIO&lt;/REPLACE&gt;
&lt;FIND TYPE=ASC&gt;d2TolRatio&lt;/FIND&gt;&lt;REPLACE TYPE=ASC&gt;d2TolRatioU&lt;/REPLACE&gt;
&lt;FIND TYPE=ASC&gt;d2_TolRatio&lt;/FIND&gt;&lt;REPLACE TYPE=ASC&gt;d2_TolRatio&lt;/REPLACE&gt;</v>
      </c>
      <c r="B46" s="7" t="s">
        <v>38</v>
      </c>
      <c r="C46" s="30" t="s">
        <v>600</v>
      </c>
      <c r="D46" s="7" t="s">
        <v>600</v>
      </c>
      <c r="E46" s="7" t="s">
        <v>599</v>
      </c>
      <c r="G46" s="8" t="s">
        <v>601</v>
      </c>
      <c r="H46" s="7" t="s">
        <v>43</v>
      </c>
      <c r="I46" s="7" t="s">
        <v>618</v>
      </c>
      <c r="J46" s="7" t="s">
        <v>169</v>
      </c>
      <c r="K46" s="7" t="s">
        <v>138</v>
      </c>
      <c r="L46" s="7" t="s">
        <v>69</v>
      </c>
      <c r="M46" s="7"/>
      <c r="N46" s="7">
        <v>-9999999</v>
      </c>
      <c r="O46" s="7">
        <v>9999999</v>
      </c>
      <c r="P46" s="7">
        <v>5</v>
      </c>
      <c r="Q46" s="7">
        <v>30</v>
      </c>
      <c r="R46" s="17" t="str">
        <f>UPPER(R$1&amp;":"&amp;C46)</f>
        <v>RSCN:D2_TOLRATIO</v>
      </c>
      <c r="S46" s="9" t="str">
        <f>UPPER(S$1&amp;":"&amp;D46)</f>
        <v>RSCN:D2_TOLRATIO</v>
      </c>
      <c r="T46" s="17" t="str">
        <f>SUBSTITUTE(C46,"_","")</f>
        <v>d2TolRatio</v>
      </c>
      <c r="U46" s="9" t="str">
        <f>SUBSTITUTE(D46,"_","")&amp;IF(RIGHT(I46)="u","U","")</f>
        <v>d2TolRatioU</v>
      </c>
      <c r="V46" s="9" t="str">
        <f>IF(ISNUMBER(K46),K46,"$(P):"&amp;$S$1&amp;":"&amp;K46)</f>
        <v>$(P):RSCN:ST_MONITOR</v>
      </c>
      <c r="W46" s="9" t="str">
        <f>IF(ISNUMBER(L46),L46,"$(P):"&amp;$S$1&amp;":"&amp;L46)</f>
        <v>$(P):RSCN:ST_NEVER</v>
      </c>
      <c r="X46" s="9" t="str">
        <f>IF(LEFT(I46)="g",IF(H46="real",y_pmacRascanGSVar,IF(H46="int",y_pmacRascanGSVar,"")),"")</f>
        <v>expand("pmacRascanGSVar.vdb", GSVar~VAR) {
  macro(VAR, "~VAR")
  macro(EGU, "~EGU")
  macro(P, "$(P)")
  macro(Q, ":~PVNAME")
  macro(PORT, "$(PORT)")
  macro(CanGet, "~CANGET")
  macro(CanSet, "~CANSET")
  macro(PREC, "$(PREC=~PREC)")
  macro(DESC,"~DESC")
}</v>
      </c>
      <c r="Y46" s="9" t="str">
        <f>SUBSTITUTE(SUBSTITUTE(SUBSTITUTE(SUBSTITUTE(SUBSTITUTE(SUBSTITUTE(SUBSTITUTE(X46,"~PVNAME",S46),"~EGU",J46),"~PREC",P46),"~VAR",E46),"~CANGET",V46),"~CANSET",W46),"~DESC",LEFT(G46,40))</f>
        <v>expand("pmacRascanGSVar.vdb", GSVarP2015) {
  macro(VAR, "P2015")
  macro(EGU, "EGU")
  macro(P, "$(P)")
  macro(Q, ":RSCN:D2_TOLRATIO")
  macro(PORT, "$(PORT)")
  macro(CanGet, "$(P):RSCN:ST_MONITOR")
  macro(CanSet, "$(P):RSCN:ST_NEVER")
  macro(PREC, "$(PREC=5)")
  macro(DESC,"Increment axis error band to step ratio")
}</v>
      </c>
      <c r="Z46" s="32" t="str">
        <f>IF(ISNUMBER($F46),SUBSTITUTE(SUBSTITUTE(SUBSTITUTE(SUBSTITUTE(SUBSTITUTE(SUBSTITUTE(SUBSTITUTE(SUBSTITUTE(y_QLabel &amp; y_QELabel &amp; IF($I46="gsu",y_QELineEdit,""),"~PVNAME",$S46),"~EGU",$J46),"~PREC",$P46),"~VAR",$E46),"~CANGET",$V46),"~CANSET",$W46),"~ROW",$F46),"~NAME",$D46),"")</f>
        <v/>
      </c>
      <c r="AA46" s="9" t="str">
        <f>VLOOKUP(H46,y_EPICS_Formats,2,FALSE)</f>
        <v>%f</v>
      </c>
      <c r="AB46" s="9" t="str">
        <f>IF(LEFT(I46)="g",y_Prefix&amp;S46&amp;" = ","")</f>
        <v xml:space="preserve">SR05ID01FST01:RSCN:D2_TOLRATIO = </v>
      </c>
      <c r="AC46" s="9" t="str">
        <f>IFERROR(";"&amp;G46&amp;"["&amp;J46&amp;"]"&amp;I46&amp;CHAR(10)&amp;B46 &amp;CHAR(9)&amp;U46&amp;CHAR(9)&amp;E46 &amp;CHAR(9),";;Error!")</f>
        <v xml:space="preserve">;Increment axis error band to step ratio[EGU]gsu
#define	d2TolRatioU	P2015	</v>
      </c>
      <c r="AD46" s="9" t="str">
        <f>IF(IFERROR(Q46&gt;0,FALSE),SUBSTITUTE(SUBSTITUTE(SUBSTITUTE(y_archiverXML,"~PVNAME",S46&amp;IF(LEN(X46)&lt;1,"",":RBV")),"~PREFIX",y_Prefix),"~PERIOD",Q46),"")</f>
        <v xml:space="preserve">      &lt;channel&gt;
         &lt;name&gt;SR05ID01FST01:RSCN:D2_TOLRATIO:RBV&lt;/name&gt;
         &lt;period&gt;30&lt;/period&gt;
         &lt;monitor/&gt;
      &lt;/channel&gt;</v>
      </c>
      <c r="AE46" s="20">
        <f>IF(OR(LEFT($I46)="e",LEFT($I46)="g"),AE$1-LEN(S46),"")</f>
        <v>0</v>
      </c>
      <c r="AF46" s="20">
        <f>IF(OR(LEFT($I46)="e",LEFT($I46)="g"),AF$1-LEN(T46),"")</f>
        <v>6</v>
      </c>
      <c r="AG46" s="20">
        <f>IF(OR(LEFT($I46)="e",LEFT($I46)="g"),AG$1-LEN(U46),"")</f>
        <v>5</v>
      </c>
      <c r="AH46" s="20">
        <f>IF(OR(LEFT($I46)="e",LEFT($I46)="g"),AH$1-LEN(V46),"")</f>
        <v>20</v>
      </c>
      <c r="AI46" s="2" t="str">
        <f>IF(ISNUMBER(E46),"0"&amp;LEFT(D46,2)&amp;TEXT(E46,"#.0000"),E46)</f>
        <v>P2015</v>
      </c>
    </row>
    <row r="47" spans="1:35" x14ac:dyDescent="0.3">
      <c r="A47" s="6" t="str">
        <f>IF(T47&lt;&gt;U47,"&lt;FIND TYPE=ASC&gt;"&amp;R47&amp;"&lt;/FIND&gt;&lt;REPLACE TYPE=ASC&gt;"&amp;S47&amp;"&lt;/REPLACE&gt;"&amp;CHAR(10)&amp;"&lt;FIND TYPE=ASC&gt;"&amp;T47&amp;"&lt;/FIND&gt;&lt;REPLACE TYPE=ASC&gt;"&amp;U47&amp;"&lt;/REPLACE&gt;"&amp;CHAR(10)&amp;"&lt;FIND TYPE=ASC&gt;"&amp;C47&amp;"&lt;/FIND&gt;&lt;REPLACE TYPE=ASC&gt;"&amp;D47&amp;"&lt;/REPLACE&gt;",".")</f>
        <v>&lt;FIND TYPE=ASC&gt;RSCN:CS_ANGLEXY&lt;/FIND&gt;&lt;REPLACE TYPE=ASC&gt;RSCN:CS_ANGLEXY&lt;/REPLACE&gt;
&lt;FIND TYPE=ASC&gt;csAngleXY&lt;/FIND&gt;&lt;REPLACE TYPE=ASC&gt;csAngleXYU&lt;/REPLACE&gt;
&lt;FIND TYPE=ASC&gt;cs_AngleXY&lt;/FIND&gt;&lt;REPLACE TYPE=ASC&gt;cs_AngleXY&lt;/REPLACE&gt;</v>
      </c>
      <c r="B47" s="7" t="s">
        <v>38</v>
      </c>
      <c r="C47" s="30" t="s">
        <v>605</v>
      </c>
      <c r="D47" s="7" t="s">
        <v>605</v>
      </c>
      <c r="E47" s="7" t="s">
        <v>604</v>
      </c>
      <c r="G47" s="8" t="s">
        <v>606</v>
      </c>
      <c r="H47" s="7" t="s">
        <v>43</v>
      </c>
      <c r="I47" s="7" t="s">
        <v>618</v>
      </c>
      <c r="J47" s="7" t="s">
        <v>45</v>
      </c>
      <c r="K47" s="7" t="s">
        <v>146</v>
      </c>
      <c r="L47" s="7" t="s">
        <v>157</v>
      </c>
      <c r="M47" s="7"/>
      <c r="N47" s="7">
        <v>0</v>
      </c>
      <c r="O47" s="7">
        <v>180</v>
      </c>
      <c r="P47" s="7">
        <v>3</v>
      </c>
      <c r="Q47" s="7">
        <v>30</v>
      </c>
      <c r="R47" s="17" t="str">
        <f>UPPER(R$1&amp;":"&amp;C47)</f>
        <v>RSCN:CS_ANGLEXY</v>
      </c>
      <c r="S47" s="9" t="str">
        <f>UPPER(S$1&amp;":"&amp;D47)</f>
        <v>RSCN:CS_ANGLEXY</v>
      </c>
      <c r="T47" s="17" t="str">
        <f>SUBSTITUTE(C47,"_","")</f>
        <v>csAngleXY</v>
      </c>
      <c r="U47" s="9" t="str">
        <f>SUBSTITUTE(D47,"_","")&amp;IF(RIGHT(I47)="u","U","")</f>
        <v>csAngleXYU</v>
      </c>
      <c r="V47" s="9" t="str">
        <f>IF(ISNUMBER(K47),K47,"$(P):"&amp;$S$1&amp;":"&amp;K47)</f>
        <v>$(P):RSCN:ST_ALWAYS</v>
      </c>
      <c r="W47" s="9" t="str">
        <f>IF(ISNUMBER(L47),L47,"$(P):"&amp;$S$1&amp;":"&amp;L47)</f>
        <v>$(P):RSCN:ST_GLOBAL</v>
      </c>
      <c r="X47" s="9" t="str">
        <f>IF(LEFT(I47)="g",IF(H47="real",y_pmacRascanGSVar,IF(H47="int",y_pmacRascanGSVar,"")),"")</f>
        <v>expand("pmacRascanGSVar.vdb", GSVar~VAR) {
  macro(VAR, "~VAR")
  macro(EGU, "~EGU")
  macro(P, "$(P)")
  macro(Q, ":~PVNAME")
  macro(PORT, "$(PORT)")
  macro(CanGet, "~CANGET")
  macro(CanSet, "~CANSET")
  macro(PREC, "$(PREC=~PREC)")
  macro(DESC,"~DESC")
}</v>
      </c>
      <c r="Y47" s="9" t="str">
        <f>SUBSTITUTE(SUBSTITUTE(SUBSTITUTE(SUBSTITUTE(SUBSTITUTE(SUBSTITUTE(SUBSTITUTE(X47,"~PVNAME",S47),"~EGU",J47),"~PREC",P47),"~VAR",E47),"~CANGET",V47),"~CANSET",W47),"~DESC",LEFT(G47,40))</f>
        <v>expand("pmacRascanGSVar.vdb", GSVarP2017) {
  macro(VAR, "P2017")
  macro(EGU, "deg")
  macro(P, "$(P)")
  macro(Q, ":RSCN:CS_ANGLEXY")
  macro(PORT, "$(PORT)")
  macro(CanGet, "$(P):RSCN:ST_ALWAYS")
  macro(CanSet, "$(P):RSCN:ST_GLOBAL")
  macro(PREC, "$(PREC=3)")
  macro(DESC,"X-Y scan angle")
}</v>
      </c>
      <c r="Z47" s="32" t="str">
        <f>IF(ISNUMBER($F47),SUBSTITUTE(SUBSTITUTE(SUBSTITUTE(SUBSTITUTE(SUBSTITUTE(SUBSTITUTE(SUBSTITUTE(SUBSTITUTE(y_QLabel &amp; y_QELabel &amp; IF($I47="gsu",y_QELineEdit,""),"~PVNAME",$S47),"~EGU",$J47),"~PREC",$P47),"~VAR",$E47),"~CANGET",$V47),"~CANSET",$W47),"~ROW",$F47),"~NAME",$D47),"")</f>
        <v/>
      </c>
      <c r="AA47" s="9" t="str">
        <f>VLOOKUP(H47,y_EPICS_Formats,2,FALSE)</f>
        <v>%f</v>
      </c>
      <c r="AB47" s="9" t="str">
        <f>IF(LEFT(I47)="g",y_Prefix&amp;S47&amp;" = ","")</f>
        <v xml:space="preserve">SR05ID01FST01:RSCN:CS_ANGLEXY = </v>
      </c>
      <c r="AC47" s="9" t="str">
        <f>IFERROR(";"&amp;G47&amp;"["&amp;J47&amp;"]"&amp;I47&amp;CHAR(10)&amp;B47 &amp;CHAR(9)&amp;U47&amp;CHAR(9)&amp;E47 &amp;CHAR(9),";;Error!")</f>
        <v xml:space="preserve">;X-Y scan angle[deg]gsu
#define	csAngleXYU	P2017	</v>
      </c>
      <c r="AD47" s="9" t="str">
        <f>IF(IFERROR(Q47&gt;0,FALSE),SUBSTITUTE(SUBSTITUTE(SUBSTITUTE(y_archiverXML,"~PVNAME",S47&amp;IF(LEN(X47)&lt;1,"",":RBV")),"~PREFIX",y_Prefix),"~PERIOD",Q47),"")</f>
        <v xml:space="preserve">      &lt;channel&gt;
         &lt;name&gt;SR05ID01FST01:RSCN:CS_ANGLEXY:RBV&lt;/name&gt;
         &lt;period&gt;30&lt;/period&gt;
         &lt;monitor/&gt;
      &lt;/channel&gt;</v>
      </c>
      <c r="AE47" s="20">
        <f>IF(OR(LEFT($I47)="e",LEFT($I47)="g"),AE$1-LEN(S47),"")</f>
        <v>1</v>
      </c>
      <c r="AF47" s="20">
        <f>IF(OR(LEFT($I47)="e",LEFT($I47)="g"),AF$1-LEN(T47),"")</f>
        <v>7</v>
      </c>
      <c r="AG47" s="20">
        <f>IF(OR(LEFT($I47)="e",LEFT($I47)="g"),AG$1-LEN(U47),"")</f>
        <v>6</v>
      </c>
      <c r="AH47" s="20">
        <f>IF(OR(LEFT($I47)="e",LEFT($I47)="g"),AH$1-LEN(V47),"")</f>
        <v>21</v>
      </c>
      <c r="AI47" s="2" t="str">
        <f>IF(ISNUMBER(E47),"0"&amp;LEFT(D47,2)&amp;TEXT(E47,"#.0000"),E47)</f>
        <v>P2017</v>
      </c>
    </row>
    <row r="48" spans="1:35" ht="29.25" x14ac:dyDescent="0.3">
      <c r="A48" s="6" t="str">
        <f>IF(T48&lt;&gt;U48,"&lt;FIND TYPE=ASC&gt;"&amp;R48&amp;"&lt;/FIND&gt;&lt;REPLACE TYPE=ASC&gt;"&amp;S48&amp;"&lt;/REPLACE&gt;"&amp;CHAR(10)&amp;"&lt;FIND TYPE=ASC&gt;"&amp;T48&amp;"&lt;/FIND&gt;&lt;REPLACE TYPE=ASC&gt;"&amp;U48&amp;"&lt;/REPLACE&gt;"&amp;CHAR(10)&amp;"&lt;FIND TYPE=ASC&gt;"&amp;C48&amp;"&lt;/FIND&gt;&lt;REPLACE TYPE=ASC&gt;"&amp;D48&amp;"&lt;/REPLACE&gt;",".")</f>
        <v>.</v>
      </c>
      <c r="B48" s="7" t="s">
        <v>38</v>
      </c>
      <c r="C48" s="30" t="s">
        <v>567</v>
      </c>
      <c r="D48" s="7" t="s">
        <v>567</v>
      </c>
      <c r="E48" s="7" t="s">
        <v>93</v>
      </c>
      <c r="F48" s="3">
        <v>1</v>
      </c>
      <c r="G48" s="8" t="s">
        <v>141</v>
      </c>
      <c r="H48" s="7" t="s">
        <v>68</v>
      </c>
      <c r="I48" s="7" t="s">
        <v>46</v>
      </c>
      <c r="J48" s="7"/>
      <c r="K48" s="7" t="s">
        <v>136</v>
      </c>
      <c r="L48" s="7" t="s">
        <v>69</v>
      </c>
      <c r="M48" s="7"/>
      <c r="N48" s="7">
        <v>0</v>
      </c>
      <c r="O48" s="7">
        <v>9</v>
      </c>
      <c r="P48" s="7">
        <v>0</v>
      </c>
      <c r="Q48" s="7">
        <v>0.5</v>
      </c>
      <c r="R48" s="17" t="str">
        <f>UPPER(R$1&amp;":"&amp;C48)</f>
        <v>RSCN:DEV_STATE</v>
      </c>
      <c r="S48" s="9" t="str">
        <f>UPPER(S$1&amp;":"&amp;D48)</f>
        <v>RSCN:DEV_STATE</v>
      </c>
      <c r="T48" s="17" t="str">
        <f>SUBSTITUTE(C48,"_","")</f>
        <v>devState</v>
      </c>
      <c r="U48" s="9" t="str">
        <f>SUBSTITUTE(D48,"_","")&amp;IF(RIGHT(I48)="u","U","")</f>
        <v>devState</v>
      </c>
      <c r="V48" s="9" t="str">
        <f>IF(ISNUMBER(K48),K48,"$(P):"&amp;$S$1&amp;":"&amp;K48)</f>
        <v>$(P):RSCN:ST_INPROG</v>
      </c>
      <c r="W48" s="9" t="str">
        <f>IF(ISNUMBER(L48),L48,"$(P):"&amp;$S$1&amp;":"&amp;L48)</f>
        <v>$(P):RSCN:ST_NEVER</v>
      </c>
      <c r="X48" s="9" t="str">
        <f>IF(LEFT(I48)="g",IF(H48="real",y_pmacRascanGSVar,IF(H48="int",y_pmacRascanGSVar,"")),"")</f>
        <v/>
      </c>
      <c r="Y48" s="9" t="str">
        <f>SUBSTITUTE(SUBSTITUTE(SUBSTITUTE(SUBSTITUTE(SUBSTITUTE(SUBSTITUTE(SUBSTITUTE(X48,"~PVNAME",S48),"~EGU",J48),"~PREC",P48),"~VAR",E48),"~CANGET",V48),"~CANSET",W48),"~DESC",LEFT(G48,40))</f>
        <v/>
      </c>
      <c r="Z48" s="32" t="str">
        <f>IF(ISNUMBER($F48),SUBSTITUTE(SUBSTITUTE(SUBSTITUTE(SUBSTITUTE(SUBSTITUTE(SUBSTITUTE(SUBSTITUTE(SUBSTITUTE(y_QLabel &amp; y_QELabel &amp; IF($I48="gsu",y_QELineEdit,""),"~PVNAME",$S48),"~EGU",$J48),"~PREC",$P48),"~VAR",$E48),"~CANGET",$V48),"~CANSET",$W48),"~ROW",$F48),"~NAME",$D48),"")</f>
        <v>&lt;item row="1" column="0"&gt;
            &lt;widget class="QLabel" name="L_P2040"&gt;
             &lt;property name="sizePolicy"&gt;
              &lt;sizepolicy hsizetype="MinimumExpanding" vsizetype="Preferred"&gt;
               &lt;horstretch&gt;0&lt;/horstretch&gt;
               &lt;verstretch&gt;0&lt;/verstretch&gt;
              &lt;/sizepolicy&gt;
             &lt;/property&gt;
             &lt;property name="minimumSize"&gt;
              &lt;size&gt;
               &lt;width&gt;88&lt;/width&gt;
               &lt;height&gt;8&lt;/height&gt;
              &lt;/size&gt;
             &lt;/property&gt;
             &lt;property name="text"&gt;
              &lt;string&gt;dev_State&lt;/string&gt;
             &lt;/property&gt;
            &lt;/widget&gt;
           &lt;/item&gt;&lt;item row="1" column="1"&gt;
            &lt;widget class="QELabel" name="QL_P2040"&gt;
             &lt;property name="variable" stdset="0"&gt;
              &lt;string&gt;"SR99ID01FST01:RSCN:DEV_STATE:SYNC"&lt;/string&gt;
             &lt;/property&gt;
            &lt;/widget&gt;
           &lt;/item&gt;</v>
      </c>
      <c r="AA48" s="9" t="e">
        <f>VLOOKUP(H48,y_EPICS_Formats,2,FALSE)</f>
        <v>#N/A</v>
      </c>
      <c r="AB48" s="9" t="str">
        <f>IF(LEFT(I48)="g",y_Prefix&amp;S48&amp;" = ","")</f>
        <v xml:space="preserve">SR05ID01FST01:RSCN:DEV_STATE = </v>
      </c>
      <c r="AC48" s="9" t="str">
        <f>IFERROR(";"&amp;G48&amp;"["&amp;J48&amp;"]"&amp;I48&amp;CHAR(10)&amp;B48 &amp;CHAR(9)&amp;U48&amp;CHAR(9)&amp;E48 &amp;CHAR(9),";;Error!")</f>
        <v xml:space="preserve">;Scan state word[]g
#define	devState	P2040	</v>
      </c>
      <c r="AD48" s="9" t="str">
        <f>IF(IFERROR(Q48&gt;0,FALSE),SUBSTITUTE(SUBSTITUTE(SUBSTITUTE(y_archiverXML,"~PVNAME",S48&amp;IF(LEN(X48)&lt;1,"",":RBV")),"~PREFIX",y_Prefix),"~PERIOD",Q48),"")</f>
        <v xml:space="preserve">      &lt;channel&gt;
         &lt;name&gt;SR05ID01FST01:RSCN:DEV_STATE&lt;/name&gt;
         &lt;period&gt;0.5&lt;/period&gt;
         &lt;monitor/&gt;
      &lt;/channel&gt;</v>
      </c>
      <c r="AE48" s="20">
        <f>IF(OR(LEFT($I48)="e",LEFT($I48)="g"),AE$1-LEN(S48),"")</f>
        <v>2</v>
      </c>
      <c r="AF48" s="20">
        <f>IF(OR(LEFT($I48)="e",LEFT($I48)="g"),AF$1-LEN(T48),"")</f>
        <v>8</v>
      </c>
      <c r="AG48" s="20">
        <f>IF(OR(LEFT($I48)="e",LEFT($I48)="g"),AG$1-LEN(U48),"")</f>
        <v>8</v>
      </c>
      <c r="AH48" s="20">
        <f>IF(OR(LEFT($I48)="e",LEFT($I48)="g"),AH$1-LEN(V48),"")</f>
        <v>21</v>
      </c>
      <c r="AI48" s="2" t="str">
        <f>IF(ISNUMBER(E48),"0"&amp;LEFT(D48,2)&amp;TEXT(E48,"#.0000"),E48)</f>
        <v>P2040</v>
      </c>
    </row>
    <row r="49" spans="1:35" x14ac:dyDescent="0.3">
      <c r="A49" s="6" t="str">
        <f>IF(T49&lt;&gt;U49,"&lt;FIND TYPE=ASC&gt;"&amp;R49&amp;"&lt;/FIND&gt;&lt;REPLACE TYPE=ASC&gt;"&amp;S49&amp;"&lt;/REPLACE&gt;"&amp;CHAR(10)&amp;"&lt;FIND TYPE=ASC&gt;"&amp;T49&amp;"&lt;/FIND&gt;&lt;REPLACE TYPE=ASC&gt;"&amp;U49&amp;"&lt;/REPLACE&gt;"&amp;CHAR(10)&amp;"&lt;FIND TYPE=ASC&gt;"&amp;C49&amp;"&lt;/FIND&gt;&lt;REPLACE TYPE=ASC&gt;"&amp;D49&amp;"&lt;/REPLACE&gt;",".")</f>
        <v>&lt;FIND TYPE=ASC&gt;RSCN:LINE_N&lt;/FIND&gt;&lt;REPLACE TYPE=ASC&gt;RSCN:LINE_N&lt;/REPLACE&gt;
&lt;FIND TYPE=ASC&gt;lineN&lt;/FIND&gt;&lt;REPLACE TYPE=ASC&gt;lineNU&lt;/REPLACE&gt;
&lt;FIND TYPE=ASC&gt;line_N&lt;/FIND&gt;&lt;REPLACE TYPE=ASC&gt;line_N&lt;/REPLACE&gt;</v>
      </c>
      <c r="B49" s="7" t="s">
        <v>38</v>
      </c>
      <c r="C49" s="30" t="s">
        <v>534</v>
      </c>
      <c r="D49" s="7" t="s">
        <v>534</v>
      </c>
      <c r="E49" s="7" t="s">
        <v>94</v>
      </c>
      <c r="F49" s="3">
        <v>3</v>
      </c>
      <c r="G49" s="8" t="s">
        <v>529</v>
      </c>
      <c r="H49" s="7" t="s">
        <v>41</v>
      </c>
      <c r="I49" s="7" t="s">
        <v>618</v>
      </c>
      <c r="J49" s="7"/>
      <c r="K49" s="7" t="s">
        <v>136</v>
      </c>
      <c r="L49" s="7" t="s">
        <v>137</v>
      </c>
      <c r="M49" s="7"/>
      <c r="N49" s="7">
        <v>1</v>
      </c>
      <c r="O49" s="7">
        <f>y_MaxPmacInt</f>
        <v>140737488355328</v>
      </c>
      <c r="P49" s="7">
        <v>0</v>
      </c>
      <c r="Q49" s="7">
        <v>1</v>
      </c>
      <c r="R49" s="17" t="str">
        <f>UPPER(R$1&amp;":"&amp;C49)</f>
        <v>RSCN:LINE_N</v>
      </c>
      <c r="S49" s="9" t="str">
        <f>UPPER(S$1&amp;":"&amp;D49)</f>
        <v>RSCN:LINE_N</v>
      </c>
      <c r="T49" s="17" t="str">
        <f>SUBSTITUTE(C49,"_","")</f>
        <v>lineN</v>
      </c>
      <c r="U49" s="9" t="str">
        <f>SUBSTITUTE(D49,"_","")&amp;IF(RIGHT(I49)="u","U","")</f>
        <v>lineNU</v>
      </c>
      <c r="V49" s="9" t="str">
        <f>IF(ISNUMBER(K49),K49,"$(P):"&amp;$S$1&amp;":"&amp;K49)</f>
        <v>$(P):RSCN:ST_INPROG</v>
      </c>
      <c r="W49" s="9" t="str">
        <f>IF(ISNUMBER(L49),L49,"$(P):"&amp;$S$1&amp;":"&amp;L49)</f>
        <v>$(P):RSCN:ST_TRAJSET</v>
      </c>
      <c r="X49" s="9" t="str">
        <f>IF(LEFT(I49)="g",IF(H49="real",y_pmacRascanGSVar,IF(H49="int",y_pmacRascanGSVar,"")),"")</f>
        <v>expand("pmacRascanGSVar.vdb", GSVar~VAR) {
  macro(VAR, "~VAR")
  macro(EGU, "~EGU")
  macro(P, "$(P)")
  macro(Q, ":~PVNAME")
  macro(PORT, "$(PORT)")
  macro(CanGet, "~CANGET")
  macro(CanSet, "~CANSET")
  macro(PREC, "$(PREC=~PREC)")
  macro(DESC,"~DESC")
}</v>
      </c>
      <c r="Y49" s="9" t="str">
        <f>SUBSTITUTE(SUBSTITUTE(SUBSTITUTE(SUBSTITUTE(SUBSTITUTE(SUBSTITUTE(SUBSTITUTE(X49,"~PVNAME",S49),"~EGU",J49),"~PREC",P49),"~VAR",E49),"~CANGET",V49),"~CANSET",W49),"~DESC",LEFT(G49,40))</f>
        <v>expand("pmacRascanGSVar.vdb", GSVarP2041) {
  macro(VAR, "P2041")
  macro(EGU, "")
  macro(P, "$(P)")
  macro(Q, ":RSCN:LINE_N")
  macro(PORT, "$(PORT)")
  macro(CanGet, "$(P):RSCN:ST_INPROG")
  macro(CanSet, "$(P):RSCN:ST_TRAJSET")
  macro(PREC, "$(PREC=0)")
  macro(DESC,"Current scan line")
}</v>
      </c>
      <c r="Z49" s="32" t="str">
        <f>IF(ISNUMBER($F49),SUBSTITUTE(SUBSTITUTE(SUBSTITUTE(SUBSTITUTE(SUBSTITUTE(SUBSTITUTE(SUBSTITUTE(SUBSTITUTE(y_QLabel &amp; y_QELabel &amp; IF($I49="gsu",y_QELineEdit,""),"~PVNAME",$S49),"~EGU",$J49),"~PREC",$P49),"~VAR",$E49),"~CANGET",$V49),"~CANSET",$W49),"~ROW",$F49),"~NAME",$D49),"")</f>
        <v>&lt;item row="3" column="0"&gt;
            &lt;widget class="QLabel" name="L_P2041"&gt;
             &lt;property name="sizePolicy"&gt;
              &lt;sizepolicy hsizetype="MinimumExpanding" vsizetype="Preferred"&gt;
               &lt;horstretch&gt;0&lt;/horstretch&gt;
               &lt;verstretch&gt;0&lt;/verstretch&gt;
              &lt;/sizepolicy&gt;
             &lt;/property&gt;
             &lt;property name="minimumSize"&gt;
              &lt;size&gt;
               &lt;width&gt;88&lt;/width&gt;
               &lt;height&gt;8&lt;/height&gt;
              &lt;/size&gt;
             &lt;/property&gt;
             &lt;property name="text"&gt;
              &lt;string&gt;line_N&lt;/string&gt;
             &lt;/property&gt;
            &lt;/widget&gt;
           &lt;/item&gt;&lt;item row="3" column="1"&gt;
            &lt;widget class="QELabel" name="QL_P2041"&gt;
             &lt;property name="variable" stdset="0"&gt;
              &lt;string&gt;"SR99ID01FST01:RSCN:LINE_N:SYNC"&lt;/string&gt;
             &lt;/property&gt;
            &lt;/widget&gt;
           &lt;/item&gt;&lt;item row="3" column="2"&gt;
            &lt;widget class="QELineEdit" name="QLD_P2041"&gt;
             &lt;property name="variable" stdset="0"&gt;
              &lt;string&gt;"SR99ID01FST01:RSCN:LINE_N"&lt;/string&gt;
             &lt;/property&gt;
            &lt;/widget&gt;
           &lt;/item&gt;</v>
      </c>
      <c r="AA49" s="9" t="str">
        <f>VLOOKUP(H49,y_EPICS_Formats,2,FALSE)</f>
        <v>%d</v>
      </c>
      <c r="AB49" s="9" t="str">
        <f>IF(LEFT(I49)="g",y_Prefix&amp;S49&amp;" = ","")</f>
        <v xml:space="preserve">SR05ID01FST01:RSCN:LINE_N = </v>
      </c>
      <c r="AC49" s="9" t="str">
        <f>IFERROR(";"&amp;G49&amp;"["&amp;J49&amp;"]"&amp;I49&amp;CHAR(10)&amp;B49 &amp;CHAR(9)&amp;U49&amp;CHAR(9)&amp;E49 &amp;CHAR(9),";;Error!")</f>
        <v xml:space="preserve">;Current scan line[]gsu
#define	lineNU	P2041	</v>
      </c>
      <c r="AD49" s="9" t="str">
        <f>IF(IFERROR(Q49&gt;0,FALSE),SUBSTITUTE(SUBSTITUTE(SUBSTITUTE(y_archiverXML,"~PVNAME",S49&amp;IF(LEN(X49)&lt;1,"",":RBV")),"~PREFIX",y_Prefix),"~PERIOD",Q49),"")</f>
        <v xml:space="preserve">      &lt;channel&gt;
         &lt;name&gt;SR05ID01FST01:RSCN:LINE_N:RBV&lt;/name&gt;
         &lt;period&gt;1&lt;/period&gt;
         &lt;monitor/&gt;
      &lt;/channel&gt;</v>
      </c>
      <c r="AE49" s="20">
        <f>IF(OR(LEFT($I49)="e",LEFT($I49)="g"),AE$1-LEN(S49),"")</f>
        <v>5</v>
      </c>
      <c r="AF49" s="20">
        <f>IF(OR(LEFT($I49)="e",LEFT($I49)="g"),AF$1-LEN(T49),"")</f>
        <v>11</v>
      </c>
      <c r="AG49" s="20">
        <f>IF(OR(LEFT($I49)="e",LEFT($I49)="g"),AG$1-LEN(U49),"")</f>
        <v>10</v>
      </c>
      <c r="AH49" s="20">
        <f>IF(OR(LEFT($I49)="e",LEFT($I49)="g"),AH$1-LEN(V49),"")</f>
        <v>21</v>
      </c>
      <c r="AI49" s="2" t="str">
        <f>IF(ISNUMBER(E49),"0"&amp;LEFT(D49,2)&amp;TEXT(E49,"#.0000"),E49)</f>
        <v>P2041</v>
      </c>
    </row>
    <row r="50" spans="1:35" x14ac:dyDescent="0.3">
      <c r="A50" s="6" t="str">
        <f>IF(T50&lt;&gt;U50,"&lt;FIND TYPE=ASC&gt;"&amp;R50&amp;"&lt;/FIND&gt;&lt;REPLACE TYPE=ASC&gt;"&amp;S50&amp;"&lt;/REPLACE&gt;"&amp;CHAR(10)&amp;"&lt;FIND TYPE=ASC&gt;"&amp;T50&amp;"&lt;/FIND&gt;&lt;REPLACE TYPE=ASC&gt;"&amp;U50&amp;"&lt;/REPLACE&gt;"&amp;CHAR(10)&amp;"&lt;FIND TYPE=ASC&gt;"&amp;C50&amp;"&lt;/FIND&gt;&lt;REPLACE TYPE=ASC&gt;"&amp;D50&amp;"&lt;/REPLACE&gt;",".")</f>
        <v>.</v>
      </c>
      <c r="B50" s="7" t="s">
        <v>38</v>
      </c>
      <c r="C50" s="30" t="s">
        <v>569</v>
      </c>
      <c r="D50" s="7" t="s">
        <v>569</v>
      </c>
      <c r="E50" s="7" t="s">
        <v>95</v>
      </c>
      <c r="F50" s="3">
        <v>3</v>
      </c>
      <c r="G50" s="8" t="s">
        <v>143</v>
      </c>
      <c r="H50" s="7" t="s">
        <v>43</v>
      </c>
      <c r="I50" s="7" t="s">
        <v>46</v>
      </c>
      <c r="J50" s="7" t="s">
        <v>73</v>
      </c>
      <c r="K50" s="7" t="s">
        <v>138</v>
      </c>
      <c r="L50" s="7" t="s">
        <v>69</v>
      </c>
      <c r="M50" s="7"/>
      <c r="N50" s="7">
        <v>1E-3</v>
      </c>
      <c r="O50" s="7">
        <v>4</v>
      </c>
      <c r="P50" s="7">
        <v>4</v>
      </c>
      <c r="Q50" s="7">
        <v>30</v>
      </c>
      <c r="R50" s="17" t="str">
        <f>UPPER(R$1&amp;":"&amp;C50)</f>
        <v>RSCN:T_MID</v>
      </c>
      <c r="S50" s="9" t="str">
        <f>UPPER(S$1&amp;":"&amp;D50)</f>
        <v>RSCN:T_MID</v>
      </c>
      <c r="T50" s="17" t="str">
        <f>SUBSTITUTE(C50,"_","")</f>
        <v>tMid</v>
      </c>
      <c r="U50" s="9" t="str">
        <f>SUBSTITUTE(D50,"_","")&amp;IF(RIGHT(I50)="u","U","")</f>
        <v>tMid</v>
      </c>
      <c r="V50" s="9" t="str">
        <f>IF(ISNUMBER(K50),K50,"$(P):"&amp;$S$1&amp;":"&amp;K50)</f>
        <v>$(P):RSCN:ST_MONITOR</v>
      </c>
      <c r="W50" s="9" t="str">
        <f>IF(ISNUMBER(L50),L50,"$(P):"&amp;$S$1&amp;":"&amp;L50)</f>
        <v>$(P):RSCN:ST_NEVER</v>
      </c>
      <c r="X50" s="9" t="str">
        <f>IF(LEFT(I50)="g",IF(H50="real",y_pmacRascanGSVar,IF(H50="int",y_pmacRascanGSVar,"")),"")</f>
        <v>expand("pmacRascanGSVar.vdb", GSVar~VAR) {
  macro(VAR, "~VAR")
  macro(EGU, "~EGU")
  macro(P, "$(P)")
  macro(Q, ":~PVNAME")
  macro(PORT, "$(PORT)")
  macro(CanGet, "~CANGET")
  macro(CanSet, "~CANSET")
  macro(PREC, "$(PREC=~PREC)")
  macro(DESC,"~DESC")
}</v>
      </c>
      <c r="Y50" s="9" t="str">
        <f>SUBSTITUTE(SUBSTITUTE(SUBSTITUTE(SUBSTITUTE(SUBSTITUTE(SUBSTITUTE(SUBSTITUTE(X50,"~PVNAME",S50),"~EGU",J50),"~PREC",P50),"~VAR",E50),"~CANGET",V50),"~CANSET",W50),"~DESC",LEFT(G50,40))</f>
        <v>expand("pmacRascanGSVar.vdb", GSVarP2042) {
  macro(VAR, "P2042")
  macro(EGU, "s")
  macro(P, "$(P)")
  macro(Q, ":RSCN:T_MID")
  macro(PORT, "$(PORT)")
  macro(CanGet, "$(P):RSCN:ST_MONITOR")
  macro(CanSet, "$(P):RSCN:ST_NEVER")
  macro(PREC, "$(PREC=4)")
  macro(DESC,"Scanline total time including inner-skip")
}</v>
      </c>
      <c r="Z50" s="32" t="str">
        <f>IF(ISNUMBER($F50),SUBSTITUTE(SUBSTITUTE(SUBSTITUTE(SUBSTITUTE(SUBSTITUTE(SUBSTITUTE(SUBSTITUTE(SUBSTITUTE(y_QLabel &amp; y_QELabel &amp; IF($I50="gsu",y_QELineEdit,""),"~PVNAME",$S50),"~EGU",$J50),"~PREC",$P50),"~VAR",$E50),"~CANGET",$V50),"~CANSET",$W50),"~ROW",$F50),"~NAME",$D50),"")</f>
        <v>&lt;item row="3" column="0"&gt;
            &lt;widget class="QLabel" name="L_P2042"&gt;
             &lt;property name="sizePolicy"&gt;
              &lt;sizepolicy hsizetype="MinimumExpanding" vsizetype="Preferred"&gt;
               &lt;horstretch&gt;0&lt;/horstretch&gt;
               &lt;verstretch&gt;0&lt;/verstretch&gt;
              &lt;/sizepolicy&gt;
             &lt;/property&gt;
             &lt;property name="minimumSize"&gt;
              &lt;size&gt;
               &lt;width&gt;88&lt;/width&gt;
               &lt;height&gt;8&lt;/height&gt;
              &lt;/size&gt;
             &lt;/property&gt;
             &lt;property name="text"&gt;
              &lt;string&gt;t_Mid&lt;/string&gt;
             &lt;/property&gt;
            &lt;/widget&gt;
           &lt;/item&gt;&lt;item row="3" column="1"&gt;
            &lt;widget class="QELabel" name="QL_P2042"&gt;
             &lt;property name="variable" stdset="0"&gt;
              &lt;string&gt;"SR99ID01FST01:RSCN:T_MID:SYNC"&lt;/string&gt;
             &lt;/property&gt;
            &lt;/widget&gt;
           &lt;/item&gt;</v>
      </c>
      <c r="AA50" s="9" t="str">
        <f>VLOOKUP(H50,y_EPICS_Formats,2,FALSE)</f>
        <v>%f</v>
      </c>
      <c r="AB50" s="9" t="str">
        <f>IF(LEFT(I50)="g",y_Prefix&amp;S50&amp;" = ","")</f>
        <v xml:space="preserve">SR05ID01FST01:RSCN:T_MID = </v>
      </c>
      <c r="AC50" s="9" t="str">
        <f>IFERROR(";"&amp;G50&amp;"["&amp;J50&amp;"]"&amp;I50&amp;CHAR(10)&amp;B50 &amp;CHAR(9)&amp;U50&amp;CHAR(9)&amp;E50 &amp;CHAR(9),";;Error!")</f>
        <v xml:space="preserve">;Scanline total time including inner-skip[s]g
#define	tMid	P2042	</v>
      </c>
      <c r="AD50" s="9" t="str">
        <f>IF(IFERROR(Q50&gt;0,FALSE),SUBSTITUTE(SUBSTITUTE(SUBSTITUTE(y_archiverXML,"~PVNAME",S50&amp;IF(LEN(X50)&lt;1,"",":RBV")),"~PREFIX",y_Prefix),"~PERIOD",Q50),"")</f>
        <v xml:space="preserve">      &lt;channel&gt;
         &lt;name&gt;SR05ID01FST01:RSCN:T_MID:RBV&lt;/name&gt;
         &lt;period&gt;30&lt;/period&gt;
         &lt;monitor/&gt;
      &lt;/channel&gt;</v>
      </c>
      <c r="AE50" s="20">
        <f>IF(OR(LEFT($I50)="e",LEFT($I50)="g"),AE$1-LEN(S50),"")</f>
        <v>6</v>
      </c>
      <c r="AF50" s="20">
        <f>IF(OR(LEFT($I50)="e",LEFT($I50)="g"),AF$1-LEN(T50),"")</f>
        <v>12</v>
      </c>
      <c r="AG50" s="20">
        <f>IF(OR(LEFT($I50)="e",LEFT($I50)="g"),AG$1-LEN(U50),"")</f>
        <v>12</v>
      </c>
      <c r="AH50" s="20">
        <f>IF(OR(LEFT($I50)="e",LEFT($I50)="g"),AH$1-LEN(V50),"")</f>
        <v>20</v>
      </c>
      <c r="AI50" s="2" t="str">
        <f>IF(ISNUMBER(E50),"0"&amp;LEFT(D50,2)&amp;TEXT(E50,"#.0000"),E50)</f>
        <v>P2042</v>
      </c>
    </row>
    <row r="51" spans="1:35" x14ac:dyDescent="0.3">
      <c r="A51" s="6" t="str">
        <f>IF(T51&lt;&gt;U51,"&lt;FIND TYPE=ASC&gt;"&amp;R51&amp;"&lt;/FIND&gt;&lt;REPLACE TYPE=ASC&gt;"&amp;S51&amp;"&lt;/REPLACE&gt;"&amp;CHAR(10)&amp;"&lt;FIND TYPE=ASC&gt;"&amp;T51&amp;"&lt;/FIND&gt;&lt;REPLACE TYPE=ASC&gt;"&amp;U51&amp;"&lt;/REPLACE&gt;"&amp;CHAR(10)&amp;"&lt;FIND TYPE=ASC&gt;"&amp;C51&amp;"&lt;/FIND&gt;&lt;REPLACE TYPE=ASC&gt;"&amp;D51&amp;"&lt;/REPLACE&gt;",".")</f>
        <v>.</v>
      </c>
      <c r="B51" s="7" t="s">
        <v>38</v>
      </c>
      <c r="C51" s="30" t="s">
        <v>535</v>
      </c>
      <c r="D51" s="7" t="s">
        <v>535</v>
      </c>
      <c r="E51" s="7" t="s">
        <v>96</v>
      </c>
      <c r="F51" s="3">
        <v>4</v>
      </c>
      <c r="G51" s="8" t="s">
        <v>142</v>
      </c>
      <c r="H51" s="7" t="s">
        <v>43</v>
      </c>
      <c r="I51" s="7" t="s">
        <v>46</v>
      </c>
      <c r="J51" s="7" t="s">
        <v>73</v>
      </c>
      <c r="K51" s="7" t="s">
        <v>138</v>
      </c>
      <c r="L51" s="7" t="s">
        <v>69</v>
      </c>
      <c r="M51" s="7"/>
      <c r="N51" s="7">
        <v>1E-3</v>
      </c>
      <c r="O51" s="7">
        <v>4</v>
      </c>
      <c r="P51" s="7">
        <v>4</v>
      </c>
      <c r="Q51" s="7">
        <v>30</v>
      </c>
      <c r="R51" s="17" t="str">
        <f>UPPER(R$1&amp;":"&amp;C51)</f>
        <v>RSCN:T_OUT</v>
      </c>
      <c r="S51" s="9" t="str">
        <f>UPPER(S$1&amp;":"&amp;D51)</f>
        <v>RSCN:T_OUT</v>
      </c>
      <c r="T51" s="17" t="str">
        <f>SUBSTITUTE(C51,"_","")</f>
        <v>tOut</v>
      </c>
      <c r="U51" s="9" t="str">
        <f>SUBSTITUTE(D51,"_","")&amp;IF(RIGHT(I51)="u","U","")</f>
        <v>tOut</v>
      </c>
      <c r="V51" s="9" t="str">
        <f>IF(ISNUMBER(K51),K51,"$(P):"&amp;$S$1&amp;":"&amp;K51)</f>
        <v>$(P):RSCN:ST_MONITOR</v>
      </c>
      <c r="W51" s="9" t="str">
        <f>IF(ISNUMBER(L51),L51,"$(P):"&amp;$S$1&amp;":"&amp;L51)</f>
        <v>$(P):RSCN:ST_NEVER</v>
      </c>
      <c r="X51" s="9" t="str">
        <f>IF(LEFT(I51)="g",IF(H51="real",y_pmacRascanGSVar,IF(H51="int",y_pmacRascanGSVar,"")),"")</f>
        <v>expand("pmacRascanGSVar.vdb", GSVar~VAR) {
  macro(VAR, "~VAR")
  macro(EGU, "~EGU")
  macro(P, "$(P)")
  macro(Q, ":~PVNAME")
  macro(PORT, "$(PORT)")
  macro(CanGet, "~CANGET")
  macro(CanSet, "~CANSET")
  macro(PREC, "$(PREC=~PREC)")
  macro(DESC,"~DESC")
}</v>
      </c>
      <c r="Y51" s="9" t="str">
        <f>SUBSTITUTE(SUBSTITUTE(SUBSTITUTE(SUBSTITUTE(SUBSTITUTE(SUBSTITUTE(SUBSTITUTE(X51,"~PVNAME",S51),"~EGU",J51),"~PREC",P51),"~VAR",E51),"~CANGET",V51),"~CANSET",W51),"~DESC",LEFT(G51,40))</f>
        <v>expand("pmacRascanGSVar.vdb", GSVarP2043) {
  macro(VAR, "P2043")
  macro(EGU, "s")
  macro(P, "$(P)")
  macro(Q, ":RSCN:T_OUT")
  macro(PORT, "$(PORT)")
  macro(CanGet, "$(P):RSCN:ST_MONITOR")
  macro(CanSet, "$(P):RSCN:ST_NEVER")
  macro(PREC, "$(PREC=4)")
  macro(DESC,"outer-skip move time")
}</v>
      </c>
      <c r="Z51" s="32" t="str">
        <f>IF(ISNUMBER($F51),SUBSTITUTE(SUBSTITUTE(SUBSTITUTE(SUBSTITUTE(SUBSTITUTE(SUBSTITUTE(SUBSTITUTE(SUBSTITUTE(y_QLabel &amp; y_QELabel &amp; IF($I51="gsu",y_QELineEdit,""),"~PVNAME",$S51),"~EGU",$J51),"~PREC",$P51),"~VAR",$E51),"~CANGET",$V51),"~CANSET",$W51),"~ROW",$F51),"~NAME",$D51),"")</f>
        <v>&lt;item row="4" column="0"&gt;
            &lt;widget class="QLabel" name="L_P2043"&gt;
             &lt;property name="sizePolicy"&gt;
              &lt;sizepolicy hsizetype="MinimumExpanding" vsizetype="Preferred"&gt;
               &lt;horstretch&gt;0&lt;/horstretch&gt;
               &lt;verstretch&gt;0&lt;/verstretch&gt;
              &lt;/sizepolicy&gt;
             &lt;/property&gt;
             &lt;property name="minimumSize"&gt;
              &lt;size&gt;
               &lt;width&gt;88&lt;/width&gt;
               &lt;height&gt;8&lt;/height&gt;
              &lt;/size&gt;
             &lt;/property&gt;
             &lt;property name="text"&gt;
              &lt;string&gt;t_Out&lt;/string&gt;
             &lt;/property&gt;
            &lt;/widget&gt;
           &lt;/item&gt;&lt;item row="4" column="1"&gt;
            &lt;widget class="QELabel" name="QL_P2043"&gt;
             &lt;property name="variable" stdset="0"&gt;
              &lt;string&gt;"SR99ID01FST01:RSCN:T_OUT:SYNC"&lt;/string&gt;
             &lt;/property&gt;
            &lt;/widget&gt;
           &lt;/item&gt;</v>
      </c>
      <c r="AA51" s="9" t="str">
        <f>VLOOKUP(H51,y_EPICS_Formats,2,FALSE)</f>
        <v>%f</v>
      </c>
      <c r="AB51" s="9" t="str">
        <f>IF(LEFT(I51)="g",y_Prefix&amp;S51&amp;" = ","")</f>
        <v xml:space="preserve">SR05ID01FST01:RSCN:T_OUT = </v>
      </c>
      <c r="AC51" s="9" t="str">
        <f>IFERROR(";"&amp;G51&amp;"["&amp;J51&amp;"]"&amp;I51&amp;CHAR(10)&amp;B51 &amp;CHAR(9)&amp;U51&amp;CHAR(9)&amp;E51 &amp;CHAR(9),";;Error!")</f>
        <v xml:space="preserve">;outer-skip move time[s]g
#define	tOut	P2043	</v>
      </c>
      <c r="AD51" s="9" t="str">
        <f>IF(IFERROR(Q51&gt;0,FALSE),SUBSTITUTE(SUBSTITUTE(SUBSTITUTE(y_archiverXML,"~PVNAME",S51&amp;IF(LEN(X51)&lt;1,"",":RBV")),"~PREFIX",y_Prefix),"~PERIOD",Q51),"")</f>
        <v xml:space="preserve">      &lt;channel&gt;
         &lt;name&gt;SR05ID01FST01:RSCN:T_OUT:RBV&lt;/name&gt;
         &lt;period&gt;30&lt;/period&gt;
         &lt;monitor/&gt;
      &lt;/channel&gt;</v>
      </c>
      <c r="AE51" s="20">
        <f>IF(OR(LEFT($I51)="e",LEFT($I51)="g"),AE$1-LEN(S51),"")</f>
        <v>6</v>
      </c>
      <c r="AF51" s="20">
        <f>IF(OR(LEFT($I51)="e",LEFT($I51)="g"),AF$1-LEN(T51),"")</f>
        <v>12</v>
      </c>
      <c r="AG51" s="20">
        <f>IF(OR(LEFT($I51)="e",LEFT($I51)="g"),AG$1-LEN(U51),"")</f>
        <v>12</v>
      </c>
      <c r="AH51" s="20">
        <f>IF(OR(LEFT($I51)="e",LEFT($I51)="g"),AH$1-LEN(V51),"")</f>
        <v>20</v>
      </c>
      <c r="AI51" s="2" t="str">
        <f>IF(ISNUMBER(E51),"0"&amp;LEFT(D51,2)&amp;TEXT(E51,"#.0000"),E51)</f>
        <v>P2043</v>
      </c>
    </row>
    <row r="52" spans="1:35" ht="29.25" x14ac:dyDescent="0.3">
      <c r="A52" s="6" t="str">
        <f>IF(T52&lt;&gt;U52,"&lt;FIND TYPE=ASC&gt;"&amp;R52&amp;"&lt;/FIND&gt;&lt;REPLACE TYPE=ASC&gt;"&amp;S52&amp;"&lt;/REPLACE&gt;"&amp;CHAR(10)&amp;"&lt;FIND TYPE=ASC&gt;"&amp;T52&amp;"&lt;/FIND&gt;&lt;REPLACE TYPE=ASC&gt;"&amp;U52&amp;"&lt;/REPLACE&gt;"&amp;CHAR(10)&amp;"&lt;FIND TYPE=ASC&gt;"&amp;C52&amp;"&lt;/FIND&gt;&lt;REPLACE TYPE=ASC&gt;"&amp;D52&amp;"&lt;/REPLACE&gt;",".")</f>
        <v>.</v>
      </c>
      <c r="B52" s="7" t="s">
        <v>38</v>
      </c>
      <c r="C52" s="30" t="s">
        <v>536</v>
      </c>
      <c r="D52" s="7" t="s">
        <v>536</v>
      </c>
      <c r="E52" s="7" t="s">
        <v>97</v>
      </c>
      <c r="F52" s="3">
        <v>5</v>
      </c>
      <c r="G52" s="8" t="s">
        <v>144</v>
      </c>
      <c r="H52" s="7" t="s">
        <v>43</v>
      </c>
      <c r="I52" s="7" t="s">
        <v>46</v>
      </c>
      <c r="J52" s="7" t="s">
        <v>73</v>
      </c>
      <c r="K52" s="7" t="s">
        <v>138</v>
      </c>
      <c r="L52" s="7" t="s">
        <v>69</v>
      </c>
      <c r="M52" s="7"/>
      <c r="N52" s="7">
        <v>1E-3</v>
      </c>
      <c r="O52" s="7">
        <v>4</v>
      </c>
      <c r="P52" s="7">
        <v>4</v>
      </c>
      <c r="Q52" s="7">
        <v>30</v>
      </c>
      <c r="R52" s="17" t="str">
        <f>UPPER(R$1&amp;":"&amp;C52)</f>
        <v>RSCN:T_IN</v>
      </c>
      <c r="S52" s="9" t="str">
        <f>UPPER(S$1&amp;":"&amp;D52)</f>
        <v>RSCN:T_IN</v>
      </c>
      <c r="T52" s="17" t="str">
        <f>SUBSTITUTE(C52,"_","")</f>
        <v>tIn</v>
      </c>
      <c r="U52" s="9" t="str">
        <f>SUBSTITUTE(D52,"_","")&amp;IF(RIGHT(I52)="u","U","")</f>
        <v>tIn</v>
      </c>
      <c r="V52" s="9" t="str">
        <f>IF(ISNUMBER(K52),K52,"$(P):"&amp;$S$1&amp;":"&amp;K52)</f>
        <v>$(P):RSCN:ST_MONITOR</v>
      </c>
      <c r="W52" s="9" t="str">
        <f>IF(ISNUMBER(L52),L52,"$(P):"&amp;$S$1&amp;":"&amp;L52)</f>
        <v>$(P):RSCN:ST_NEVER</v>
      </c>
      <c r="X52" s="9" t="str">
        <f>IF(LEFT(I52)="g",IF(H52="real",y_pmacRascanGSVar,IF(H52="int",y_pmacRascanGSVar,"")),"")</f>
        <v>expand("pmacRascanGSVar.vdb", GSVar~VAR) {
  macro(VAR, "~VAR")
  macro(EGU, "~EGU")
  macro(P, "$(P)")
  macro(Q, ":~PVNAME")
  macro(PORT, "$(PORT)")
  macro(CanGet, "~CANGET")
  macro(CanSet, "~CANSET")
  macro(PREC, "$(PREC=~PREC)")
  macro(DESC,"~DESC")
}</v>
      </c>
      <c r="Y52" s="9" t="str">
        <f>SUBSTITUTE(SUBSTITUTE(SUBSTITUTE(SUBSTITUTE(SUBSTITUTE(SUBSTITUTE(SUBSTITUTE(X52,"~PVNAME",S52),"~EGU",J52),"~PREC",P52),"~VAR",E52),"~CANGET",V52),"~CANSET",W52),"~DESC",LEFT(G52,40))</f>
        <v>expand("pmacRascanGSVar.vdb", GSVarP2044) {
  macro(VAR, "P2044")
  macro(EGU, "s")
  macro(P, "$(P)")
  macro(Q, ":RSCN:T_IN")
  macro(PORT, "$(PORT)")
  macro(CanGet, "$(P):RSCN:ST_MONITOR")
  macro(CanSet, "$(P):RSCN:ST_NEVER")
  macro(PREC, "$(PREC=4)")
  macro(DESC,"inner-skip move time")
}</v>
      </c>
      <c r="Z52" s="32" t="str">
        <f>IF(ISNUMBER($F52),SUBSTITUTE(SUBSTITUTE(SUBSTITUTE(SUBSTITUTE(SUBSTITUTE(SUBSTITUTE(SUBSTITUTE(SUBSTITUTE(y_QLabel &amp; y_QELabel &amp; IF($I52="gsu",y_QELineEdit,""),"~PVNAME",$S52),"~EGU",$J52),"~PREC",$P52),"~VAR",$E52),"~CANGET",$V52),"~CANSET",$W52),"~ROW",$F52),"~NAME",$D52),"")</f>
        <v>&lt;item row="5" column="0"&gt;
            &lt;widget class="QLabel" name="L_P2044"&gt;
             &lt;property name="sizePolicy"&gt;
              &lt;sizepolicy hsizetype="MinimumExpanding" vsizetype="Preferred"&gt;
               &lt;horstretch&gt;0&lt;/horstretch&gt;
               &lt;verstretch&gt;0&lt;/verstretch&gt;
              &lt;/sizepolicy&gt;
             &lt;/property&gt;
             &lt;property name="minimumSize"&gt;
              &lt;size&gt;
               &lt;width&gt;88&lt;/width&gt;
               &lt;height&gt;8&lt;/height&gt;
              &lt;/size&gt;
             &lt;/property&gt;
             &lt;property name="text"&gt;
              &lt;string&gt;t_In&lt;/string&gt;
             &lt;/property&gt;
            &lt;/widget&gt;
           &lt;/item&gt;&lt;item row="5" column="1"&gt;
            &lt;widget class="QELabel" name="QL_P2044"&gt;
             &lt;property name="variable" stdset="0"&gt;
              &lt;string&gt;"SR99ID01FST01:RSCN:T_IN:SYNC"&lt;/string&gt;
             &lt;/property&gt;
            &lt;/widget&gt;
           &lt;/item&gt;</v>
      </c>
      <c r="AA52" s="9" t="str">
        <f>VLOOKUP(H52,y_EPICS_Formats,2,FALSE)</f>
        <v>%f</v>
      </c>
      <c r="AB52" s="9" t="str">
        <f>IF(LEFT(I52)="g",y_Prefix&amp;S52&amp;" = ","")</f>
        <v xml:space="preserve">SR05ID01FST01:RSCN:T_IN = </v>
      </c>
      <c r="AC52" s="9" t="str">
        <f>IFERROR(";"&amp;G52&amp;"["&amp;J52&amp;"]"&amp;I52&amp;CHAR(10)&amp;B52 &amp;CHAR(9)&amp;U52&amp;CHAR(9)&amp;E52 &amp;CHAR(9),";;Error!")</f>
        <v xml:space="preserve">;inner-skip move time[s]g
#define	tIn	P2044	</v>
      </c>
      <c r="AD52" s="9" t="str">
        <f>IF(IFERROR(Q52&gt;0,FALSE),SUBSTITUTE(SUBSTITUTE(SUBSTITUTE(y_archiverXML,"~PVNAME",S52&amp;IF(LEN(X52)&lt;1,"",":RBV")),"~PREFIX",y_Prefix),"~PERIOD",Q52),"")</f>
        <v xml:space="preserve">      &lt;channel&gt;
         &lt;name&gt;SR05ID01FST01:RSCN:T_IN:RBV&lt;/name&gt;
         &lt;period&gt;30&lt;/period&gt;
         &lt;monitor/&gt;
      &lt;/channel&gt;</v>
      </c>
      <c r="AE52" s="20">
        <f>IF(OR(LEFT($I52)="e",LEFT($I52)="g"),AE$1-LEN(S52),"")</f>
        <v>7</v>
      </c>
      <c r="AF52" s="20">
        <f>IF(OR(LEFT($I52)="e",LEFT($I52)="g"),AF$1-LEN(T52),"")</f>
        <v>13</v>
      </c>
      <c r="AG52" s="20">
        <f>IF(OR(LEFT($I52)="e",LEFT($I52)="g"),AG$1-LEN(U52),"")</f>
        <v>13</v>
      </c>
      <c r="AH52" s="20">
        <f>IF(OR(LEFT($I52)="e",LEFT($I52)="g"),AH$1-LEN(V52),"")</f>
        <v>20</v>
      </c>
      <c r="AI52" s="2" t="str">
        <f>IF(ISNUMBER(E52),"0"&amp;LEFT(D52,2)&amp;TEXT(E52,"#.0000"),E52)</f>
        <v>P2044</v>
      </c>
    </row>
    <row r="53" spans="1:35" x14ac:dyDescent="0.3">
      <c r="A53" s="6" t="str">
        <f>IF(T53&lt;&gt;U53,"&lt;FIND TYPE=ASC&gt;"&amp;R53&amp;"&lt;/FIND&gt;&lt;REPLACE TYPE=ASC&gt;"&amp;S53&amp;"&lt;/REPLACE&gt;"&amp;CHAR(10)&amp;"&lt;FIND TYPE=ASC&gt;"&amp;T53&amp;"&lt;/FIND&gt;&lt;REPLACE TYPE=ASC&gt;"&amp;U53&amp;"&lt;/REPLACE&gt;"&amp;CHAR(10)&amp;"&lt;FIND TYPE=ASC&gt;"&amp;C53&amp;"&lt;/FIND&gt;&lt;REPLACE TYPE=ASC&gt;"&amp;D53&amp;"&lt;/REPLACE&gt;",".")</f>
        <v>.</v>
      </c>
      <c r="B53" s="7" t="s">
        <v>38</v>
      </c>
      <c r="C53" s="30" t="s">
        <v>552</v>
      </c>
      <c r="D53" s="7" t="s">
        <v>552</v>
      </c>
      <c r="E53" s="7" t="s">
        <v>98</v>
      </c>
      <c r="F53" s="3">
        <v>6</v>
      </c>
      <c r="G53" s="8" t="s">
        <v>510</v>
      </c>
      <c r="H53" s="7" t="s">
        <v>43</v>
      </c>
      <c r="I53" s="7" t="s">
        <v>46</v>
      </c>
      <c r="J53" s="7" t="s">
        <v>169</v>
      </c>
      <c r="K53" s="7" t="s">
        <v>138</v>
      </c>
      <c r="L53" s="7" t="s">
        <v>69</v>
      </c>
      <c r="M53" s="7"/>
      <c r="N53" s="7">
        <v>-9999999</v>
      </c>
      <c r="O53" s="7">
        <v>9999999</v>
      </c>
      <c r="P53" s="7">
        <v>5</v>
      </c>
      <c r="Q53" s="7">
        <v>30</v>
      </c>
      <c r="R53" s="17" t="str">
        <f>UPPER(R$1&amp;":"&amp;C53)</f>
        <v>RSCN:D1_OUT</v>
      </c>
      <c r="S53" s="9" t="str">
        <f>UPPER(S$1&amp;":"&amp;D53)</f>
        <v>RSCN:D1_OUT</v>
      </c>
      <c r="T53" s="17" t="str">
        <f>SUBSTITUTE(C53,"_","")</f>
        <v>d1Out</v>
      </c>
      <c r="U53" s="9" t="str">
        <f>SUBSTITUTE(D53,"_","")&amp;IF(RIGHT(I53)="u","U","")</f>
        <v>d1Out</v>
      </c>
      <c r="V53" s="9" t="str">
        <f>IF(ISNUMBER(K53),K53,"$(P):"&amp;$S$1&amp;":"&amp;K53)</f>
        <v>$(P):RSCN:ST_MONITOR</v>
      </c>
      <c r="W53" s="9" t="str">
        <f>IF(ISNUMBER(L53),L53,"$(P):"&amp;$S$1&amp;":"&amp;L53)</f>
        <v>$(P):RSCN:ST_NEVER</v>
      </c>
      <c r="X53" s="9" t="str">
        <f>IF(LEFT(I53)="g",IF(H53="real",y_pmacRascanGSVar,IF(H53="int",y_pmacRascanGSVar,"")),"")</f>
        <v>expand("pmacRascanGSVar.vdb", GSVar~VAR) {
  macro(VAR, "~VAR")
  macro(EGU, "~EGU")
  macro(P, "$(P)")
  macro(Q, ":~PVNAME")
  macro(PORT, "$(PORT)")
  macro(CanGet, "~CANGET")
  macro(CanSet, "~CANSET")
  macro(PREC, "$(PREC=~PREC)")
  macro(DESC,"~DESC")
}</v>
      </c>
      <c r="Y53" s="9" t="str">
        <f>SUBSTITUTE(SUBSTITUTE(SUBSTITUTE(SUBSTITUTE(SUBSTITUTE(SUBSTITUTE(SUBSTITUTE(X53,"~PVNAME",S53),"~EGU",J53),"~PREC",P53),"~VAR",E53),"~CANGET",V53),"~CANSET",W53),"~DESC",LEFT(G53,40))</f>
        <v>expand("pmacRascanGSVar.vdb", GSVarP2045) {
  macro(VAR, "P2045")
  macro(EGU, "EGU")
  macro(P, "$(P)")
  macro(Q, ":RSCN:D1_OUT")
  macro(PORT, "$(PORT)")
  macro(CanGet, "$(P):RSCN:ST_MONITOR")
  macro(CanSet, "$(P):RSCN:ST_NEVER")
  macro(PREC, "$(PREC=5)")
  macro(DESC,"Fly axis outer-skip band")
}</v>
      </c>
      <c r="Z53" s="32" t="str">
        <f>IF(ISNUMBER($F53),SUBSTITUTE(SUBSTITUTE(SUBSTITUTE(SUBSTITUTE(SUBSTITUTE(SUBSTITUTE(SUBSTITUTE(SUBSTITUTE(y_QLabel &amp; y_QELabel &amp; IF($I53="gsu",y_QELineEdit,""),"~PVNAME",$S53),"~EGU",$J53),"~PREC",$P53),"~VAR",$E53),"~CANGET",$V53),"~CANSET",$W53),"~ROW",$F53),"~NAME",$D53),"")</f>
        <v>&lt;item row="6" column="0"&gt;
            &lt;widget class="QLabel" name="L_P2045"&gt;
             &lt;property name="sizePolicy"&gt;
              &lt;sizepolicy hsizetype="MinimumExpanding" vsizetype="Preferred"&gt;
               &lt;horstretch&gt;0&lt;/horstretch&gt;
               &lt;verstretch&gt;0&lt;/verstretch&gt;
              &lt;/sizepolicy&gt;
             &lt;/property&gt;
             &lt;property name="minimumSize"&gt;
              &lt;size&gt;
               &lt;width&gt;88&lt;/width&gt;
               &lt;height&gt;8&lt;/height&gt;
              &lt;/size&gt;
             &lt;/property&gt;
             &lt;property name="text"&gt;
              &lt;string&gt;d1_Out&lt;/string&gt;
             &lt;/property&gt;
            &lt;/widget&gt;
           &lt;/item&gt;&lt;item row="6" column="1"&gt;
            &lt;widget class="QELabel" name="QL_P2045"&gt;
             &lt;property name="variable" stdset="0"&gt;
              &lt;string&gt;"SR99ID01FST01:RSCN:D1_OUT:SYNC"&lt;/string&gt;
             &lt;/property&gt;
            &lt;/widget&gt;
           &lt;/item&gt;</v>
      </c>
      <c r="AA53" s="9" t="str">
        <f>VLOOKUP(H53,y_EPICS_Formats,2,FALSE)</f>
        <v>%f</v>
      </c>
      <c r="AB53" s="9" t="str">
        <f>IF(LEFT(I53)="g",y_Prefix&amp;S53&amp;" = ","")</f>
        <v xml:space="preserve">SR05ID01FST01:RSCN:D1_OUT = </v>
      </c>
      <c r="AC53" s="9" t="str">
        <f>IFERROR(";"&amp;G53&amp;"["&amp;J53&amp;"]"&amp;I53&amp;CHAR(10)&amp;B53 &amp;CHAR(9)&amp;U53&amp;CHAR(9)&amp;E53 &amp;CHAR(9),";;Error!")</f>
        <v xml:space="preserve">;Fly axis outer-skip band[EGU]g
#define	d1Out	P2045	</v>
      </c>
      <c r="AD53" s="9" t="str">
        <f>IF(IFERROR(Q53&gt;0,FALSE),SUBSTITUTE(SUBSTITUTE(SUBSTITUTE(y_archiverXML,"~PVNAME",S53&amp;IF(LEN(X53)&lt;1,"",":RBV")),"~PREFIX",y_Prefix),"~PERIOD",Q53),"")</f>
        <v xml:space="preserve">      &lt;channel&gt;
         &lt;name&gt;SR05ID01FST01:RSCN:D1_OUT:RBV&lt;/name&gt;
         &lt;period&gt;30&lt;/period&gt;
         &lt;monitor/&gt;
      &lt;/channel&gt;</v>
      </c>
      <c r="AE53" s="20">
        <f>IF(OR(LEFT($I53)="e",LEFT($I53)="g"),AE$1-LEN(S53),"")</f>
        <v>5</v>
      </c>
      <c r="AF53" s="20">
        <f>IF(OR(LEFT($I53)="e",LEFT($I53)="g"),AF$1-LEN(T53),"")</f>
        <v>11</v>
      </c>
      <c r="AG53" s="20">
        <f>IF(OR(LEFT($I53)="e",LEFT($I53)="g"),AG$1-LEN(U53),"")</f>
        <v>11</v>
      </c>
      <c r="AH53" s="20">
        <f>IF(OR(LEFT($I53)="e",LEFT($I53)="g"),AH$1-LEN(V53),"")</f>
        <v>20</v>
      </c>
      <c r="AI53" s="2" t="str">
        <f>IF(ISNUMBER(E53),"0"&amp;LEFT(D53,2)&amp;TEXT(E53,"#.0000"),E53)</f>
        <v>P2045</v>
      </c>
    </row>
    <row r="54" spans="1:35" x14ac:dyDescent="0.3">
      <c r="A54" s="6" t="str">
        <f>IF(T54&lt;&gt;U54,"&lt;FIND TYPE=ASC&gt;"&amp;R54&amp;"&lt;/FIND&gt;&lt;REPLACE TYPE=ASC&gt;"&amp;S54&amp;"&lt;/REPLACE&gt;"&amp;CHAR(10)&amp;"&lt;FIND TYPE=ASC&gt;"&amp;T54&amp;"&lt;/FIND&gt;&lt;REPLACE TYPE=ASC&gt;"&amp;U54&amp;"&lt;/REPLACE&gt;"&amp;CHAR(10)&amp;"&lt;FIND TYPE=ASC&gt;"&amp;C54&amp;"&lt;/FIND&gt;&lt;REPLACE TYPE=ASC&gt;"&amp;D54&amp;"&lt;/REPLACE&gt;",".")</f>
        <v>.</v>
      </c>
      <c r="B54" s="7" t="s">
        <v>38</v>
      </c>
      <c r="C54" s="30" t="s">
        <v>553</v>
      </c>
      <c r="D54" s="7" t="s">
        <v>553</v>
      </c>
      <c r="E54" s="7" t="s">
        <v>99</v>
      </c>
      <c r="F54" s="3">
        <v>7</v>
      </c>
      <c r="G54" s="8" t="s">
        <v>525</v>
      </c>
      <c r="H54" s="7" t="s">
        <v>43</v>
      </c>
      <c r="I54" s="7" t="s">
        <v>46</v>
      </c>
      <c r="J54" s="7" t="s">
        <v>171</v>
      </c>
      <c r="K54" s="7" t="s">
        <v>138</v>
      </c>
      <c r="L54" s="7" t="s">
        <v>69</v>
      </c>
      <c r="M54" s="7"/>
      <c r="N54" s="7">
        <v>-9999999</v>
      </c>
      <c r="O54" s="7">
        <v>9999999</v>
      </c>
      <c r="P54" s="7">
        <v>3</v>
      </c>
      <c r="Q54" s="7">
        <v>30</v>
      </c>
      <c r="R54" s="17" t="str">
        <f>UPPER(R$1&amp;":"&amp;C54)</f>
        <v>RSCN:V2_OUT</v>
      </c>
      <c r="S54" s="9" t="str">
        <f>UPPER(S$1&amp;":"&amp;D54)</f>
        <v>RSCN:V2_OUT</v>
      </c>
      <c r="T54" s="17" t="str">
        <f>SUBSTITUTE(C54,"_","")</f>
        <v>v2Out</v>
      </c>
      <c r="U54" s="9" t="str">
        <f>SUBSTITUTE(D54,"_","")&amp;IF(RIGHT(I54)="u","U","")</f>
        <v>v2Out</v>
      </c>
      <c r="V54" s="9" t="str">
        <f>IF(ISNUMBER(K54),K54,"$(P):"&amp;$S$1&amp;":"&amp;K54)</f>
        <v>$(P):RSCN:ST_MONITOR</v>
      </c>
      <c r="W54" s="9" t="str">
        <f>IF(ISNUMBER(L54),L54,"$(P):"&amp;$S$1&amp;":"&amp;L54)</f>
        <v>$(P):RSCN:ST_NEVER</v>
      </c>
      <c r="X54" s="9" t="str">
        <f>IF(LEFT(I54)="g",IF(H54="real",y_pmacRascanGSVar,IF(H54="int",y_pmacRascanGSVar,"")),"")</f>
        <v>expand("pmacRascanGSVar.vdb", GSVar~VAR) {
  macro(VAR, "~VAR")
  macro(EGU, "~EGU")
  macro(P, "$(P)")
  macro(Q, ":~PVNAME")
  macro(PORT, "$(PORT)")
  macro(CanGet, "~CANGET")
  macro(CanSet, "~CANSET")
  macro(PREC, "$(PREC=~PREC)")
  macro(DESC,"~DESC")
}</v>
      </c>
      <c r="Y54" s="9" t="str">
        <f>SUBSTITUTE(SUBSTITUTE(SUBSTITUTE(SUBSTITUTE(SUBSTITUTE(SUBSTITUTE(SUBSTITUTE(X54,"~PVNAME",S54),"~EGU",J54),"~PREC",P54),"~VAR",E54),"~CANGET",V54),"~CANSET",W54),"~DESC",LEFT(G54,40))</f>
        <v>expand("pmacRascanGSVar.vdb", GSVarP2046) {
  macro(VAR, "P2046")
  macro(EGU, "EGU/s")
  macro(P, "$(P)")
  macro(Q, ":RSCN:V2_OUT")
  macro(PORT, "$(PORT)")
  macro(CanGet, "$(P):RSCN:ST_MONITOR")
  macro(CanSet, "$(P):RSCN:ST_NEVER")
  macro(PREC, "$(PREC=3)")
  macro(DESC,"Increment axis outer-skip velocity at re")
}</v>
      </c>
      <c r="Z54" s="32" t="str">
        <f>IF(ISNUMBER($F54),SUBSTITUTE(SUBSTITUTE(SUBSTITUTE(SUBSTITUTE(SUBSTITUTE(SUBSTITUTE(SUBSTITUTE(SUBSTITUTE(y_QLabel &amp; y_QELabel &amp; IF($I54="gsu",y_QELineEdit,""),"~PVNAME",$S54),"~EGU",$J54),"~PREC",$P54),"~VAR",$E54),"~CANGET",$V54),"~CANSET",$W54),"~ROW",$F54),"~NAME",$D54),"")</f>
        <v>&lt;item row="7" column="0"&gt;
            &lt;widget class="QLabel" name="L_P2046"&gt;
             &lt;property name="sizePolicy"&gt;
              &lt;sizepolicy hsizetype="MinimumExpanding" vsizetype="Preferred"&gt;
               &lt;horstretch&gt;0&lt;/horstretch&gt;
               &lt;verstretch&gt;0&lt;/verstretch&gt;
              &lt;/sizepolicy&gt;
             &lt;/property&gt;
             &lt;property name="minimumSize"&gt;
              &lt;size&gt;
               &lt;width&gt;88&lt;/width&gt;
               &lt;height&gt;8&lt;/height&gt;
              &lt;/size&gt;
             &lt;/property&gt;
             &lt;property name="text"&gt;
              &lt;string&gt;v2_Out&lt;/string&gt;
             &lt;/property&gt;
            &lt;/widget&gt;
           &lt;/item&gt;&lt;item row="7" column="1"&gt;
            &lt;widget class="QELabel" name="QL_P2046"&gt;
             &lt;property name="variable" stdset="0"&gt;
              &lt;string&gt;"SR99ID01FST01:RSCN:V2_OUT:SYNC"&lt;/string&gt;
             &lt;/property&gt;
            &lt;/widget&gt;
           &lt;/item&gt;</v>
      </c>
      <c r="AA54" s="9" t="str">
        <f>VLOOKUP(H54,y_EPICS_Formats,2,FALSE)</f>
        <v>%f</v>
      </c>
      <c r="AB54" s="9" t="str">
        <f>IF(LEFT(I54)="g",y_Prefix&amp;S54&amp;" = ","")</f>
        <v xml:space="preserve">SR05ID01FST01:RSCN:V2_OUT = </v>
      </c>
      <c r="AC54" s="9" t="str">
        <f>IFERROR(";"&amp;G54&amp;"["&amp;J54&amp;"]"&amp;I54&amp;CHAR(10)&amp;B54 &amp;CHAR(9)&amp;U54&amp;CHAR(9)&amp;E54 &amp;CHAR(9),";;Error!")</f>
        <v xml:space="preserve">;Increment axis outer-skip velocity at return point [EGU/s]g
#define	v2Out	P2046	</v>
      </c>
      <c r="AD54" s="9" t="str">
        <f>IF(IFERROR(Q54&gt;0,FALSE),SUBSTITUTE(SUBSTITUTE(SUBSTITUTE(y_archiverXML,"~PVNAME",S54&amp;IF(LEN(X54)&lt;1,"",":RBV")),"~PREFIX",y_Prefix),"~PERIOD",Q54),"")</f>
        <v xml:space="preserve">      &lt;channel&gt;
         &lt;name&gt;SR05ID01FST01:RSCN:V2_OUT:RBV&lt;/name&gt;
         &lt;period&gt;30&lt;/period&gt;
         &lt;monitor/&gt;
      &lt;/channel&gt;</v>
      </c>
      <c r="AE54" s="20">
        <f>IF(OR(LEFT($I54)="e",LEFT($I54)="g"),AE$1-LEN(S54),"")</f>
        <v>5</v>
      </c>
      <c r="AF54" s="20">
        <f>IF(OR(LEFT($I54)="e",LEFT($I54)="g"),AF$1-LEN(T54),"")</f>
        <v>11</v>
      </c>
      <c r="AG54" s="20">
        <f>IF(OR(LEFT($I54)="e",LEFT($I54)="g"),AG$1-LEN(U54),"")</f>
        <v>11</v>
      </c>
      <c r="AH54" s="20">
        <f>IF(OR(LEFT($I54)="e",LEFT($I54)="g"),AH$1-LEN(V54),"")</f>
        <v>20</v>
      </c>
      <c r="AI54" s="2" t="str">
        <f>IF(ISNUMBER(E54),"0"&amp;LEFT(D54,2)&amp;TEXT(E54,"#.0000"),E54)</f>
        <v>P2046</v>
      </c>
    </row>
    <row r="55" spans="1:35" x14ac:dyDescent="0.3">
      <c r="A55" s="6" t="str">
        <f>IF(T55&lt;&gt;U55,"&lt;FIND TYPE=ASC&gt;"&amp;R55&amp;"&lt;/FIND&gt;&lt;REPLACE TYPE=ASC&gt;"&amp;S55&amp;"&lt;/REPLACE&gt;"&amp;CHAR(10)&amp;"&lt;FIND TYPE=ASC&gt;"&amp;T55&amp;"&lt;/FIND&gt;&lt;REPLACE TYPE=ASC&gt;"&amp;U55&amp;"&lt;/REPLACE&gt;"&amp;CHAR(10)&amp;"&lt;FIND TYPE=ASC&gt;"&amp;C55&amp;"&lt;/FIND&gt;&lt;REPLACE TYPE=ASC&gt;"&amp;D55&amp;"&lt;/REPLACE&gt;",".")</f>
        <v>.</v>
      </c>
      <c r="B55" s="7" t="s">
        <v>38</v>
      </c>
      <c r="C55" s="30" t="s">
        <v>554</v>
      </c>
      <c r="D55" s="7" t="s">
        <v>554</v>
      </c>
      <c r="E55" s="7" t="s">
        <v>100</v>
      </c>
      <c r="F55" s="3">
        <v>8</v>
      </c>
      <c r="G55" s="8" t="s">
        <v>522</v>
      </c>
      <c r="H55" s="7" t="s">
        <v>43</v>
      </c>
      <c r="I55" s="7" t="s">
        <v>46</v>
      </c>
      <c r="J55" s="7" t="s">
        <v>171</v>
      </c>
      <c r="K55" s="7" t="s">
        <v>138</v>
      </c>
      <c r="L55" s="7" t="s">
        <v>69</v>
      </c>
      <c r="M55" s="7"/>
      <c r="N55" s="7">
        <v>-9999999</v>
      </c>
      <c r="O55" s="7">
        <v>9999999</v>
      </c>
      <c r="P55" s="7">
        <v>3</v>
      </c>
      <c r="Q55" s="7">
        <v>30</v>
      </c>
      <c r="R55" s="17" t="str">
        <f>UPPER(R$1&amp;":"&amp;C55)</f>
        <v>RSCN:V2_IN</v>
      </c>
      <c r="S55" s="9" t="str">
        <f>UPPER(S$1&amp;":"&amp;D55)</f>
        <v>RSCN:V2_IN</v>
      </c>
      <c r="T55" s="17" t="str">
        <f>SUBSTITUTE(C55,"_","")</f>
        <v>v2In</v>
      </c>
      <c r="U55" s="9" t="str">
        <f>SUBSTITUTE(D55,"_","")&amp;IF(RIGHT(I55)="u","U","")</f>
        <v>v2In</v>
      </c>
      <c r="V55" s="9" t="str">
        <f>IF(ISNUMBER(K55),K55,"$(P):"&amp;$S$1&amp;":"&amp;K55)</f>
        <v>$(P):RSCN:ST_MONITOR</v>
      </c>
      <c r="W55" s="9" t="str">
        <f>IF(ISNUMBER(L55),L55,"$(P):"&amp;$S$1&amp;":"&amp;L55)</f>
        <v>$(P):RSCN:ST_NEVER</v>
      </c>
      <c r="X55" s="9" t="str">
        <f>IF(LEFT(I55)="g",IF(H55="real",y_pmacRascanGSVar,IF(H55="int",y_pmacRascanGSVar,"")),"")</f>
        <v>expand("pmacRascanGSVar.vdb", GSVar~VAR) {
  macro(VAR, "~VAR")
  macro(EGU, "~EGU")
  macro(P, "$(P)")
  macro(Q, ":~PVNAME")
  macro(PORT, "$(PORT)")
  macro(CanGet, "~CANGET")
  macro(CanSet, "~CANSET")
  macro(PREC, "$(PREC=~PREC)")
  macro(DESC,"~DESC")
}</v>
      </c>
      <c r="Y55" s="9" t="str">
        <f>SUBSTITUTE(SUBSTITUTE(SUBSTITUTE(SUBSTITUTE(SUBSTITUTE(SUBSTITUTE(SUBSTITUTE(X55,"~PVNAME",S55),"~EGU",J55),"~PREC",P55),"~VAR",E55),"~CANGET",V55),"~CANSET",W55),"~DESC",LEFT(G55,40))</f>
        <v>expand("pmacRascanGSVar.vdb", GSVarP2047) {
  macro(VAR, "P2047")
  macro(EGU, "EGU/s")
  macro(P, "$(P)")
  macro(Q, ":RSCN:V2_IN")
  macro(PORT, "$(PORT)")
  macro(CanGet, "$(P):RSCN:ST_MONITOR")
  macro(CanSet, "$(P):RSCN:ST_NEVER")
  macro(PREC, "$(PREC=3)")
  macro(DESC,"Increment axis line exit velocity")
}</v>
      </c>
      <c r="Z55" s="32" t="str">
        <f>IF(ISNUMBER($F55),SUBSTITUTE(SUBSTITUTE(SUBSTITUTE(SUBSTITUTE(SUBSTITUTE(SUBSTITUTE(SUBSTITUTE(SUBSTITUTE(y_QLabel &amp; y_QELabel &amp; IF($I55="gsu",y_QELineEdit,""),"~PVNAME",$S55),"~EGU",$J55),"~PREC",$P55),"~VAR",$E55),"~CANGET",$V55),"~CANSET",$W55),"~ROW",$F55),"~NAME",$D55),"")</f>
        <v>&lt;item row="8" column="0"&gt;
            &lt;widget class="QLabel" name="L_P2047"&gt;
             &lt;property name="sizePolicy"&gt;
              &lt;sizepolicy hsizetype="MinimumExpanding" vsizetype="Preferred"&gt;
               &lt;horstretch&gt;0&lt;/horstretch&gt;
               &lt;verstretch&gt;0&lt;/verstretch&gt;
              &lt;/sizepolicy&gt;
             &lt;/property&gt;
             &lt;property name="minimumSize"&gt;
              &lt;size&gt;
               &lt;width&gt;88&lt;/width&gt;
               &lt;height&gt;8&lt;/height&gt;
              &lt;/size&gt;
             &lt;/property&gt;
             &lt;property name="text"&gt;
              &lt;string&gt;v2_In&lt;/string&gt;
             &lt;/property&gt;
            &lt;/widget&gt;
           &lt;/item&gt;&lt;item row="8" column="1"&gt;
            &lt;widget class="QELabel" name="QL_P2047"&gt;
             &lt;property name="variable" stdset="0"&gt;
              &lt;string&gt;"SR99ID01FST01:RSCN:V2_IN:SYNC"&lt;/string&gt;
             &lt;/property&gt;
            &lt;/widget&gt;
           &lt;/item&gt;</v>
      </c>
      <c r="AA55" s="9" t="str">
        <f>VLOOKUP(H55,y_EPICS_Formats,2,FALSE)</f>
        <v>%f</v>
      </c>
      <c r="AB55" s="9" t="str">
        <f>IF(LEFT(I55)="g",y_Prefix&amp;S55&amp;" = ","")</f>
        <v xml:space="preserve">SR05ID01FST01:RSCN:V2_IN = </v>
      </c>
      <c r="AC55" s="9" t="str">
        <f>IFERROR(";"&amp;G55&amp;"["&amp;J55&amp;"]"&amp;I55&amp;CHAR(10)&amp;B55 &amp;CHAR(9)&amp;U55&amp;CHAR(9)&amp;E55 &amp;CHAR(9),";;Error!")</f>
        <v xml:space="preserve">;Increment axis line exit velocity[EGU/s]g
#define	v2In	P2047	</v>
      </c>
      <c r="AD55" s="9" t="str">
        <f>IF(IFERROR(Q55&gt;0,FALSE),SUBSTITUTE(SUBSTITUTE(SUBSTITUTE(y_archiverXML,"~PVNAME",S55&amp;IF(LEN(X55)&lt;1,"",":RBV")),"~PREFIX",y_Prefix),"~PERIOD",Q55),"")</f>
        <v xml:space="preserve">      &lt;channel&gt;
         &lt;name&gt;SR05ID01FST01:RSCN:V2_IN:RBV&lt;/name&gt;
         &lt;period&gt;30&lt;/period&gt;
         &lt;monitor/&gt;
      &lt;/channel&gt;</v>
      </c>
      <c r="AE55" s="20">
        <f>IF(OR(LEFT($I55)="e",LEFT($I55)="g"),AE$1-LEN(S55),"")</f>
        <v>6</v>
      </c>
      <c r="AF55" s="20">
        <f>IF(OR(LEFT($I55)="e",LEFT($I55)="g"),AF$1-LEN(T55),"")</f>
        <v>12</v>
      </c>
      <c r="AG55" s="20">
        <f>IF(OR(LEFT($I55)="e",LEFT($I55)="g"),AG$1-LEN(U55),"")</f>
        <v>12</v>
      </c>
      <c r="AH55" s="20">
        <f>IF(OR(LEFT($I55)="e",LEFT($I55)="g"),AH$1-LEN(V55),"")</f>
        <v>20</v>
      </c>
      <c r="AI55" s="2" t="str">
        <f>IF(ISNUMBER(E55),"0"&amp;LEFT(D55,2)&amp;TEXT(E55,"#.0000"),E55)</f>
        <v>P2047</v>
      </c>
    </row>
    <row r="56" spans="1:35" x14ac:dyDescent="0.3">
      <c r="A56" s="6" t="str">
        <f>IF(T56&lt;&gt;U56,"&lt;FIND TYPE=ASC&gt;"&amp;R56&amp;"&lt;/FIND&gt;&lt;REPLACE TYPE=ASC&gt;"&amp;S56&amp;"&lt;/REPLACE&gt;"&amp;CHAR(10)&amp;"&lt;FIND TYPE=ASC&gt;"&amp;T56&amp;"&lt;/FIND&gt;&lt;REPLACE TYPE=ASC&gt;"&amp;U56&amp;"&lt;/REPLACE&gt;"&amp;CHAR(10)&amp;"&lt;FIND TYPE=ASC&gt;"&amp;C56&amp;"&lt;/FIND&gt;&lt;REPLACE TYPE=ASC&gt;"&amp;D56&amp;"&lt;/REPLACE&gt;",".")</f>
        <v>.</v>
      </c>
      <c r="B56" s="7" t="s">
        <v>38</v>
      </c>
      <c r="C56" s="30" t="s">
        <v>555</v>
      </c>
      <c r="D56" s="7" t="s">
        <v>555</v>
      </c>
      <c r="E56" s="7" t="s">
        <v>101</v>
      </c>
      <c r="F56" s="3">
        <v>15</v>
      </c>
      <c r="G56" s="8" t="s">
        <v>526</v>
      </c>
      <c r="H56" s="7" t="s">
        <v>43</v>
      </c>
      <c r="I56" s="7" t="s">
        <v>46</v>
      </c>
      <c r="J56" s="7" t="s">
        <v>169</v>
      </c>
      <c r="K56" s="7" t="s">
        <v>138</v>
      </c>
      <c r="L56" s="7" t="s">
        <v>69</v>
      </c>
      <c r="M56" s="7"/>
      <c r="N56" s="7">
        <v>-9999999</v>
      </c>
      <c r="O56" s="7">
        <v>9999999</v>
      </c>
      <c r="P56" s="7">
        <v>5</v>
      </c>
      <c r="Q56" s="7">
        <v>30</v>
      </c>
      <c r="R56" s="17" t="str">
        <f>UPPER(R$1&amp;":"&amp;C56)</f>
        <v>RSCN:D2_SPAN</v>
      </c>
      <c r="S56" s="9" t="str">
        <f>UPPER(S$1&amp;":"&amp;D56)</f>
        <v>RSCN:D2_SPAN</v>
      </c>
      <c r="T56" s="17" t="str">
        <f>SUBSTITUTE(C56,"_","")</f>
        <v>d2Span</v>
      </c>
      <c r="U56" s="9" t="str">
        <f>SUBSTITUTE(D56,"_","")&amp;IF(RIGHT(I56)="u","U","")</f>
        <v>d2Span</v>
      </c>
      <c r="V56" s="9" t="str">
        <f>IF(ISNUMBER(K56),K56,"$(P):"&amp;$S$1&amp;":"&amp;K56)</f>
        <v>$(P):RSCN:ST_MONITOR</v>
      </c>
      <c r="W56" s="9" t="str">
        <f>IF(ISNUMBER(L56),L56,"$(P):"&amp;$S$1&amp;":"&amp;L56)</f>
        <v>$(P):RSCN:ST_NEVER</v>
      </c>
      <c r="X56" s="9" t="str">
        <f>IF(LEFT(I56)="g",IF(H56="real",y_pmacRascanGSVar,IF(H56="int",y_pmacRascanGSVar,"")),"")</f>
        <v>expand("pmacRascanGSVar.vdb", GSVar~VAR) {
  macro(VAR, "~VAR")
  macro(EGU, "~EGU")
  macro(P, "$(P)")
  macro(Q, ":~PVNAME")
  macro(PORT, "$(PORT)")
  macro(CanGet, "~CANGET")
  macro(CanSet, "~CANSET")
  macro(PREC, "$(PREC=~PREC)")
  macro(DESC,"~DESC")
}</v>
      </c>
      <c r="Y56" s="9" t="str">
        <f>SUBSTITUTE(SUBSTITUTE(SUBSTITUTE(SUBSTITUTE(SUBSTITUTE(SUBSTITUTE(SUBSTITUTE(X56,"~PVNAME",S56),"~EGU",J56),"~PREC",P56),"~VAR",E56),"~CANGET",V56),"~CANSET",W56),"~DESC",LEFT(G56,40))</f>
        <v>expand("pmacRascanGSVar.vdb", GSVarP2048) {
  macro(VAR, "P2048")
  macro(EGU, "EGU")
  macro(P, "$(P)")
  macro(Q, ":RSCN:D2_SPAN")
  macro(PORT, "$(PORT)")
  macro(CanGet, "$(P):RSCN:ST_MONITOR")
  macro(CanSet, "$(P):RSCN:ST_NEVER")
  macro(PREC, "$(PREC=5)")
  macro(DESC,"Increment axis scan span (span)")
}</v>
      </c>
      <c r="Z56" s="32" t="str">
        <f>IF(ISNUMBER($F56),SUBSTITUTE(SUBSTITUTE(SUBSTITUTE(SUBSTITUTE(SUBSTITUTE(SUBSTITUTE(SUBSTITUTE(SUBSTITUTE(y_QLabel &amp; y_QELabel &amp; IF($I56="gsu",y_QELineEdit,""),"~PVNAME",$S56),"~EGU",$J56),"~PREC",$P56),"~VAR",$E56),"~CANGET",$V56),"~CANSET",$W56),"~ROW",$F56),"~NAME",$D56),"")</f>
        <v>&lt;item row="15" column="0"&gt;
            &lt;widget class="QLabel" name="L_P2048"&gt;
             &lt;property name="sizePolicy"&gt;
              &lt;sizepolicy hsizetype="MinimumExpanding" vsizetype="Preferred"&gt;
               &lt;horstretch&gt;0&lt;/horstretch&gt;
               &lt;verstretch&gt;0&lt;/verstretch&gt;
              &lt;/sizepolicy&gt;
             &lt;/property&gt;
             &lt;property name="minimumSize"&gt;
              &lt;size&gt;
               &lt;width&gt;88&lt;/width&gt;
               &lt;height&gt;8&lt;/height&gt;
              &lt;/size&gt;
             &lt;/property&gt;
             &lt;property name="text"&gt;
              &lt;string&gt;d2_Span&lt;/string&gt;
             &lt;/property&gt;
            &lt;/widget&gt;
           &lt;/item&gt;&lt;item row="15" column="1"&gt;
            &lt;widget class="QELabel" name="QL_P2048"&gt;
             &lt;property name="variable" stdset="0"&gt;
              &lt;string&gt;"SR99ID01FST01:RSCN:D2_SPAN:SYNC"&lt;/string&gt;
             &lt;/property&gt;
            &lt;/widget&gt;
           &lt;/item&gt;</v>
      </c>
      <c r="AA56" s="9" t="str">
        <f>VLOOKUP(H56,y_EPICS_Formats,2,FALSE)</f>
        <v>%f</v>
      </c>
      <c r="AB56" s="9" t="str">
        <f>IF(LEFT(I56)="g",y_Prefix&amp;S56&amp;" = ","")</f>
        <v xml:space="preserve">SR05ID01FST01:RSCN:D2_SPAN = </v>
      </c>
      <c r="AC56" s="9" t="str">
        <f>IFERROR(";"&amp;G56&amp;"["&amp;J56&amp;"]"&amp;I56&amp;CHAR(10)&amp;B56 &amp;CHAR(9)&amp;U56&amp;CHAR(9)&amp;E56 &amp;CHAR(9),";;Error!")</f>
        <v xml:space="preserve">;Increment axis scan span (span)[EGU]g
#define	d2Span	P2048	</v>
      </c>
      <c r="AD56" s="9" t="str">
        <f>IF(IFERROR(Q56&gt;0,FALSE),SUBSTITUTE(SUBSTITUTE(SUBSTITUTE(y_archiverXML,"~PVNAME",S56&amp;IF(LEN(X56)&lt;1,"",":RBV")),"~PREFIX",y_Prefix),"~PERIOD",Q56),"")</f>
        <v xml:space="preserve">      &lt;channel&gt;
         &lt;name&gt;SR05ID01FST01:RSCN:D2_SPAN:RBV&lt;/name&gt;
         &lt;period&gt;30&lt;/period&gt;
         &lt;monitor/&gt;
      &lt;/channel&gt;</v>
      </c>
      <c r="AE56" s="20">
        <f>IF(OR(LEFT($I56)="e",LEFT($I56)="g"),AE$1-LEN(S56),"")</f>
        <v>4</v>
      </c>
      <c r="AF56" s="20">
        <f>IF(OR(LEFT($I56)="e",LEFT($I56)="g"),AF$1-LEN(T56),"")</f>
        <v>10</v>
      </c>
      <c r="AG56" s="20">
        <f>IF(OR(LEFT($I56)="e",LEFT($I56)="g"),AG$1-LEN(U56),"")</f>
        <v>10</v>
      </c>
      <c r="AH56" s="20">
        <f>IF(OR(LEFT($I56)="e",LEFT($I56)="g"),AH$1-LEN(V56),"")</f>
        <v>20</v>
      </c>
      <c r="AI56" s="2" t="str">
        <f>IF(ISNUMBER(E56),"0"&amp;LEFT(D56,2)&amp;TEXT(E56,"#.0000"),E56)</f>
        <v>P2048</v>
      </c>
    </row>
    <row r="57" spans="1:35" x14ac:dyDescent="0.3">
      <c r="A57" s="6" t="str">
        <f>IF(T57&lt;&gt;U57,"&lt;FIND TYPE=ASC&gt;"&amp;R57&amp;"&lt;/FIND&gt;&lt;REPLACE TYPE=ASC&gt;"&amp;S57&amp;"&lt;/REPLACE&gt;"&amp;CHAR(10)&amp;"&lt;FIND TYPE=ASC&gt;"&amp;T57&amp;"&lt;/FIND&gt;&lt;REPLACE TYPE=ASC&gt;"&amp;U57&amp;"&lt;/REPLACE&gt;"&amp;CHAR(10)&amp;"&lt;FIND TYPE=ASC&gt;"&amp;C57&amp;"&lt;/FIND&gt;&lt;REPLACE TYPE=ASC&gt;"&amp;D57&amp;"&lt;/REPLACE&gt;",".")</f>
        <v>.</v>
      </c>
      <c r="B57" s="14" t="s">
        <v>38</v>
      </c>
      <c r="C57" s="30" t="s">
        <v>537</v>
      </c>
      <c r="D57" s="14" t="s">
        <v>537</v>
      </c>
      <c r="E57" s="14" t="s">
        <v>102</v>
      </c>
      <c r="F57" s="3">
        <v>9</v>
      </c>
      <c r="G57" s="15" t="s">
        <v>530</v>
      </c>
      <c r="H57" s="14" t="s">
        <v>41</v>
      </c>
      <c r="I57" s="14" t="s">
        <v>46</v>
      </c>
      <c r="J57" s="14"/>
      <c r="K57" s="14" t="s">
        <v>138</v>
      </c>
      <c r="L57" s="14" t="s">
        <v>69</v>
      </c>
      <c r="M57" s="14"/>
      <c r="N57" s="14">
        <v>-1</v>
      </c>
      <c r="O57" s="14">
        <v>1</v>
      </c>
      <c r="P57" s="14"/>
      <c r="Q57" s="14"/>
      <c r="R57" s="18" t="str">
        <f>UPPER(R$1&amp;":"&amp;C57)</f>
        <v>RSCN:LINE_DIR</v>
      </c>
      <c r="S57" s="16" t="str">
        <f>UPPER(S$1&amp;":"&amp;D57)</f>
        <v>RSCN:LINE_DIR</v>
      </c>
      <c r="T57" s="17" t="str">
        <f>SUBSTITUTE(C57,"_","")</f>
        <v>lineDir</v>
      </c>
      <c r="U57" s="9" t="str">
        <f>SUBSTITUTE(D57,"_","")&amp;IF(RIGHT(I57)="u","U","")</f>
        <v>lineDir</v>
      </c>
      <c r="V57" s="16" t="str">
        <f>IF(ISNUMBER(K57),K57,"$(P):"&amp;$S$1&amp;":"&amp;K57)</f>
        <v>$(P):RSCN:ST_MONITOR</v>
      </c>
      <c r="W57" s="16" t="str">
        <f>IF(ISNUMBER(L57),L57,"$(P):"&amp;$S$1&amp;":"&amp;L57)</f>
        <v>$(P):RSCN:ST_NEVER</v>
      </c>
      <c r="X57" s="9" t="str">
        <f>IF(LEFT(I57)="g",IF(H57="real",y_pmacRascanGSVar,IF(H57="int",y_pmacRascanGSVar,"")),"")</f>
        <v>expand("pmacRascanGSVar.vdb", GSVar~VAR) {
  macro(VAR, "~VAR")
  macro(EGU, "~EGU")
  macro(P, "$(P)")
  macro(Q, ":~PVNAME")
  macro(PORT, "$(PORT)")
  macro(CanGet, "~CANGET")
  macro(CanSet, "~CANSET")
  macro(PREC, "$(PREC=~PREC)")
  macro(DESC,"~DESC")
}</v>
      </c>
      <c r="Y57" s="16" t="str">
        <f>SUBSTITUTE(SUBSTITUTE(SUBSTITUTE(SUBSTITUTE(SUBSTITUTE(SUBSTITUTE(SUBSTITUTE(X57,"~PVNAME",S57),"~EGU",J57),"~PREC",P57),"~VAR",E57),"~CANGET",V57),"~CANSET",W57),"~DESC",LEFT(G57,40))</f>
        <v>expand("pmacRascanGSVar.vdb", GSVarP2049) {
  macro(VAR, "P2049")
  macro(EGU, "")
  macro(P, "$(P)")
  macro(Q, ":RSCN:LINE_DIR")
  macro(PORT, "$(PORT)")
  macro(CanGet, "$(P):RSCN:ST_MONITOR")
  macro(CanSet, "$(P):RSCN:ST_NEVER")
  macro(PREC, "$(PREC=)")
  macro(DESC,"Current line direction")
}</v>
      </c>
      <c r="Z57" s="32" t="str">
        <f>IF(ISNUMBER($F57),SUBSTITUTE(SUBSTITUTE(SUBSTITUTE(SUBSTITUTE(SUBSTITUTE(SUBSTITUTE(SUBSTITUTE(SUBSTITUTE(y_QLabel &amp; y_QELabel &amp; IF($I57="gsu",y_QELineEdit,""),"~PVNAME",$S57),"~EGU",$J57),"~PREC",$P57),"~VAR",$E57),"~CANGET",$V57),"~CANSET",$W57),"~ROW",$F57),"~NAME",$D57),"")</f>
        <v>&lt;item row="9" column="0"&gt;
            &lt;widget class="QLabel" name="L_P2049"&gt;
             &lt;property name="sizePolicy"&gt;
              &lt;sizepolicy hsizetype="MinimumExpanding" vsizetype="Preferred"&gt;
               &lt;horstretch&gt;0&lt;/horstretch&gt;
               &lt;verstretch&gt;0&lt;/verstretch&gt;
              &lt;/sizepolicy&gt;
             &lt;/property&gt;
             &lt;property name="minimumSize"&gt;
              &lt;size&gt;
               &lt;width&gt;88&lt;/width&gt;
               &lt;height&gt;8&lt;/height&gt;
              &lt;/size&gt;
             &lt;/property&gt;
             &lt;property name="text"&gt;
              &lt;string&gt;line_Dir&lt;/string&gt;
             &lt;/property&gt;
            &lt;/widget&gt;
           &lt;/item&gt;&lt;item row="9" column="1"&gt;
            &lt;widget class="QELabel" name="QL_P2049"&gt;
             &lt;property name="variable" stdset="0"&gt;
              &lt;string&gt;"SR99ID01FST01:RSCN:LINE_DIR:SYNC"&lt;/string&gt;
             &lt;/property&gt;
            &lt;/widget&gt;
           &lt;/item&gt;</v>
      </c>
      <c r="AA57" s="16" t="str">
        <f>VLOOKUP(H57,y_EPICS_Formats,2,FALSE)</f>
        <v>%d</v>
      </c>
      <c r="AB57" s="9" t="str">
        <f>IF(LEFT(I57)="g",y_Prefix&amp;S57&amp;" = ","")</f>
        <v xml:space="preserve">SR05ID01FST01:RSCN:LINE_DIR = </v>
      </c>
      <c r="AC57" s="9" t="str">
        <f>IFERROR(";"&amp;G57&amp;"["&amp;J57&amp;"]"&amp;I57&amp;CHAR(10)&amp;B57 &amp;CHAR(9)&amp;U57&amp;CHAR(9)&amp;E57 &amp;CHAR(9),";;Error!")</f>
        <v xml:space="preserve">;Current line direction[]g
#define	lineDir	P2049	</v>
      </c>
      <c r="AD57" s="9" t="str">
        <f>IF(IFERROR(Q57&gt;0,FALSE),SUBSTITUTE(SUBSTITUTE(SUBSTITUTE(y_archiverXML,"~PVNAME",S57&amp;IF(LEN(X57)&lt;1,"",":RBV")),"~PREFIX",y_Prefix),"~PERIOD",Q57),"")</f>
        <v/>
      </c>
      <c r="AE57" s="20">
        <f>IF(OR(LEFT($I57)="e",LEFT($I57)="g"),AE$1-LEN(S57),"")</f>
        <v>3</v>
      </c>
      <c r="AF57" s="20">
        <f>IF(OR(LEFT($I57)="e",LEFT($I57)="g"),AF$1-LEN(T57),"")</f>
        <v>9</v>
      </c>
      <c r="AG57" s="20">
        <f>IF(OR(LEFT($I57)="e",LEFT($I57)="g"),AG$1-LEN(U57),"")</f>
        <v>9</v>
      </c>
      <c r="AH57" s="20">
        <f>IF(OR(LEFT($I57)="e",LEFT($I57)="g"),AH$1-LEN(V57),"")</f>
        <v>20</v>
      </c>
      <c r="AI57" s="2" t="str">
        <f>IF(ISNUMBER(E57),"0"&amp;LEFT(D57,2)&amp;TEXT(E57,"#.0000"),E57)</f>
        <v>P2049</v>
      </c>
    </row>
    <row r="58" spans="1:35" ht="29.25" x14ac:dyDescent="0.3">
      <c r="A58" s="6" t="str">
        <f>IF(T58&lt;&gt;U58,"&lt;FIND TYPE=ASC&gt;"&amp;R58&amp;"&lt;/FIND&gt;&lt;REPLACE TYPE=ASC&gt;"&amp;S58&amp;"&lt;/REPLACE&gt;"&amp;CHAR(10)&amp;"&lt;FIND TYPE=ASC&gt;"&amp;T58&amp;"&lt;/FIND&gt;&lt;REPLACE TYPE=ASC&gt;"&amp;U58&amp;"&lt;/REPLACE&gt;"&amp;CHAR(10)&amp;"&lt;FIND TYPE=ASC&gt;"&amp;C58&amp;"&lt;/FIND&gt;&lt;REPLACE TYPE=ASC&gt;"&amp;D58&amp;"&lt;/REPLACE&gt;",".")</f>
        <v>&lt;FIND TYPE=ASC&gt;RSCN:T_MIN&lt;/FIND&gt;&lt;REPLACE TYPE=ASC&gt;RSCN:T_MIN&lt;/REPLACE&gt;
&lt;FIND TYPE=ASC&gt;tMin&lt;/FIND&gt;&lt;REPLACE TYPE=ASC&gt;tMinU&lt;/REPLACE&gt;
&lt;FIND TYPE=ASC&gt;t_Min&lt;/FIND&gt;&lt;REPLACE TYPE=ASC&gt;t_Min&lt;/REPLACE&gt;</v>
      </c>
      <c r="B58" s="7" t="s">
        <v>38</v>
      </c>
      <c r="C58" s="30" t="s">
        <v>513</v>
      </c>
      <c r="D58" s="7" t="s">
        <v>513</v>
      </c>
      <c r="E58" s="7" t="s">
        <v>103</v>
      </c>
      <c r="G58" s="8" t="s">
        <v>48</v>
      </c>
      <c r="H58" s="7"/>
      <c r="I58" s="7" t="s">
        <v>618</v>
      </c>
      <c r="J58" s="7" t="s">
        <v>73</v>
      </c>
      <c r="K58" s="7" t="s">
        <v>146</v>
      </c>
      <c r="L58" s="7" t="s">
        <v>157</v>
      </c>
      <c r="M58" s="7">
        <v>1E-3</v>
      </c>
      <c r="N58" s="7">
        <v>1E-3</v>
      </c>
      <c r="O58" s="7">
        <v>4</v>
      </c>
      <c r="P58" s="7">
        <v>4</v>
      </c>
      <c r="Q58" s="7">
        <v>30</v>
      </c>
      <c r="R58" s="17" t="str">
        <f>UPPER(R$1&amp;":"&amp;C58)</f>
        <v>RSCN:T_MIN</v>
      </c>
      <c r="S58" s="9" t="str">
        <f>UPPER(S$1&amp;":"&amp;D58)</f>
        <v>RSCN:T_MIN</v>
      </c>
      <c r="T58" s="17" t="str">
        <f>SUBSTITUTE(C58,"_","")</f>
        <v>tMin</v>
      </c>
      <c r="U58" s="9" t="str">
        <f>SUBSTITUTE(D58,"_","")&amp;IF(RIGHT(I58)="u","U","")</f>
        <v>tMinU</v>
      </c>
      <c r="V58" s="9" t="str">
        <f>IF(ISNUMBER(K58),K58,"$(P):"&amp;$S$1&amp;":"&amp;K58)</f>
        <v>$(P):RSCN:ST_ALWAYS</v>
      </c>
      <c r="W58" s="9" t="str">
        <f>IF(ISNUMBER(L58),L58,"$(P):"&amp;$S$1&amp;":"&amp;L58)</f>
        <v>$(P):RSCN:ST_GLOBAL</v>
      </c>
      <c r="X58" s="9" t="str">
        <f>IF(LEFT(I58)="g",IF(H58="real",y_pmacRascanGSVar,IF(H58="int",y_pmacRascanGSVar,"")),"")</f>
        <v/>
      </c>
      <c r="Y58" s="9" t="str">
        <f>SUBSTITUTE(SUBSTITUTE(SUBSTITUTE(SUBSTITUTE(SUBSTITUTE(SUBSTITUTE(SUBSTITUTE(X58,"~PVNAME",S58),"~EGU",J58),"~PREC",P58),"~VAR",E58),"~CANGET",V58),"~CANSET",W58),"~DESC",LEFT(G58,40))</f>
        <v/>
      </c>
      <c r="Z58" s="32" t="str">
        <f>IF(ISNUMBER($F58),SUBSTITUTE(SUBSTITUTE(SUBSTITUTE(SUBSTITUTE(SUBSTITUTE(SUBSTITUTE(SUBSTITUTE(SUBSTITUTE(y_QLabel &amp; y_QELabel &amp; IF($I58="gsu",y_QELineEdit,""),"~PVNAME",$S58),"~EGU",$J58),"~PREC",$P58),"~VAR",$E58),"~CANGET",$V58),"~CANSET",$W58),"~ROW",$F58),"~NAME",$D58),"")</f>
        <v/>
      </c>
      <c r="AA58" s="9" t="e">
        <f>VLOOKUP(H58,y_EPICS_Formats,2,FALSE)</f>
        <v>#N/A</v>
      </c>
      <c r="AB58" s="9" t="str">
        <f>IF(LEFT(I58)="g",y_Prefix&amp;S58&amp;" = ","")</f>
        <v xml:space="preserve">SR05ID01FST01:RSCN:T_MIN = </v>
      </c>
      <c r="AC58" s="9" t="str">
        <f>IFERROR(";"&amp;G58&amp;"["&amp;J58&amp;"]"&amp;I58&amp;CHAR(10)&amp;B58 &amp;CHAR(9)&amp;U58&amp;CHAR(9)&amp;E58 &amp;CHAR(9),";;Error!")</f>
        <v xml:space="preserve">;Pmac internal variable[s]gsu
#define	tMinU	P2050	</v>
      </c>
      <c r="AD58" s="9" t="str">
        <f>IF(IFERROR(Q58&gt;0,FALSE),SUBSTITUTE(SUBSTITUTE(SUBSTITUTE(y_archiverXML,"~PVNAME",S58&amp;IF(LEN(X58)&lt;1,"",":RBV")),"~PREFIX",y_Prefix),"~PERIOD",Q58),"")</f>
        <v xml:space="preserve">      &lt;channel&gt;
         &lt;name&gt;SR05ID01FST01:RSCN:T_MIN&lt;/name&gt;
         &lt;period&gt;30&lt;/period&gt;
         &lt;monitor/&gt;
      &lt;/channel&gt;</v>
      </c>
      <c r="AE58" s="20">
        <f>IF(OR(LEFT($I58)="e",LEFT($I58)="g"),AE$1-LEN(S58),"")</f>
        <v>6</v>
      </c>
      <c r="AF58" s="20">
        <f>IF(OR(LEFT($I58)="e",LEFT($I58)="g"),AF$1-LEN(T58),"")</f>
        <v>12</v>
      </c>
      <c r="AG58" s="20">
        <f>IF(OR(LEFT($I58)="e",LEFT($I58)="g"),AG$1-LEN(U58),"")</f>
        <v>11</v>
      </c>
      <c r="AH58" s="20">
        <f>IF(OR(LEFT($I58)="e",LEFT($I58)="g"),AH$1-LEN(V58),"")</f>
        <v>21</v>
      </c>
      <c r="AI58" s="2" t="str">
        <f>IF(ISNUMBER(E58),"0"&amp;LEFT(D58,2)&amp;TEXT(E58,"#.0000"),E58)</f>
        <v>P2050</v>
      </c>
    </row>
    <row r="59" spans="1:35" ht="29.25" x14ac:dyDescent="0.3">
      <c r="A59" s="6" t="str">
        <f>IF(T59&lt;&gt;U59,"&lt;FIND TYPE=ASC&gt;"&amp;R59&amp;"&lt;/FIND&gt;&lt;REPLACE TYPE=ASC&gt;"&amp;S59&amp;"&lt;/REPLACE&gt;"&amp;CHAR(10)&amp;"&lt;FIND TYPE=ASC&gt;"&amp;T59&amp;"&lt;/FIND&gt;&lt;REPLACE TYPE=ASC&gt;"&amp;U59&amp;"&lt;/REPLACE&gt;"&amp;CHAR(10)&amp;"&lt;FIND TYPE=ASC&gt;"&amp;C59&amp;"&lt;/FIND&gt;&lt;REPLACE TYPE=ASC&gt;"&amp;D59&amp;"&lt;/REPLACE&gt;",".")</f>
        <v>.</v>
      </c>
      <c r="B59" s="7" t="s">
        <v>70</v>
      </c>
      <c r="C59" s="30" t="s">
        <v>49</v>
      </c>
      <c r="D59" s="7" t="s">
        <v>49</v>
      </c>
      <c r="E59" s="7" t="s">
        <v>104</v>
      </c>
      <c r="G59" s="8" t="s">
        <v>48</v>
      </c>
      <c r="H59" s="7"/>
      <c r="I59" s="7" t="s">
        <v>39</v>
      </c>
      <c r="J59" s="7"/>
      <c r="K59" s="7"/>
      <c r="L59" s="7"/>
      <c r="M59" s="7"/>
      <c r="N59" s="7"/>
      <c r="O59" s="7"/>
      <c r="P59" s="7"/>
      <c r="Q59" s="7"/>
      <c r="R59" s="17" t="str">
        <f>UPPER(R$1&amp;":"&amp;C59)</f>
        <v>RSCN:XD1</v>
      </c>
      <c r="S59" s="9" t="str">
        <f>UPPER(S$1&amp;":"&amp;D59)</f>
        <v>RSCN:XD1</v>
      </c>
      <c r="T59" s="17" t="str">
        <f>SUBSTITUTE(C59,"_","")</f>
        <v>Xd1</v>
      </c>
      <c r="U59" s="9" t="str">
        <f>SUBSTITUTE(D59,"_","")&amp;IF(RIGHT(I59)="u","U","")</f>
        <v>Xd1</v>
      </c>
      <c r="V59" s="9" t="str">
        <f>IF(ISNUMBER(K59),K59,"$(P):"&amp;$S$1&amp;":"&amp;K59)</f>
        <v>$(P):RSCN:</v>
      </c>
      <c r="W59" s="9" t="str">
        <f>IF(ISNUMBER(L59),L59,"$(P):"&amp;$S$1&amp;":"&amp;L59)</f>
        <v>$(P):RSCN:</v>
      </c>
      <c r="X59" s="9" t="str">
        <f>IF(LEFT(I59)="g",IF(H59="real",y_pmacRascanGSVar,IF(H59="int",y_pmacRascanGSVar,"")),"")</f>
        <v/>
      </c>
      <c r="Y59" s="9" t="str">
        <f>SUBSTITUTE(SUBSTITUTE(SUBSTITUTE(SUBSTITUTE(SUBSTITUTE(SUBSTITUTE(SUBSTITUTE(X59,"~PVNAME",S59),"~EGU",J59),"~PREC",P59),"~VAR",E59),"~CANGET",V59),"~CANSET",W59),"~DESC",LEFT(G59,40))</f>
        <v/>
      </c>
      <c r="Z59" s="32" t="str">
        <f>IF(ISNUMBER($F59),SUBSTITUTE(SUBSTITUTE(SUBSTITUTE(SUBSTITUTE(SUBSTITUTE(SUBSTITUTE(SUBSTITUTE(SUBSTITUTE(y_QLabel &amp; y_QELabel &amp; IF($I59="gsu",y_QELineEdit,""),"~PVNAME",$S59),"~EGU",$J59),"~PREC",$P59),"~VAR",$E59),"~CANGET",$V59),"~CANSET",$W59),"~ROW",$F59),"~NAME",$D59),"")</f>
        <v/>
      </c>
      <c r="AA59" s="9" t="e">
        <f>VLOOKUP(H59,y_EPICS_Formats,2,FALSE)</f>
        <v>#N/A</v>
      </c>
      <c r="AB59" s="9" t="str">
        <f>IF(LEFT(I59)="g",y_Prefix&amp;S59&amp;" = ","")</f>
        <v/>
      </c>
      <c r="AC59" s="9" t="str">
        <f>IFERROR(";"&amp;G59&amp;"["&amp;J59&amp;"]"&amp;I59&amp;CHAR(10)&amp;B59 &amp;CHAR(9)&amp;U59&amp;CHAR(9)&amp;E59 &amp;CHAR(9),";;Error!")</f>
        <v xml:space="preserve">;Pmac internal variable[]p
;;;	Xd1	P2051	</v>
      </c>
      <c r="AD59" s="9" t="str">
        <f>IF(IFERROR(Q59&gt;0,FALSE),SUBSTITUTE(SUBSTITUTE(SUBSTITUTE(y_archiverXML,"~PVNAME",S59&amp;IF(LEN(X59)&lt;1,"",":RBV")),"~PREFIX",y_Prefix),"~PERIOD",Q59),"")</f>
        <v/>
      </c>
      <c r="AE59" s="20" t="str">
        <f>IF(OR(LEFT($I59)="e",LEFT($I59)="g"),AE$1-LEN(S59),"")</f>
        <v/>
      </c>
      <c r="AF59" s="20" t="str">
        <f>IF(OR(LEFT($I59)="e",LEFT($I59)="g"),AF$1-LEN(T59),"")</f>
        <v/>
      </c>
      <c r="AG59" s="20" t="str">
        <f>IF(OR(LEFT($I59)="e",LEFT($I59)="g"),AG$1-LEN(U59),"")</f>
        <v/>
      </c>
      <c r="AH59" s="20" t="str">
        <f>IF(OR(LEFT($I59)="e",LEFT($I59)="g"),AH$1-LEN(V59),"")</f>
        <v/>
      </c>
      <c r="AI59" s="2" t="str">
        <f>IF(ISNUMBER(E59),"0"&amp;LEFT(D59,2)&amp;TEXT(E59,"#.0000"),E59)</f>
        <v>P2051</v>
      </c>
    </row>
    <row r="60" spans="1:35" x14ac:dyDescent="0.3">
      <c r="A60" s="6" t="str">
        <f>IF(T60&lt;&gt;U60,"&lt;FIND TYPE=ASC&gt;"&amp;R60&amp;"&lt;/FIND&gt;&lt;REPLACE TYPE=ASC&gt;"&amp;S60&amp;"&lt;/REPLACE&gt;"&amp;CHAR(10)&amp;"&lt;FIND TYPE=ASC&gt;"&amp;T60&amp;"&lt;/FIND&gt;&lt;REPLACE TYPE=ASC&gt;"&amp;U60&amp;"&lt;/REPLACE&gt;"&amp;CHAR(10)&amp;"&lt;FIND TYPE=ASC&gt;"&amp;C60&amp;"&lt;/FIND&gt;&lt;REPLACE TYPE=ASC&gt;"&amp;D60&amp;"&lt;/REPLACE&gt;",".")</f>
        <v>.</v>
      </c>
      <c r="B60" s="7" t="s">
        <v>38</v>
      </c>
      <c r="C60" s="30" t="s">
        <v>556</v>
      </c>
      <c r="D60" s="7" t="s">
        <v>556</v>
      </c>
      <c r="E60" s="7" t="s">
        <v>105</v>
      </c>
      <c r="F60" s="3">
        <v>11</v>
      </c>
      <c r="G60" s="8" t="s">
        <v>511</v>
      </c>
      <c r="H60" s="7" t="s">
        <v>43</v>
      </c>
      <c r="I60" s="7" t="s">
        <v>46</v>
      </c>
      <c r="J60" s="7" t="s">
        <v>169</v>
      </c>
      <c r="K60" s="7" t="s">
        <v>138</v>
      </c>
      <c r="L60" s="7" t="s">
        <v>69</v>
      </c>
      <c r="M60" s="7"/>
      <c r="N60" s="7">
        <v>-9999999</v>
      </c>
      <c r="O60" s="7">
        <v>9999999</v>
      </c>
      <c r="P60" s="7">
        <v>5</v>
      </c>
      <c r="Q60" s="7">
        <v>30</v>
      </c>
      <c r="R60" s="17" t="str">
        <f>UPPER(R$1&amp;":"&amp;C60)</f>
        <v>RSCN:D1_IN</v>
      </c>
      <c r="S60" s="9" t="str">
        <f>UPPER(S$1&amp;":"&amp;D60)</f>
        <v>RSCN:D1_IN</v>
      </c>
      <c r="T60" s="17" t="str">
        <f>SUBSTITUTE(C60,"_","")</f>
        <v>d1In</v>
      </c>
      <c r="U60" s="9" t="str">
        <f>SUBSTITUTE(D60,"_","")&amp;IF(RIGHT(I60)="u","U","")</f>
        <v>d1In</v>
      </c>
      <c r="V60" s="9" t="str">
        <f>IF(ISNUMBER(K60),K60,"$(P):"&amp;$S$1&amp;":"&amp;K60)</f>
        <v>$(P):RSCN:ST_MONITOR</v>
      </c>
      <c r="W60" s="9" t="str">
        <f>IF(ISNUMBER(L60),L60,"$(P):"&amp;$S$1&amp;":"&amp;L60)</f>
        <v>$(P):RSCN:ST_NEVER</v>
      </c>
      <c r="X60" s="9" t="str">
        <f>IF(LEFT(I60)="g",IF(H60="real",y_pmacRascanGSVar,IF(H60="int",y_pmacRascanGSVar,"")),"")</f>
        <v>expand("pmacRascanGSVar.vdb", GSVar~VAR) {
  macro(VAR, "~VAR")
  macro(EGU, "~EGU")
  macro(P, "$(P)")
  macro(Q, ":~PVNAME")
  macro(PORT, "$(PORT)")
  macro(CanGet, "~CANGET")
  macro(CanSet, "~CANSET")
  macro(PREC, "$(PREC=~PREC)")
  macro(DESC,"~DESC")
}</v>
      </c>
      <c r="Y60" s="9" t="str">
        <f>SUBSTITUTE(SUBSTITUTE(SUBSTITUTE(SUBSTITUTE(SUBSTITUTE(SUBSTITUTE(SUBSTITUTE(X60,"~PVNAME",S60),"~EGU",J60),"~PREC",P60),"~VAR",E60),"~CANGET",V60),"~CANSET",W60),"~DESC",LEFT(G60,40))</f>
        <v>expand("pmacRascanGSVar.vdb", GSVarP2052) {
  macro(VAR, "P2052")
  macro(EGU, "EGU")
  macro(P, "$(P)")
  macro(Q, ":RSCN:D1_IN")
  macro(PORT, "$(PORT)")
  macro(CanGet, "$(P):RSCN:ST_MONITOR")
  macro(CanSet, "$(P):RSCN:ST_NEVER")
  macro(PREC, "$(PREC=5)")
  macro(DESC,"Fly axis scan line inner-skip distance")
}</v>
      </c>
      <c r="Z60" s="32" t="str">
        <f>IF(ISNUMBER($F60),SUBSTITUTE(SUBSTITUTE(SUBSTITUTE(SUBSTITUTE(SUBSTITUTE(SUBSTITUTE(SUBSTITUTE(SUBSTITUTE(y_QLabel &amp; y_QELabel &amp; IF($I60="gsu",y_QELineEdit,""),"~PVNAME",$S60),"~EGU",$J60),"~PREC",$P60),"~VAR",$E60),"~CANGET",$V60),"~CANSET",$W60),"~ROW",$F60),"~NAME",$D60),"")</f>
        <v>&lt;item row="11" column="0"&gt;
            &lt;widget class="QLabel" name="L_P2052"&gt;
             &lt;property name="sizePolicy"&gt;
              &lt;sizepolicy hsizetype="MinimumExpanding" vsizetype="Preferred"&gt;
               &lt;horstretch&gt;0&lt;/horstretch&gt;
               &lt;verstretch&gt;0&lt;/verstretch&gt;
              &lt;/sizepolicy&gt;
             &lt;/property&gt;
             &lt;property name="minimumSize"&gt;
              &lt;size&gt;
               &lt;width&gt;88&lt;/width&gt;
               &lt;height&gt;8&lt;/height&gt;
              &lt;/size&gt;
             &lt;/property&gt;
             &lt;property name="text"&gt;
              &lt;string&gt;d1_In&lt;/string&gt;
             &lt;/property&gt;
            &lt;/widget&gt;
           &lt;/item&gt;&lt;item row="11" column="1"&gt;
            &lt;widget class="QELabel" name="QL_P2052"&gt;
             &lt;property name="variable" stdset="0"&gt;
              &lt;string&gt;"SR99ID01FST01:RSCN:D1_IN:SYNC"&lt;/string&gt;
             &lt;/property&gt;
            &lt;/widget&gt;
           &lt;/item&gt;</v>
      </c>
      <c r="AA60" s="9" t="str">
        <f>VLOOKUP(H60,y_EPICS_Formats,2,FALSE)</f>
        <v>%f</v>
      </c>
      <c r="AB60" s="9" t="str">
        <f>IF(LEFT(I60)="g",y_Prefix&amp;S60&amp;" = ","")</f>
        <v xml:space="preserve">SR05ID01FST01:RSCN:D1_IN = </v>
      </c>
      <c r="AC60" s="9" t="str">
        <f>IFERROR(";"&amp;G60&amp;"["&amp;J60&amp;"]"&amp;I60&amp;CHAR(10)&amp;B60 &amp;CHAR(9)&amp;U60&amp;CHAR(9)&amp;E60 &amp;CHAR(9),";;Error!")</f>
        <v xml:space="preserve">;Fly axis scan line inner-skip distance[EGU]g
#define	d1In	P2052	</v>
      </c>
      <c r="AD60" s="9" t="str">
        <f>IF(IFERROR(Q60&gt;0,FALSE),SUBSTITUTE(SUBSTITUTE(SUBSTITUTE(y_archiverXML,"~PVNAME",S60&amp;IF(LEN(X60)&lt;1,"",":RBV")),"~PREFIX",y_Prefix),"~PERIOD",Q60),"")</f>
        <v xml:space="preserve">      &lt;channel&gt;
         &lt;name&gt;SR05ID01FST01:RSCN:D1_IN:RBV&lt;/name&gt;
         &lt;period&gt;30&lt;/period&gt;
         &lt;monitor/&gt;
      &lt;/channel&gt;</v>
      </c>
      <c r="AE60" s="20">
        <f>IF(OR(LEFT($I60)="e",LEFT($I60)="g"),AE$1-LEN(S60),"")</f>
        <v>6</v>
      </c>
      <c r="AF60" s="20">
        <f>IF(OR(LEFT($I60)="e",LEFT($I60)="g"),AF$1-LEN(T60),"")</f>
        <v>12</v>
      </c>
      <c r="AG60" s="20">
        <f>IF(OR(LEFT($I60)="e",LEFT($I60)="g"),AG$1-LEN(U60),"")</f>
        <v>12</v>
      </c>
      <c r="AH60" s="20">
        <f>IF(OR(LEFT($I60)="e",LEFT($I60)="g"),AH$1-LEN(V60),"")</f>
        <v>20</v>
      </c>
      <c r="AI60" s="2" t="str">
        <f>IF(ISNUMBER(E60),"0"&amp;LEFT(D60,2)&amp;TEXT(E60,"#.0000"),E60)</f>
        <v>P2052</v>
      </c>
    </row>
    <row r="61" spans="1:35" x14ac:dyDescent="0.3">
      <c r="A61" s="6" t="str">
        <f>IF(T61&lt;&gt;U61,"&lt;FIND TYPE=ASC&gt;"&amp;R61&amp;"&lt;/FIND&gt;&lt;REPLACE TYPE=ASC&gt;"&amp;S61&amp;"&lt;/REPLACE&gt;"&amp;CHAR(10)&amp;"&lt;FIND TYPE=ASC&gt;"&amp;T61&amp;"&lt;/FIND&gt;&lt;REPLACE TYPE=ASC&gt;"&amp;U61&amp;"&lt;/REPLACE&gt;"&amp;CHAR(10)&amp;"&lt;FIND TYPE=ASC&gt;"&amp;C61&amp;"&lt;/FIND&gt;&lt;REPLACE TYPE=ASC&gt;"&amp;D61&amp;"&lt;/REPLACE&gt;",".")</f>
        <v>.</v>
      </c>
      <c r="B61" s="7" t="s">
        <v>38</v>
      </c>
      <c r="C61" s="30" t="s">
        <v>557</v>
      </c>
      <c r="D61" s="7" t="s">
        <v>557</v>
      </c>
      <c r="E61" s="7" t="s">
        <v>106</v>
      </c>
      <c r="F61" s="3">
        <v>12</v>
      </c>
      <c r="G61" s="8" t="s">
        <v>521</v>
      </c>
      <c r="H61" s="7" t="s">
        <v>43</v>
      </c>
      <c r="I61" s="7" t="s">
        <v>46</v>
      </c>
      <c r="J61" s="7" t="s">
        <v>169</v>
      </c>
      <c r="K61" s="7" t="s">
        <v>138</v>
      </c>
      <c r="L61" s="7" t="s">
        <v>69</v>
      </c>
      <c r="M61" s="7"/>
      <c r="N61" s="7">
        <v>-9999999</v>
      </c>
      <c r="O61" s="7">
        <v>9999999</v>
      </c>
      <c r="P61" s="7">
        <v>5</v>
      </c>
      <c r="Q61" s="7">
        <v>30</v>
      </c>
      <c r="R61" s="17" t="str">
        <f>UPPER(R$1&amp;":"&amp;C61)</f>
        <v>RSCN:D2_IN</v>
      </c>
      <c r="S61" s="9" t="str">
        <f>UPPER(S$1&amp;":"&amp;D61)</f>
        <v>RSCN:D2_IN</v>
      </c>
      <c r="T61" s="17" t="str">
        <f>SUBSTITUTE(C61,"_","")</f>
        <v>d2In</v>
      </c>
      <c r="U61" s="9" t="str">
        <f>SUBSTITUTE(D61,"_","")&amp;IF(RIGHT(I61)="u","U","")</f>
        <v>d2In</v>
      </c>
      <c r="V61" s="9" t="str">
        <f>IF(ISNUMBER(K61),K61,"$(P):"&amp;$S$1&amp;":"&amp;K61)</f>
        <v>$(P):RSCN:ST_MONITOR</v>
      </c>
      <c r="W61" s="9" t="str">
        <f>IF(ISNUMBER(L61),L61,"$(P):"&amp;$S$1&amp;":"&amp;L61)</f>
        <v>$(P):RSCN:ST_NEVER</v>
      </c>
      <c r="X61" s="9" t="str">
        <f>IF(LEFT(I61)="g",IF(H61="real",y_pmacRascanGSVar,IF(H61="int",y_pmacRascanGSVar,"")),"")</f>
        <v>expand("pmacRascanGSVar.vdb", GSVar~VAR) {
  macro(VAR, "~VAR")
  macro(EGU, "~EGU")
  macro(P, "$(P)")
  macro(Q, ":~PVNAME")
  macro(PORT, "$(PORT)")
  macro(CanGet, "~CANGET")
  macro(CanSet, "~CANSET")
  macro(PREC, "$(PREC=~PREC)")
  macro(DESC,"~DESC")
}</v>
      </c>
      <c r="Y61" s="9" t="str">
        <f>SUBSTITUTE(SUBSTITUTE(SUBSTITUTE(SUBSTITUTE(SUBSTITUTE(SUBSTITUTE(SUBSTITUTE(X61,"~PVNAME",S61),"~EGU",J61),"~PREC",P61),"~VAR",E61),"~CANGET",V61),"~CANSET",W61),"~DESC",LEFT(G61,40))</f>
        <v>expand("pmacRascanGSVar.vdb", GSVarP2053) {
  macro(VAR, "P2053")
  macro(EGU, "EGU")
  macro(P, "$(P)")
  macro(Q, ":RSCN:D2_IN")
  macro(PORT, "$(PORT)")
  macro(CanGet, "$(P):RSCN:ST_MONITOR")
  macro(CanSet, "$(P):RSCN:ST_NEVER")
  macro(PREC, "$(PREC=5)")
  macro(DESC,"Increment axis inner-skip move distance")
}</v>
      </c>
      <c r="Z61" s="32" t="str">
        <f>IF(ISNUMBER($F61),SUBSTITUTE(SUBSTITUTE(SUBSTITUTE(SUBSTITUTE(SUBSTITUTE(SUBSTITUTE(SUBSTITUTE(SUBSTITUTE(y_QLabel &amp; y_QELabel &amp; IF($I61="gsu",y_QELineEdit,""),"~PVNAME",$S61),"~EGU",$J61),"~PREC",$P61),"~VAR",$E61),"~CANGET",$V61),"~CANSET",$W61),"~ROW",$F61),"~NAME",$D61),"")</f>
        <v>&lt;item row="12" column="0"&gt;
            &lt;widget class="QLabel" name="L_P2053"&gt;
             &lt;property name="sizePolicy"&gt;
              &lt;sizepolicy hsizetype="MinimumExpanding" vsizetype="Preferred"&gt;
               &lt;horstretch&gt;0&lt;/horstretch&gt;
               &lt;verstretch&gt;0&lt;/verstretch&gt;
              &lt;/sizepolicy&gt;
             &lt;/property&gt;
             &lt;property name="minimumSize"&gt;
              &lt;size&gt;
               &lt;width&gt;88&lt;/width&gt;
               &lt;height&gt;8&lt;/height&gt;
              &lt;/size&gt;
             &lt;/property&gt;
             &lt;property name="text"&gt;
              &lt;string&gt;d2_In&lt;/string&gt;
             &lt;/property&gt;
            &lt;/widget&gt;
           &lt;/item&gt;&lt;item row="12" column="1"&gt;
            &lt;widget class="QELabel" name="QL_P2053"&gt;
             &lt;property name="variable" stdset="0"&gt;
              &lt;string&gt;"SR99ID01FST01:RSCN:D2_IN:SYNC"&lt;/string&gt;
             &lt;/property&gt;
            &lt;/widget&gt;
           &lt;/item&gt;</v>
      </c>
      <c r="AA61" s="9" t="str">
        <f>VLOOKUP(H61,y_EPICS_Formats,2,FALSE)</f>
        <v>%f</v>
      </c>
      <c r="AB61" s="9" t="str">
        <f>IF(LEFT(I61)="g",y_Prefix&amp;S61&amp;" = ","")</f>
        <v xml:space="preserve">SR05ID01FST01:RSCN:D2_IN = </v>
      </c>
      <c r="AC61" s="9" t="str">
        <f>IFERROR(";"&amp;G61&amp;"["&amp;J61&amp;"]"&amp;I61&amp;CHAR(10)&amp;B61 &amp;CHAR(9)&amp;U61&amp;CHAR(9)&amp;E61 &amp;CHAR(9),";;Error!")</f>
        <v xml:space="preserve">;Increment axis inner-skip move distance[EGU]g
#define	d2In	P2053	</v>
      </c>
      <c r="AD61" s="9" t="str">
        <f>IF(IFERROR(Q61&gt;0,FALSE),SUBSTITUTE(SUBSTITUTE(SUBSTITUTE(y_archiverXML,"~PVNAME",S61&amp;IF(LEN(X61)&lt;1,"",":RBV")),"~PREFIX",y_Prefix),"~PERIOD",Q61),"")</f>
        <v xml:space="preserve">      &lt;channel&gt;
         &lt;name&gt;SR05ID01FST01:RSCN:D2_IN:RBV&lt;/name&gt;
         &lt;period&gt;30&lt;/period&gt;
         &lt;monitor/&gt;
      &lt;/channel&gt;</v>
      </c>
      <c r="AE61" s="20">
        <f>IF(OR(LEFT($I61)="e",LEFT($I61)="g"),AE$1-LEN(S61),"")</f>
        <v>6</v>
      </c>
      <c r="AF61" s="20">
        <f>IF(OR(LEFT($I61)="e",LEFT($I61)="g"),AF$1-LEN(T61),"")</f>
        <v>12</v>
      </c>
      <c r="AG61" s="20">
        <f>IF(OR(LEFT($I61)="e",LEFT($I61)="g"),AG$1-LEN(U61),"")</f>
        <v>12</v>
      </c>
      <c r="AH61" s="20">
        <f>IF(OR(LEFT($I61)="e",LEFT($I61)="g"),AH$1-LEN(V61),"")</f>
        <v>20</v>
      </c>
      <c r="AI61" s="2" t="str">
        <f>IF(ISNUMBER(E61),"0"&amp;LEFT(D61,2)&amp;TEXT(E61,"#.0000"),E61)</f>
        <v>P2053</v>
      </c>
    </row>
    <row r="62" spans="1:35" ht="29.25" x14ac:dyDescent="0.3">
      <c r="A62" s="6" t="str">
        <f>IF(T62&lt;&gt;U62,"&lt;FIND TYPE=ASC&gt;"&amp;R62&amp;"&lt;/FIND&gt;&lt;REPLACE TYPE=ASC&gt;"&amp;S62&amp;"&lt;/REPLACE&gt;"&amp;CHAR(10)&amp;"&lt;FIND TYPE=ASC&gt;"&amp;T62&amp;"&lt;/FIND&gt;&lt;REPLACE TYPE=ASC&gt;"&amp;U62&amp;"&lt;/REPLACE&gt;"&amp;CHAR(10)&amp;"&lt;FIND TYPE=ASC&gt;"&amp;C62&amp;"&lt;/FIND&gt;&lt;REPLACE TYPE=ASC&gt;"&amp;D62&amp;"&lt;/REPLACE&gt;",".")</f>
        <v>.</v>
      </c>
      <c r="B62" s="7" t="s">
        <v>38</v>
      </c>
      <c r="C62" s="30" t="s">
        <v>558</v>
      </c>
      <c r="D62" s="7" t="s">
        <v>558</v>
      </c>
      <c r="E62" s="7" t="s">
        <v>107</v>
      </c>
      <c r="F62" s="3">
        <v>13</v>
      </c>
      <c r="G62" s="8" t="s">
        <v>524</v>
      </c>
      <c r="H62" s="7" t="s">
        <v>43</v>
      </c>
      <c r="I62" s="7" t="s">
        <v>46</v>
      </c>
      <c r="J62" s="7" t="s">
        <v>169</v>
      </c>
      <c r="K62" s="7" t="s">
        <v>138</v>
      </c>
      <c r="L62" s="7" t="s">
        <v>69</v>
      </c>
      <c r="M62" s="7"/>
      <c r="N62" s="7">
        <v>-9999999</v>
      </c>
      <c r="O62" s="7">
        <v>9999999</v>
      </c>
      <c r="P62" s="7">
        <v>5</v>
      </c>
      <c r="Q62" s="7">
        <v>30</v>
      </c>
      <c r="R62" s="17" t="str">
        <f>UPPER(R$1&amp;":"&amp;C62)</f>
        <v>RSCN:D2_OUT</v>
      </c>
      <c r="S62" s="9" t="str">
        <f>UPPER(S$1&amp;":"&amp;D62)</f>
        <v>RSCN:D2_OUT</v>
      </c>
      <c r="T62" s="17" t="str">
        <f>SUBSTITUTE(C62,"_","")</f>
        <v>d2Out</v>
      </c>
      <c r="U62" s="9" t="str">
        <f>SUBSTITUTE(D62,"_","")&amp;IF(RIGHT(I62)="u","U","")</f>
        <v>d2Out</v>
      </c>
      <c r="V62" s="9" t="str">
        <f>IF(ISNUMBER(K62),K62,"$(P):"&amp;$S$1&amp;":"&amp;K62)</f>
        <v>$(P):RSCN:ST_MONITOR</v>
      </c>
      <c r="W62" s="9" t="str">
        <f>IF(ISNUMBER(L62),L62,"$(P):"&amp;$S$1&amp;":"&amp;L62)</f>
        <v>$(P):RSCN:ST_NEVER</v>
      </c>
      <c r="X62" s="9" t="str">
        <f>IF(LEFT(I62)="g",IF(H62="real",y_pmacRascanGSVar,IF(H62="int",y_pmacRascanGSVar,"")),"")</f>
        <v>expand("pmacRascanGSVar.vdb", GSVar~VAR) {
  macro(VAR, "~VAR")
  macro(EGU, "~EGU")
  macro(P, "$(P)")
  macro(Q, ":~PVNAME")
  macro(PORT, "$(PORT)")
  macro(CanGet, "~CANGET")
  macro(CanSet, "~CANSET")
  macro(PREC, "$(PREC=~PREC)")
  macro(DESC,"~DESC")
}</v>
      </c>
      <c r="Y62" s="9" t="str">
        <f>SUBSTITUTE(SUBSTITUTE(SUBSTITUTE(SUBSTITUTE(SUBSTITUTE(SUBSTITUTE(SUBSTITUTE(X62,"~PVNAME",S62),"~EGU",J62),"~PREC",P62),"~VAR",E62),"~CANGET",V62),"~CANSET",W62),"~DESC",LEFT(G62,40))</f>
        <v>expand("pmacRascanGSVar.vdb", GSVarP2054) {
  macro(VAR, "P2054")
  macro(EGU, "EGU")
  macro(P, "$(P)")
  macro(Q, ":RSCN:D2_OUT")
  macro(PORT, "$(PORT)")
  macro(CanGet, "$(P):RSCN:ST_MONITOR")
  macro(CanSet, "$(P):RSCN:ST_NEVER")
  macro(PREC, "$(PREC=5)")
  macro(DESC,"Increment axis skip distance")
}</v>
      </c>
      <c r="Z62" s="32" t="str">
        <f>IF(ISNUMBER($F62),SUBSTITUTE(SUBSTITUTE(SUBSTITUTE(SUBSTITUTE(SUBSTITUTE(SUBSTITUTE(SUBSTITUTE(SUBSTITUTE(y_QLabel &amp; y_QELabel &amp; IF($I62="gsu",y_QELineEdit,""),"~PVNAME",$S62),"~EGU",$J62),"~PREC",$P62),"~VAR",$E62),"~CANGET",$V62),"~CANSET",$W62),"~ROW",$F62),"~NAME",$D62),"")</f>
        <v>&lt;item row="13" column="0"&gt;
            &lt;widget class="QLabel" name="L_P2054"&gt;
             &lt;property name="sizePolicy"&gt;
              &lt;sizepolicy hsizetype="MinimumExpanding" vsizetype="Preferred"&gt;
               &lt;horstretch&gt;0&lt;/horstretch&gt;
               &lt;verstretch&gt;0&lt;/verstretch&gt;
              &lt;/sizepolicy&gt;
             &lt;/property&gt;
             &lt;property name="minimumSize"&gt;
              &lt;size&gt;
               &lt;width&gt;88&lt;/width&gt;
               &lt;height&gt;8&lt;/height&gt;
              &lt;/size&gt;
             &lt;/property&gt;
             &lt;property name="text"&gt;
              &lt;string&gt;d2_Out&lt;/string&gt;
             &lt;/property&gt;
            &lt;/widget&gt;
           &lt;/item&gt;&lt;item row="13" column="1"&gt;
            &lt;widget class="QELabel" name="QL_P2054"&gt;
             &lt;property name="variable" stdset="0"&gt;
              &lt;string&gt;"SR99ID01FST01:RSCN:D2_OUT:SYNC"&lt;/string&gt;
             &lt;/property&gt;
            &lt;/widget&gt;
           &lt;/item&gt;</v>
      </c>
      <c r="AA62" s="9" t="str">
        <f>VLOOKUP(H62,y_EPICS_Formats,2,FALSE)</f>
        <v>%f</v>
      </c>
      <c r="AB62" s="9" t="str">
        <f>IF(LEFT(I62)="g",y_Prefix&amp;S62&amp;" = ","")</f>
        <v xml:space="preserve">SR05ID01FST01:RSCN:D2_OUT = </v>
      </c>
      <c r="AC62" s="9" t="str">
        <f>IFERROR(";"&amp;G62&amp;"["&amp;J62&amp;"]"&amp;I62&amp;CHAR(10)&amp;B62 &amp;CHAR(9)&amp;U62&amp;CHAR(9)&amp;E62 &amp;CHAR(9),";;Error!")</f>
        <v xml:space="preserve">;Increment axis skip distance[EGU]g
#define	d2Out	P2054	</v>
      </c>
      <c r="AD62" s="9" t="str">
        <f>IF(IFERROR(Q62&gt;0,FALSE),SUBSTITUTE(SUBSTITUTE(SUBSTITUTE(y_archiverXML,"~PVNAME",S62&amp;IF(LEN(X62)&lt;1,"",":RBV")),"~PREFIX",y_Prefix),"~PERIOD",Q62),"")</f>
        <v xml:space="preserve">      &lt;channel&gt;
         &lt;name&gt;SR05ID01FST01:RSCN:D2_OUT:RBV&lt;/name&gt;
         &lt;period&gt;30&lt;/period&gt;
         &lt;monitor/&gt;
      &lt;/channel&gt;</v>
      </c>
      <c r="AE62" s="20">
        <f>IF(OR(LEFT($I62)="e",LEFT($I62)="g"),AE$1-LEN(S62),"")</f>
        <v>5</v>
      </c>
      <c r="AF62" s="20">
        <f>IF(OR(LEFT($I62)="e",LEFT($I62)="g"),AF$1-LEN(T62),"")</f>
        <v>11</v>
      </c>
      <c r="AG62" s="20">
        <f>IF(OR(LEFT($I62)="e",LEFT($I62)="g"),AG$1-LEN(U62),"")</f>
        <v>11</v>
      </c>
      <c r="AH62" s="20">
        <f>IF(OR(LEFT($I62)="e",LEFT($I62)="g"),AH$1-LEN(V62),"")</f>
        <v>20</v>
      </c>
      <c r="AI62" s="2" t="str">
        <f>IF(ISNUMBER(E62),"0"&amp;LEFT(D62,2)&amp;TEXT(E62,"#.0000"),E62)</f>
        <v>P2054</v>
      </c>
    </row>
    <row r="63" spans="1:35" x14ac:dyDescent="0.3">
      <c r="A63" s="6" t="str">
        <f>IF(T63&lt;&gt;U63,"&lt;FIND TYPE=ASC&gt;"&amp;R63&amp;"&lt;/FIND&gt;&lt;REPLACE TYPE=ASC&gt;"&amp;S63&amp;"&lt;/REPLACE&gt;"&amp;CHAR(10)&amp;"&lt;FIND TYPE=ASC&gt;"&amp;T63&amp;"&lt;/FIND&gt;&lt;REPLACE TYPE=ASC&gt;"&amp;U63&amp;"&lt;/REPLACE&gt;"&amp;CHAR(10)&amp;"&lt;FIND TYPE=ASC&gt;"&amp;C63&amp;"&lt;/FIND&gt;&lt;REPLACE TYPE=ASC&gt;"&amp;D63&amp;"&lt;/REPLACE&gt;",".")</f>
        <v>.</v>
      </c>
      <c r="B63" s="7" t="s">
        <v>38</v>
      </c>
      <c r="C63" s="30" t="s">
        <v>568</v>
      </c>
      <c r="D63" s="7" t="s">
        <v>568</v>
      </c>
      <c r="E63" s="7" t="s">
        <v>108</v>
      </c>
      <c r="F63" s="3">
        <v>2</v>
      </c>
      <c r="G63" s="8" t="s">
        <v>47</v>
      </c>
      <c r="H63" s="7" t="s">
        <v>68</v>
      </c>
      <c r="I63" s="7" t="s">
        <v>46</v>
      </c>
      <c r="J63" s="7"/>
      <c r="K63" s="7" t="s">
        <v>136</v>
      </c>
      <c r="L63" s="7" t="s">
        <v>69</v>
      </c>
      <c r="M63" s="7"/>
      <c r="N63" s="7">
        <v>0</v>
      </c>
      <c r="O63" s="7">
        <v>9</v>
      </c>
      <c r="P63" s="7">
        <v>0</v>
      </c>
      <c r="Q63" s="7">
        <v>30</v>
      </c>
      <c r="R63" s="17" t="str">
        <f>UPPER(R$1&amp;":"&amp;C63)</f>
        <v>RSCN:DEV_ERROR</v>
      </c>
      <c r="S63" s="9" t="str">
        <f>UPPER(S$1&amp;":"&amp;D63)</f>
        <v>RSCN:DEV_ERROR</v>
      </c>
      <c r="T63" s="17" t="str">
        <f>SUBSTITUTE(C63,"_","")</f>
        <v>devError</v>
      </c>
      <c r="U63" s="9" t="str">
        <f>SUBSTITUTE(D63,"_","")&amp;IF(RIGHT(I63)="u","U","")</f>
        <v>devError</v>
      </c>
      <c r="V63" s="9" t="str">
        <f>IF(ISNUMBER(K63),K63,"$(P):"&amp;$S$1&amp;":"&amp;K63)</f>
        <v>$(P):RSCN:ST_INPROG</v>
      </c>
      <c r="W63" s="9" t="str">
        <f>IF(ISNUMBER(L63),L63,"$(P):"&amp;$S$1&amp;":"&amp;L63)</f>
        <v>$(P):RSCN:ST_NEVER</v>
      </c>
      <c r="X63" s="9" t="str">
        <f>IF(LEFT(I63)="g",IF(H63="real",y_pmacRascanGSVar,IF(H63="int",y_pmacRascanGSVar,"")),"")</f>
        <v/>
      </c>
      <c r="Y63" s="9" t="str">
        <f>SUBSTITUTE(SUBSTITUTE(SUBSTITUTE(SUBSTITUTE(SUBSTITUTE(SUBSTITUTE(SUBSTITUTE(X63,"~PVNAME",S63),"~EGU",J63),"~PREC",P63),"~VAR",E63),"~CANGET",V63),"~CANSET",W63),"~DESC",LEFT(G63,40))</f>
        <v/>
      </c>
      <c r="Z63" s="32" t="str">
        <f>IF(ISNUMBER($F63),SUBSTITUTE(SUBSTITUTE(SUBSTITUTE(SUBSTITUTE(SUBSTITUTE(SUBSTITUTE(SUBSTITUTE(SUBSTITUTE(y_QLabel &amp; y_QELabel &amp; IF($I63="gsu",y_QELineEdit,""),"~PVNAME",$S63),"~EGU",$J63),"~PREC",$P63),"~VAR",$E63),"~CANGET",$V63),"~CANSET",$W63),"~ROW",$F63),"~NAME",$D63),"")</f>
        <v>&lt;item row="2" column="0"&gt;
            &lt;widget class="QLabel" name="L_P2055"&gt;
             &lt;property name="sizePolicy"&gt;
              &lt;sizepolicy hsizetype="MinimumExpanding" vsizetype="Preferred"&gt;
               &lt;horstretch&gt;0&lt;/horstretch&gt;
               &lt;verstretch&gt;0&lt;/verstretch&gt;
              &lt;/sizepolicy&gt;
             &lt;/property&gt;
             &lt;property name="minimumSize"&gt;
              &lt;size&gt;
               &lt;width&gt;88&lt;/width&gt;
               &lt;height&gt;8&lt;/height&gt;
              &lt;/size&gt;
             &lt;/property&gt;
             &lt;property name="text"&gt;
              &lt;string&gt;dev_Error&lt;/string&gt;
             &lt;/property&gt;
            &lt;/widget&gt;
           &lt;/item&gt;&lt;item row="2" column="1"&gt;
            &lt;widget class="QELabel" name="QL_P2055"&gt;
             &lt;property name="variable" stdset="0"&gt;
              &lt;string&gt;"SR99ID01FST01:RSCN:DEV_ERROR:SYNC"&lt;/string&gt;
             &lt;/property&gt;
            &lt;/widget&gt;
           &lt;/item&gt;</v>
      </c>
      <c r="AA63" s="9" t="e">
        <f>VLOOKUP(H63,y_EPICS_Formats,2,FALSE)</f>
        <v>#N/A</v>
      </c>
      <c r="AB63" s="9" t="str">
        <f>IF(LEFT(I63)="g",y_Prefix&amp;S63&amp;" = ","")</f>
        <v xml:space="preserve">SR05ID01FST01:RSCN:DEV_ERROR = </v>
      </c>
      <c r="AC63" s="9" t="str">
        <f>IFERROR(";"&amp;G63&amp;"["&amp;J63&amp;"]"&amp;I63&amp;CHAR(10)&amp;B63 &amp;CHAR(9)&amp;U63&amp;CHAR(9)&amp;E63 &amp;CHAR(9),";;Error!")</f>
        <v xml:space="preserve">;SkipScan fault code[]g
#define	devError	P2055	</v>
      </c>
      <c r="AD63" s="9" t="str">
        <f>IF(IFERROR(Q63&gt;0,FALSE),SUBSTITUTE(SUBSTITUTE(SUBSTITUTE(y_archiverXML,"~PVNAME",S63&amp;IF(LEN(X63)&lt;1,"",":RBV")),"~PREFIX",y_Prefix),"~PERIOD",Q63),"")</f>
        <v xml:space="preserve">      &lt;channel&gt;
         &lt;name&gt;SR05ID01FST01:RSCN:DEV_ERROR&lt;/name&gt;
         &lt;period&gt;30&lt;/period&gt;
         &lt;monitor/&gt;
      &lt;/channel&gt;</v>
      </c>
      <c r="AE63" s="20">
        <f>IF(OR(LEFT($I63)="e",LEFT($I63)="g"),AE$1-LEN(S63),"")</f>
        <v>2</v>
      </c>
      <c r="AF63" s="20">
        <f>IF(OR(LEFT($I63)="e",LEFT($I63)="g"),AF$1-LEN(T63),"")</f>
        <v>8</v>
      </c>
      <c r="AG63" s="20">
        <f>IF(OR(LEFT($I63)="e",LEFT($I63)="g"),AG$1-LEN(U63),"")</f>
        <v>8</v>
      </c>
      <c r="AH63" s="20">
        <f>IF(OR(LEFT($I63)="e",LEFT($I63)="g"),AH$1-LEN(V63),"")</f>
        <v>21</v>
      </c>
      <c r="AI63" s="2" t="str">
        <f>IF(ISNUMBER(E63),"0"&amp;LEFT(D63,2)&amp;TEXT(E63,"#.0000"),E63)</f>
        <v>P2055</v>
      </c>
    </row>
    <row r="64" spans="1:35" x14ac:dyDescent="0.3">
      <c r="A64" s="6" t="str">
        <f>IF(T64&lt;&gt;U64,"&lt;FIND TYPE=ASC&gt;"&amp;R64&amp;"&lt;/FIND&gt;&lt;REPLACE TYPE=ASC&gt;"&amp;S64&amp;"&lt;/REPLACE&gt;"&amp;CHAR(10)&amp;"&lt;FIND TYPE=ASC&gt;"&amp;T64&amp;"&lt;/FIND&gt;&lt;REPLACE TYPE=ASC&gt;"&amp;U64&amp;"&lt;/REPLACE&gt;"&amp;CHAR(10)&amp;"&lt;FIND TYPE=ASC&gt;"&amp;C64&amp;"&lt;/FIND&gt;&lt;REPLACE TYPE=ASC&gt;"&amp;D64&amp;"&lt;/REPLACE&gt;",".")</f>
        <v>.</v>
      </c>
      <c r="B64" s="14" t="s">
        <v>38</v>
      </c>
      <c r="C64" s="30" t="s">
        <v>559</v>
      </c>
      <c r="D64" s="14" t="s">
        <v>559</v>
      </c>
      <c r="E64" s="14" t="s">
        <v>109</v>
      </c>
      <c r="G64" s="15" t="s">
        <v>519</v>
      </c>
      <c r="H64" s="14" t="s">
        <v>43</v>
      </c>
      <c r="I64" s="14" t="s">
        <v>46</v>
      </c>
      <c r="J64" s="14" t="s">
        <v>170</v>
      </c>
      <c r="K64" s="14" t="s">
        <v>138</v>
      </c>
      <c r="L64" s="14" t="s">
        <v>137</v>
      </c>
      <c r="M64" s="14"/>
      <c r="N64" s="14">
        <v>-9999999</v>
      </c>
      <c r="O64" s="14">
        <v>9999999</v>
      </c>
      <c r="P64" s="7">
        <v>1</v>
      </c>
      <c r="Q64" s="7">
        <v>30</v>
      </c>
      <c r="R64" s="18" t="str">
        <f>UPPER(R$1&amp;":"&amp;C64)</f>
        <v>RSCN:A2_MAX</v>
      </c>
      <c r="S64" s="16" t="str">
        <f>UPPER(S$1&amp;":"&amp;D64)</f>
        <v>RSCN:A2_MAX</v>
      </c>
      <c r="T64" s="17" t="str">
        <f>SUBSTITUTE(C64,"_","")</f>
        <v>a2Max</v>
      </c>
      <c r="U64" s="9" t="str">
        <f>SUBSTITUTE(D64,"_","")&amp;IF(RIGHT(I64)="u","U","")</f>
        <v>a2Max</v>
      </c>
      <c r="V64" s="16" t="str">
        <f>IF(ISNUMBER(K64),K64,"$(P):"&amp;$S$1&amp;":"&amp;K64)</f>
        <v>$(P):RSCN:ST_MONITOR</v>
      </c>
      <c r="W64" s="16" t="str">
        <f>IF(ISNUMBER(L64),L64,"$(P):"&amp;$S$1&amp;":"&amp;L64)</f>
        <v>$(P):RSCN:ST_TRAJSET</v>
      </c>
      <c r="X64" s="9" t="str">
        <f>IF(LEFT(I64)="g",IF(H64="real",y_pmacRascanGSVar,IF(H64="int",y_pmacRascanGSVar,"")),"")</f>
        <v>expand("pmacRascanGSVar.vdb", GSVar~VAR) {
  macro(VAR, "~VAR")
  macro(EGU, "~EGU")
  macro(P, "$(P)")
  macro(Q, ":~PVNAME")
  macro(PORT, "$(PORT)")
  macro(CanGet, "~CANGET")
  macro(CanSet, "~CANSET")
  macro(PREC, "$(PREC=~PREC)")
  macro(DESC,"~DESC")
}</v>
      </c>
      <c r="Y64" s="16" t="str">
        <f>SUBSTITUTE(SUBSTITUTE(SUBSTITUTE(SUBSTITUTE(SUBSTITUTE(SUBSTITUTE(SUBSTITUTE(X64,"~PVNAME",S64),"~EGU",J64),"~PREC",P64),"~VAR",E64),"~CANGET",V64),"~CANSET",W64),"~DESC",LEFT(G64,40))</f>
        <v>expand("pmacRascanGSVar.vdb", GSVarP2056) {
  macro(VAR, "P2056")
  macro(EGU, "EGU/s2")
  macro(P, "$(P)")
  macro(Q, ":RSCN:A2_MAX")
  macro(PORT, "$(PORT)")
  macro(CanGet, "$(P):RSCN:ST_MONITOR")
  macro(CanSet, "$(P):RSCN:ST_TRAJSET")
  macro(PREC, "$(PREC=1)")
  macro(DESC,"Increment axis planned trajectory max ac")
}</v>
      </c>
      <c r="Z64" s="32" t="str">
        <f>IF(ISNUMBER($F64),SUBSTITUTE(SUBSTITUTE(SUBSTITUTE(SUBSTITUTE(SUBSTITUTE(SUBSTITUTE(SUBSTITUTE(SUBSTITUTE(y_QLabel &amp; y_QELabel &amp; IF($I64="gsu",y_QELineEdit,""),"~PVNAME",$S64),"~EGU",$J64),"~PREC",$P64),"~VAR",$E64),"~CANGET",$V64),"~CANSET",$W64),"~ROW",$F64),"~NAME",$D64),"")</f>
        <v/>
      </c>
      <c r="AA64" s="16" t="str">
        <f>VLOOKUP(H64,y_EPICS_Formats,2,FALSE)</f>
        <v>%f</v>
      </c>
      <c r="AB64" s="9" t="str">
        <f>IF(LEFT(I64)="g",y_Prefix&amp;S64&amp;" = ","")</f>
        <v xml:space="preserve">SR05ID01FST01:RSCN:A2_MAX = </v>
      </c>
      <c r="AC64" s="9" t="str">
        <f>IFERROR(";"&amp;G64&amp;"["&amp;J64&amp;"]"&amp;I64&amp;CHAR(10)&amp;B64 &amp;CHAR(9)&amp;U64&amp;CHAR(9)&amp;E64 &amp;CHAR(9),";;Error!")</f>
        <v xml:space="preserve">;Increment axis planned trajectory max accel.[EGU/s2]g
#define	a2Max	P2056	</v>
      </c>
      <c r="AD64" s="9" t="str">
        <f>IF(IFERROR(Q64&gt;0,FALSE),SUBSTITUTE(SUBSTITUTE(SUBSTITUTE(y_archiverXML,"~PVNAME",S64&amp;IF(LEN(X64)&lt;1,"",":RBV")),"~PREFIX",y_Prefix),"~PERIOD",Q64),"")</f>
        <v xml:space="preserve">      &lt;channel&gt;
         &lt;name&gt;SR05ID01FST01:RSCN:A2_MAX:RBV&lt;/name&gt;
         &lt;period&gt;30&lt;/period&gt;
         &lt;monitor/&gt;
      &lt;/channel&gt;</v>
      </c>
      <c r="AE64" s="20">
        <f>IF(OR(LEFT($I64)="e",LEFT($I64)="g"),AE$1-LEN(S64),"")</f>
        <v>5</v>
      </c>
      <c r="AF64" s="20">
        <f>IF(OR(LEFT($I64)="e",LEFT($I64)="g"),AF$1-LEN(T64),"")</f>
        <v>11</v>
      </c>
      <c r="AG64" s="20">
        <f>IF(OR(LEFT($I64)="e",LEFT($I64)="g"),AG$1-LEN(U64),"")</f>
        <v>11</v>
      </c>
      <c r="AH64" s="20">
        <f>IF(OR(LEFT($I64)="e",LEFT($I64)="g"),AH$1-LEN(V64),"")</f>
        <v>20</v>
      </c>
      <c r="AI64" s="2" t="str">
        <f>IF(ISNUMBER(E64),"0"&amp;LEFT(D64,2)&amp;TEXT(E64,"#.0000"),E64)</f>
        <v>P2056</v>
      </c>
    </row>
    <row r="65" spans="1:35" x14ac:dyDescent="0.3">
      <c r="A65" s="6" t="str">
        <f>IF(T65&lt;&gt;U65,"&lt;FIND TYPE=ASC&gt;"&amp;R65&amp;"&lt;/FIND&gt;&lt;REPLACE TYPE=ASC&gt;"&amp;S65&amp;"&lt;/REPLACE&gt;"&amp;CHAR(10)&amp;"&lt;FIND TYPE=ASC&gt;"&amp;T65&amp;"&lt;/FIND&gt;&lt;REPLACE TYPE=ASC&gt;"&amp;U65&amp;"&lt;/REPLACE&gt;"&amp;CHAR(10)&amp;"&lt;FIND TYPE=ASC&gt;"&amp;C65&amp;"&lt;/FIND&gt;&lt;REPLACE TYPE=ASC&gt;"&amp;D65&amp;"&lt;/REPLACE&gt;",".")</f>
        <v>.</v>
      </c>
      <c r="B65" s="7" t="s">
        <v>38</v>
      </c>
      <c r="C65" s="30" t="s">
        <v>560</v>
      </c>
      <c r="D65" s="7" t="s">
        <v>560</v>
      </c>
      <c r="E65" s="7" t="s">
        <v>147</v>
      </c>
      <c r="G65" s="8" t="s">
        <v>512</v>
      </c>
      <c r="H65" s="7" t="s">
        <v>43</v>
      </c>
      <c r="I65" s="7" t="s">
        <v>46</v>
      </c>
      <c r="J65" s="7" t="s">
        <v>170</v>
      </c>
      <c r="K65" s="7" t="s">
        <v>138</v>
      </c>
      <c r="L65" s="7" t="s">
        <v>69</v>
      </c>
      <c r="M65" s="7"/>
      <c r="N65" s="7">
        <v>-9999999</v>
      </c>
      <c r="O65" s="7">
        <v>9999999</v>
      </c>
      <c r="P65" s="7">
        <v>1</v>
      </c>
      <c r="Q65" s="7">
        <v>30</v>
      </c>
      <c r="R65" s="17" t="str">
        <f>UPPER(R$1&amp;":"&amp;C65)</f>
        <v>RSCN:A1_IN</v>
      </c>
      <c r="S65" s="9" t="str">
        <f>UPPER(S$1&amp;":"&amp;D65)</f>
        <v>RSCN:A1_IN</v>
      </c>
      <c r="T65" s="17" t="str">
        <f>SUBSTITUTE(C65,"_","")</f>
        <v>a1In</v>
      </c>
      <c r="U65" s="9" t="str">
        <f>SUBSTITUTE(D65,"_","")&amp;IF(RIGHT(I65)="u","U","")</f>
        <v>a1In</v>
      </c>
      <c r="V65" s="9" t="str">
        <f>IF(ISNUMBER(K65),K65,"$(P):"&amp;$S$1&amp;":"&amp;K65)</f>
        <v>$(P):RSCN:ST_MONITOR</v>
      </c>
      <c r="W65" s="9" t="str">
        <f>IF(ISNUMBER(L65),L65,"$(P):"&amp;$S$1&amp;":"&amp;L65)</f>
        <v>$(P):RSCN:ST_NEVER</v>
      </c>
      <c r="X65" s="9" t="str">
        <f>IF(LEFT(I65)="g",IF(H65="real",y_pmacRascanGSVar,IF(H65="int",y_pmacRascanGSVar,"")),"")</f>
        <v>expand("pmacRascanGSVar.vdb", GSVar~VAR) {
  macro(VAR, "~VAR")
  macro(EGU, "~EGU")
  macro(P, "$(P)")
  macro(Q, ":~PVNAME")
  macro(PORT, "$(PORT)")
  macro(CanGet, "~CANGET")
  macro(CanSet, "~CANSET")
  macro(PREC, "$(PREC=~PREC)")
  macro(DESC,"~DESC")
}</v>
      </c>
      <c r="Y65" s="9" t="str">
        <f>SUBSTITUTE(SUBSTITUTE(SUBSTITUTE(SUBSTITUTE(SUBSTITUTE(SUBSTITUTE(SUBSTITUTE(X65,"~PVNAME",S65),"~EGU",J65),"~PREC",P65),"~VAR",E65),"~CANGET",V65),"~CANSET",W65),"~DESC",LEFT(G65,40))</f>
        <v>expand("pmacRascanGSVar.vdb", GSVarP2057) {
  macro(VAR, "P2057")
  macro(EGU, "EGU/s2")
  macro(P, "$(P)")
  macro(Q, ":RSCN:A1_IN")
  macro(PORT, "$(PORT)")
  macro(CanGet, "$(P):RSCN:ST_MONITOR")
  macro(CanSet, "$(P):RSCN:ST_NEVER")
  macro(PREC, "$(PREC=1)")
  macro(DESC,"Fly axis accel. at inner skip move")
}</v>
      </c>
      <c r="Z65" s="32" t="str">
        <f>IF(ISNUMBER($F65),SUBSTITUTE(SUBSTITUTE(SUBSTITUTE(SUBSTITUTE(SUBSTITUTE(SUBSTITUTE(SUBSTITUTE(SUBSTITUTE(y_QLabel &amp; y_QELabel &amp; IF($I65="gsu",y_QELineEdit,""),"~PVNAME",$S65),"~EGU",$J65),"~PREC",$P65),"~VAR",$E65),"~CANGET",$V65),"~CANSET",$W65),"~ROW",$F65),"~NAME",$D65),"")</f>
        <v/>
      </c>
      <c r="AA65" s="9" t="str">
        <f>VLOOKUP(H65,y_EPICS_Formats,2,FALSE)</f>
        <v>%f</v>
      </c>
      <c r="AB65" s="9" t="str">
        <f>IF(LEFT(I65)="g",y_Prefix&amp;S65&amp;" = ","")</f>
        <v xml:space="preserve">SR05ID01FST01:RSCN:A1_IN = </v>
      </c>
      <c r="AC65" s="9" t="str">
        <f>IFERROR(";"&amp;G65&amp;"["&amp;J65&amp;"]"&amp;I65&amp;CHAR(10)&amp;B65 &amp;CHAR(9)&amp;U65&amp;CHAR(9)&amp;E65 &amp;CHAR(9),";;Error!")</f>
        <v xml:space="preserve">;Fly axis accel. at inner skip move[EGU/s2]g
#define	a1In	P2057	</v>
      </c>
      <c r="AD65" s="9" t="str">
        <f>IF(IFERROR(Q65&gt;0,FALSE),SUBSTITUTE(SUBSTITUTE(SUBSTITUTE(y_archiverXML,"~PVNAME",S65&amp;IF(LEN(X65)&lt;1,"",":RBV")),"~PREFIX",y_Prefix),"~PERIOD",Q65),"")</f>
        <v xml:space="preserve">      &lt;channel&gt;
         &lt;name&gt;SR05ID01FST01:RSCN:A1_IN:RBV&lt;/name&gt;
         &lt;period&gt;30&lt;/period&gt;
         &lt;monitor/&gt;
      &lt;/channel&gt;</v>
      </c>
      <c r="AE65" s="20">
        <f>IF(OR(LEFT($I65)="e",LEFT($I65)="g"),AE$1-LEN(S65),"")</f>
        <v>6</v>
      </c>
      <c r="AF65" s="20">
        <f>IF(OR(LEFT($I65)="e",LEFT($I65)="g"),AF$1-LEN(T65),"")</f>
        <v>12</v>
      </c>
      <c r="AG65" s="20">
        <f>IF(OR(LEFT($I65)="e",LEFT($I65)="g"),AG$1-LEN(U65),"")</f>
        <v>12</v>
      </c>
      <c r="AH65" s="20">
        <f>IF(OR(LEFT($I65)="e",LEFT($I65)="g"),AH$1-LEN(V65),"")</f>
        <v>20</v>
      </c>
      <c r="AI65" s="2" t="str">
        <f>IF(ISNUMBER(E65),"0"&amp;LEFT(D65,2)&amp;TEXT(E65,"#.0000"),E65)</f>
        <v>P2057</v>
      </c>
    </row>
    <row r="66" spans="1:35" x14ac:dyDescent="0.3">
      <c r="A66" s="6" t="str">
        <f>IF(T66&lt;&gt;U66,"&lt;FIND TYPE=ASC&gt;"&amp;R66&amp;"&lt;/FIND&gt;&lt;REPLACE TYPE=ASC&gt;"&amp;S66&amp;"&lt;/REPLACE&gt;"&amp;CHAR(10)&amp;"&lt;FIND TYPE=ASC&gt;"&amp;T66&amp;"&lt;/FIND&gt;&lt;REPLACE TYPE=ASC&gt;"&amp;U66&amp;"&lt;/REPLACE&gt;"&amp;CHAR(10)&amp;"&lt;FIND TYPE=ASC&gt;"&amp;C66&amp;"&lt;/FIND&gt;&lt;REPLACE TYPE=ASC&gt;"&amp;D66&amp;"&lt;/REPLACE&gt;",".")</f>
        <v>.</v>
      </c>
      <c r="B66" s="7" t="s">
        <v>38</v>
      </c>
      <c r="C66" s="30" t="s">
        <v>582</v>
      </c>
      <c r="D66" s="7" t="s">
        <v>582</v>
      </c>
      <c r="E66" s="7" t="s">
        <v>110</v>
      </c>
      <c r="G66" s="8" t="s">
        <v>48</v>
      </c>
      <c r="H66" s="7"/>
      <c r="I66" s="7" t="s">
        <v>39</v>
      </c>
      <c r="J66" s="7"/>
      <c r="K66" s="7"/>
      <c r="L66" s="7"/>
      <c r="M66" s="7"/>
      <c r="N66" s="7"/>
      <c r="O66" s="7"/>
      <c r="P66" s="7"/>
      <c r="Q66" s="7"/>
      <c r="R66" s="17" t="str">
        <f>UPPER(R$1&amp;":"&amp;C66)</f>
        <v>RSCN:P_X0</v>
      </c>
      <c r="S66" s="9" t="str">
        <f>UPPER(S$1&amp;":"&amp;D66)</f>
        <v>RSCN:P_X0</v>
      </c>
      <c r="T66" s="17" t="str">
        <f>SUBSTITUTE(C66,"_","")</f>
        <v>pX0</v>
      </c>
      <c r="U66" s="9" t="str">
        <f>SUBSTITUTE(D66,"_","")&amp;IF(RIGHT(I66)="u","U","")</f>
        <v>pX0</v>
      </c>
      <c r="V66" s="9" t="str">
        <f>IF(ISNUMBER(K66),K66,"$(P):"&amp;$S$1&amp;":"&amp;K66)</f>
        <v>$(P):RSCN:</v>
      </c>
      <c r="W66" s="9" t="str">
        <f>IF(ISNUMBER(L66),L66,"$(P):"&amp;$S$1&amp;":"&amp;L66)</f>
        <v>$(P):RSCN:</v>
      </c>
      <c r="X66" s="9" t="str">
        <f>IF(LEFT(I66)="g",IF(H66="real",y_pmacRascanGSVar,IF(H66="int",y_pmacRascanGSVar,"")),"")</f>
        <v/>
      </c>
      <c r="Y66" s="9" t="str">
        <f>SUBSTITUTE(SUBSTITUTE(SUBSTITUTE(SUBSTITUTE(SUBSTITUTE(SUBSTITUTE(SUBSTITUTE(X66,"~PVNAME",S66),"~EGU",J66),"~PREC",P66),"~VAR",E66),"~CANGET",V66),"~CANSET",W66),"~DESC",LEFT(G66,40))</f>
        <v/>
      </c>
      <c r="Z66" s="32" t="str">
        <f>IF(ISNUMBER($F66),SUBSTITUTE(SUBSTITUTE(SUBSTITUTE(SUBSTITUTE(SUBSTITUTE(SUBSTITUTE(SUBSTITUTE(SUBSTITUTE(y_QLabel &amp; y_QELabel &amp; IF($I66="gsu",y_QELineEdit,""),"~PVNAME",$S66),"~EGU",$J66),"~PREC",$P66),"~VAR",$E66),"~CANGET",$V66),"~CANSET",$W66),"~ROW",$F66),"~NAME",$D66),"")</f>
        <v/>
      </c>
      <c r="AA66" s="9" t="e">
        <f>VLOOKUP(H66,y_EPICS_Formats,2,FALSE)</f>
        <v>#N/A</v>
      </c>
      <c r="AB66" s="9" t="str">
        <f>IF(LEFT(I66)="g",y_Prefix&amp;S66&amp;" = ","")</f>
        <v/>
      </c>
      <c r="AC66" s="9" t="str">
        <f>IFERROR(";"&amp;G66&amp;"["&amp;J66&amp;"]"&amp;I66&amp;CHAR(10)&amp;B66 &amp;CHAR(9)&amp;U66&amp;CHAR(9)&amp;E66 &amp;CHAR(9),";;Error!")</f>
        <v xml:space="preserve">;Pmac internal variable[]p
#define	pX0	P2058	</v>
      </c>
      <c r="AD66" s="9" t="str">
        <f>IF(IFERROR(Q66&gt;0,FALSE),SUBSTITUTE(SUBSTITUTE(SUBSTITUTE(y_archiverXML,"~PVNAME",S66&amp;IF(LEN(X66)&lt;1,"",":RBV")),"~PREFIX",y_Prefix),"~PERIOD",Q66),"")</f>
        <v/>
      </c>
      <c r="AE66" s="20" t="str">
        <f>IF(OR(LEFT($I66)="e",LEFT($I66)="g"),AE$1-LEN(S66),"")</f>
        <v/>
      </c>
      <c r="AF66" s="20" t="str">
        <f>IF(OR(LEFT($I66)="e",LEFT($I66)="g"),AF$1-LEN(T66),"")</f>
        <v/>
      </c>
      <c r="AG66" s="20" t="str">
        <f>IF(OR(LEFT($I66)="e",LEFT($I66)="g"),AG$1-LEN(U66),"")</f>
        <v/>
      </c>
      <c r="AH66" s="20" t="str">
        <f>IF(OR(LEFT($I66)="e",LEFT($I66)="g"),AH$1-LEN(V66),"")</f>
        <v/>
      </c>
      <c r="AI66" s="2" t="str">
        <f>IF(ISNUMBER(E66),"0"&amp;LEFT(D66,2)&amp;TEXT(E66,"#.0000"),E66)</f>
        <v>P2058</v>
      </c>
    </row>
    <row r="67" spans="1:35" x14ac:dyDescent="0.3">
      <c r="A67" s="6" t="str">
        <f>IF(T67&lt;&gt;U67,"&lt;FIND TYPE=ASC&gt;"&amp;R67&amp;"&lt;/FIND&gt;&lt;REPLACE TYPE=ASC&gt;"&amp;S67&amp;"&lt;/REPLACE&gt;"&amp;CHAR(10)&amp;"&lt;FIND TYPE=ASC&gt;"&amp;T67&amp;"&lt;/FIND&gt;&lt;REPLACE TYPE=ASC&gt;"&amp;U67&amp;"&lt;/REPLACE&gt;"&amp;CHAR(10)&amp;"&lt;FIND TYPE=ASC&gt;"&amp;C67&amp;"&lt;/FIND&gt;&lt;REPLACE TYPE=ASC&gt;"&amp;D67&amp;"&lt;/REPLACE&gt;",".")</f>
        <v>.</v>
      </c>
      <c r="B67" s="7" t="s">
        <v>38</v>
      </c>
      <c r="C67" s="30" t="s">
        <v>583</v>
      </c>
      <c r="D67" s="7" t="s">
        <v>583</v>
      </c>
      <c r="E67" s="7" t="s">
        <v>111</v>
      </c>
      <c r="G67" s="8" t="s">
        <v>48</v>
      </c>
      <c r="H67" s="7"/>
      <c r="I67" s="7" t="s">
        <v>39</v>
      </c>
      <c r="J67" s="7"/>
      <c r="K67" s="7"/>
      <c r="L67" s="7"/>
      <c r="M67" s="7"/>
      <c r="N67" s="7"/>
      <c r="O67" s="7"/>
      <c r="P67" s="7"/>
      <c r="Q67" s="7"/>
      <c r="R67" s="17" t="str">
        <f>UPPER(R$1&amp;":"&amp;C67)</f>
        <v>RSCN:P_X1</v>
      </c>
      <c r="S67" s="9" t="str">
        <f>UPPER(S$1&amp;":"&amp;D67)</f>
        <v>RSCN:P_X1</v>
      </c>
      <c r="T67" s="17" t="str">
        <f>SUBSTITUTE(C67,"_","")</f>
        <v>pX1</v>
      </c>
      <c r="U67" s="9" t="str">
        <f>SUBSTITUTE(D67,"_","")&amp;IF(RIGHT(I67)="u","U","")</f>
        <v>pX1</v>
      </c>
      <c r="V67" s="9" t="str">
        <f>IF(ISNUMBER(K67),K67,"$(P):"&amp;$S$1&amp;":"&amp;K67)</f>
        <v>$(P):RSCN:</v>
      </c>
      <c r="W67" s="9" t="str">
        <f>IF(ISNUMBER(L67),L67,"$(P):"&amp;$S$1&amp;":"&amp;L67)</f>
        <v>$(P):RSCN:</v>
      </c>
      <c r="X67" s="9" t="str">
        <f>IF(LEFT(I67)="g",IF(H67="real",y_pmacRascanGSVar,IF(H67="int",y_pmacRascanGSVar,"")),"")</f>
        <v/>
      </c>
      <c r="Y67" s="9" t="str">
        <f>SUBSTITUTE(SUBSTITUTE(SUBSTITUTE(SUBSTITUTE(SUBSTITUTE(SUBSTITUTE(SUBSTITUTE(X67,"~PVNAME",S67),"~EGU",J67),"~PREC",P67),"~VAR",E67),"~CANGET",V67),"~CANSET",W67),"~DESC",LEFT(G67,40))</f>
        <v/>
      </c>
      <c r="Z67" s="32" t="str">
        <f>IF(ISNUMBER($F67),SUBSTITUTE(SUBSTITUTE(SUBSTITUTE(SUBSTITUTE(SUBSTITUTE(SUBSTITUTE(SUBSTITUTE(SUBSTITUTE(y_QLabel &amp; y_QELabel &amp; IF($I67="gsu",y_QELineEdit,""),"~PVNAME",$S67),"~EGU",$J67),"~PREC",$P67),"~VAR",$E67),"~CANGET",$V67),"~CANSET",$W67),"~ROW",$F67),"~NAME",$D67),"")</f>
        <v/>
      </c>
      <c r="AA67" s="9" t="e">
        <f>VLOOKUP(H67,y_EPICS_Formats,2,FALSE)</f>
        <v>#N/A</v>
      </c>
      <c r="AB67" s="9" t="str">
        <f>IF(LEFT(I67)="g",y_Prefix&amp;S67&amp;" = ","")</f>
        <v/>
      </c>
      <c r="AC67" s="9" t="str">
        <f>IFERROR(";"&amp;G67&amp;"["&amp;J67&amp;"]"&amp;I67&amp;CHAR(10)&amp;B67 &amp;CHAR(9)&amp;U67&amp;CHAR(9)&amp;E67 &amp;CHAR(9),";;Error!")</f>
        <v xml:space="preserve">;Pmac internal variable[]p
#define	pX1	P2059	</v>
      </c>
      <c r="AD67" s="9" t="str">
        <f>IF(IFERROR(Q67&gt;0,FALSE),SUBSTITUTE(SUBSTITUTE(SUBSTITUTE(y_archiverXML,"~PVNAME",S67&amp;IF(LEN(X67)&lt;1,"",":RBV")),"~PREFIX",y_Prefix),"~PERIOD",Q67),"")</f>
        <v/>
      </c>
      <c r="AE67" s="20" t="str">
        <f>IF(OR(LEFT($I67)="e",LEFT($I67)="g"),AE$1-LEN(S67),"")</f>
        <v/>
      </c>
      <c r="AF67" s="20" t="str">
        <f>IF(OR(LEFT($I67)="e",LEFT($I67)="g"),AF$1-LEN(T67),"")</f>
        <v/>
      </c>
      <c r="AG67" s="20" t="str">
        <f>IF(OR(LEFT($I67)="e",LEFT($I67)="g"),AG$1-LEN(U67),"")</f>
        <v/>
      </c>
      <c r="AH67" s="20" t="str">
        <f>IF(OR(LEFT($I67)="e",LEFT($I67)="g"),AH$1-LEN(V67),"")</f>
        <v/>
      </c>
      <c r="AI67" s="2" t="str">
        <f>IF(ISNUMBER(E67),"0"&amp;LEFT(D67,2)&amp;TEXT(E67,"#.0000"),E67)</f>
        <v>P2059</v>
      </c>
    </row>
    <row r="68" spans="1:35" x14ac:dyDescent="0.3">
      <c r="A68" s="6" t="str">
        <f>IF(T68&lt;&gt;U68,"&lt;FIND TYPE=ASC&gt;"&amp;R68&amp;"&lt;/FIND&gt;&lt;REPLACE TYPE=ASC&gt;"&amp;S68&amp;"&lt;/REPLACE&gt;"&amp;CHAR(10)&amp;"&lt;FIND TYPE=ASC&gt;"&amp;T68&amp;"&lt;/FIND&gt;&lt;REPLACE TYPE=ASC&gt;"&amp;U68&amp;"&lt;/REPLACE&gt;"&amp;CHAR(10)&amp;"&lt;FIND TYPE=ASC&gt;"&amp;C68&amp;"&lt;/FIND&gt;&lt;REPLACE TYPE=ASC&gt;"&amp;D68&amp;"&lt;/REPLACE&gt;",".")</f>
        <v>.</v>
      </c>
      <c r="B68" s="7" t="s">
        <v>38</v>
      </c>
      <c r="C68" s="30" t="s">
        <v>573</v>
      </c>
      <c r="D68" s="7" t="s">
        <v>573</v>
      </c>
      <c r="E68" s="7" t="s">
        <v>153</v>
      </c>
      <c r="G68" s="8" t="s">
        <v>154</v>
      </c>
      <c r="H68" s="7" t="s">
        <v>41</v>
      </c>
      <c r="I68" s="7" t="s">
        <v>46</v>
      </c>
      <c r="J68" s="7"/>
      <c r="K68" s="7" t="s">
        <v>138</v>
      </c>
      <c r="L68" s="7" t="s">
        <v>69</v>
      </c>
      <c r="M68" s="7"/>
      <c r="N68" s="7">
        <v>0</v>
      </c>
      <c r="O68" s="7">
        <v>999</v>
      </c>
      <c r="P68" s="7">
        <v>0</v>
      </c>
      <c r="Q68" s="7"/>
      <c r="R68" s="17" t="str">
        <f>UPPER(R$1&amp;":"&amp;C68)</f>
        <v>RSCN:LINE_SUBEND</v>
      </c>
      <c r="S68" s="9" t="str">
        <f>UPPER(S$1&amp;":"&amp;D68)</f>
        <v>RSCN:LINE_SUBEND</v>
      </c>
      <c r="T68" s="17" t="str">
        <f>SUBSTITUTE(C68,"_","")</f>
        <v>lineSubEnd</v>
      </c>
      <c r="U68" s="9" t="str">
        <f>SUBSTITUTE(D68,"_","")&amp;IF(RIGHT(I68)="u","U","")</f>
        <v>lineSubEnd</v>
      </c>
      <c r="V68" s="9" t="str">
        <f>IF(ISNUMBER(K68),K68,"$(P):"&amp;$S$1&amp;":"&amp;K68)</f>
        <v>$(P):RSCN:ST_MONITOR</v>
      </c>
      <c r="W68" s="9" t="str">
        <f>IF(ISNUMBER(L68),L68,"$(P):"&amp;$S$1&amp;":"&amp;L68)</f>
        <v>$(P):RSCN:ST_NEVER</v>
      </c>
      <c r="X68" s="9" t="str">
        <f>IF(LEFT(I68)="g",IF(H68="real",y_pmacRascanGSVar,IF(H68="int",y_pmacRascanGSVar,"")),"")</f>
        <v>expand("pmacRascanGSVar.vdb", GSVar~VAR) {
  macro(VAR, "~VAR")
  macro(EGU, "~EGU")
  macro(P, "$(P)")
  macro(Q, ":~PVNAME")
  macro(PORT, "$(PORT)")
  macro(CanGet, "~CANGET")
  macro(CanSet, "~CANSET")
  macro(PREC, "$(PREC=~PREC)")
  macro(DESC,"~DESC")
}</v>
      </c>
      <c r="Y68" s="9" t="str">
        <f>SUBSTITUTE(SUBSTITUTE(SUBSTITUTE(SUBSTITUTE(SUBSTITUTE(SUBSTITUTE(SUBSTITUTE(X68,"~PVNAME",S68),"~EGU",J68),"~PREC",P68),"~VAR",E68),"~CANGET",V68),"~CANSET",W68),"~DESC",LEFT(G68,40))</f>
        <v>expand("pmacRascanGSVar.vdb", GSVarP2060) {
  macro(VAR, "P2060")
  macro(EGU, "")
  macro(P, "$(P)")
  macro(Q, ":RSCN:LINE_SUBEND")
  macro(PORT, "$(PORT)")
  macro(CanGet, "$(P):RSCN:ST_MONITOR")
  macro(CanSet, "$(P):RSCN:ST_NEVER")
  macro(PREC, "$(PREC=0)")
  macro(DESC,"Number of subsegments")
}</v>
      </c>
      <c r="Z68" s="32" t="str">
        <f>IF(ISNUMBER($F68),SUBSTITUTE(SUBSTITUTE(SUBSTITUTE(SUBSTITUTE(SUBSTITUTE(SUBSTITUTE(SUBSTITUTE(SUBSTITUTE(y_QLabel &amp; y_QELabel &amp; IF($I68="gsu",y_QELineEdit,""),"~PVNAME",$S68),"~EGU",$J68),"~PREC",$P68),"~VAR",$E68),"~CANGET",$V68),"~CANSET",$W68),"~ROW",$F68),"~NAME",$D68),"")</f>
        <v/>
      </c>
      <c r="AA68" s="9" t="str">
        <f>VLOOKUP(H68,y_EPICS_Formats,2,FALSE)</f>
        <v>%d</v>
      </c>
      <c r="AB68" s="9" t="str">
        <f>IF(LEFT(I68)="g",y_Prefix&amp;S68&amp;" = ","")</f>
        <v xml:space="preserve">SR05ID01FST01:RSCN:LINE_SUBEND = </v>
      </c>
      <c r="AC68" s="9" t="str">
        <f>IFERROR(";"&amp;G68&amp;"["&amp;J68&amp;"]"&amp;I68&amp;CHAR(10)&amp;B68 &amp;CHAR(9)&amp;U68&amp;CHAR(9)&amp;E68 &amp;CHAR(9),";;Error!")</f>
        <v xml:space="preserve">;Number of subsegments[]g
#define	lineSubEnd	P2060	</v>
      </c>
      <c r="AD68" s="9" t="str">
        <f>IF(IFERROR(Q68&gt;0,FALSE),SUBSTITUTE(SUBSTITUTE(SUBSTITUTE(y_archiverXML,"~PVNAME",S68&amp;IF(LEN(X68)&lt;1,"",":RBV")),"~PREFIX",y_Prefix),"~PERIOD",Q68),"")</f>
        <v/>
      </c>
      <c r="AE68" s="20">
        <f>IF(OR(LEFT($I68)="e",LEFT($I68)="g"),AE$1-LEN(S68),"")</f>
        <v>0</v>
      </c>
      <c r="AF68" s="20">
        <f>IF(OR(LEFT($I68)="e",LEFT($I68)="g"),AF$1-LEN(T68),"")</f>
        <v>6</v>
      </c>
      <c r="AG68" s="20">
        <f>IF(OR(LEFT($I68)="e",LEFT($I68)="g"),AG$1-LEN(U68),"")</f>
        <v>6</v>
      </c>
      <c r="AH68" s="20">
        <f>IF(OR(LEFT($I68)="e",LEFT($I68)="g"),AH$1-LEN(V68),"")</f>
        <v>20</v>
      </c>
      <c r="AI68" s="2" t="str">
        <f>IF(ISNUMBER(E68),"0"&amp;LEFT(D68,2)&amp;TEXT(E68,"#.0000"),E68)</f>
        <v>P2060</v>
      </c>
    </row>
    <row r="69" spans="1:35" x14ac:dyDescent="0.3">
      <c r="A69" s="6" t="str">
        <f>IF(T69&lt;&gt;U69,"&lt;FIND TYPE=ASC&gt;"&amp;R69&amp;"&lt;/FIND&gt;&lt;REPLACE TYPE=ASC&gt;"&amp;S69&amp;"&lt;/REPLACE&gt;"&amp;CHAR(10)&amp;"&lt;FIND TYPE=ASC&gt;"&amp;T69&amp;"&lt;/FIND&gt;&lt;REPLACE TYPE=ASC&gt;"&amp;U69&amp;"&lt;/REPLACE&gt;"&amp;CHAR(10)&amp;"&lt;FIND TYPE=ASC&gt;"&amp;C69&amp;"&lt;/FIND&gt;&lt;REPLACE TYPE=ASC&gt;"&amp;D69&amp;"&lt;/REPLACE&gt;",".")</f>
        <v>.</v>
      </c>
      <c r="B69" s="7" t="s">
        <v>38</v>
      </c>
      <c r="C69" s="30" t="s">
        <v>588</v>
      </c>
      <c r="D69" s="7" t="s">
        <v>588</v>
      </c>
      <c r="E69" s="7" t="s">
        <v>112</v>
      </c>
      <c r="F69" s="3">
        <v>9</v>
      </c>
      <c r="G69" s="8" t="s">
        <v>593</v>
      </c>
      <c r="H69" s="7" t="s">
        <v>43</v>
      </c>
      <c r="I69" s="7" t="s">
        <v>46</v>
      </c>
      <c r="J69" s="7" t="s">
        <v>171</v>
      </c>
      <c r="K69" s="7" t="s">
        <v>138</v>
      </c>
      <c r="L69" s="7" t="s">
        <v>137</v>
      </c>
      <c r="M69" s="7"/>
      <c r="N69" s="7">
        <v>-9999999</v>
      </c>
      <c r="O69" s="7">
        <v>9999999</v>
      </c>
      <c r="P69" s="7">
        <v>3</v>
      </c>
      <c r="Q69" s="7">
        <v>30</v>
      </c>
      <c r="R69" s="17" t="str">
        <f>UPPER(R$1&amp;":"&amp;C69)</f>
        <v>RSCN:V1_OUT</v>
      </c>
      <c r="S69" s="9" t="str">
        <f>UPPER(S$1&amp;":"&amp;D69)</f>
        <v>RSCN:V1_OUT</v>
      </c>
      <c r="T69" s="17" t="str">
        <f>SUBSTITUTE(C69,"_","")</f>
        <v>v1Out</v>
      </c>
      <c r="U69" s="9" t="str">
        <f>SUBSTITUTE(D69,"_","")&amp;IF(RIGHT(I69)="u","U","")</f>
        <v>v1Out</v>
      </c>
      <c r="V69" s="9" t="str">
        <f>IF(ISNUMBER(K69),K69,"$(P):"&amp;$S$1&amp;":"&amp;K69)</f>
        <v>$(P):RSCN:ST_MONITOR</v>
      </c>
      <c r="W69" s="9" t="str">
        <f>IF(ISNUMBER(L69),L69,"$(P):"&amp;$S$1&amp;":"&amp;L69)</f>
        <v>$(P):RSCN:ST_TRAJSET</v>
      </c>
      <c r="X69" s="9" t="str">
        <f>IF(LEFT(I69)="g",IF(H69="real",y_pmacRascanGSVar,IF(H69="int",y_pmacRascanGSVar,"")),"")</f>
        <v>expand("pmacRascanGSVar.vdb", GSVar~VAR) {
  macro(VAR, "~VAR")
  macro(EGU, "~EGU")
  macro(P, "$(P)")
  macro(Q, ":~PVNAME")
  macro(PORT, "$(PORT)")
  macro(CanGet, "~CANGET")
  macro(CanSet, "~CANSET")
  macro(PREC, "$(PREC=~PREC)")
  macro(DESC,"~DESC")
}</v>
      </c>
      <c r="Y69" s="9" t="str">
        <f>SUBSTITUTE(SUBSTITUTE(SUBSTITUTE(SUBSTITUTE(SUBSTITUTE(SUBSTITUTE(SUBSTITUTE(X69,"~PVNAME",S69),"~EGU",J69),"~PREC",P69),"~VAR",E69),"~CANGET",V69),"~CANSET",W69),"~DESC",LEFT(G69,40))</f>
        <v>expand("pmacRascanGSVar.vdb", GSVarP2061) {
  macro(VAR, "P2061")
  macro(EGU, "EGU/s")
  macro(P, "$(P)")
  macro(Q, ":RSCN:V1_OUT")
  macro(PORT, "$(PORT)")
  macro(CanGet, "$(P):RSCN:ST_MONITOR")
  macro(CanSet, "$(P):RSCN:ST_TRAJSET")
  macro(PREC, "$(PREC=3)")
  macro(DESC,"Fly axis line exit velocity")
}</v>
      </c>
      <c r="Z69" s="32" t="str">
        <f>IF(ISNUMBER($F69),SUBSTITUTE(SUBSTITUTE(SUBSTITUTE(SUBSTITUTE(SUBSTITUTE(SUBSTITUTE(SUBSTITUTE(SUBSTITUTE(y_QLabel &amp; y_QELabel &amp; IF($I69="gsu",y_QELineEdit,""),"~PVNAME",$S69),"~EGU",$J69),"~PREC",$P69),"~VAR",$E69),"~CANGET",$V69),"~CANSET",$W69),"~ROW",$F69),"~NAME",$D69),"")</f>
        <v>&lt;item row="9" column="0"&gt;
            &lt;widget class="QLabel" name="L_P2061"&gt;
             &lt;property name="sizePolicy"&gt;
              &lt;sizepolicy hsizetype="MinimumExpanding" vsizetype="Preferred"&gt;
               &lt;horstretch&gt;0&lt;/horstretch&gt;
               &lt;verstretch&gt;0&lt;/verstretch&gt;
              &lt;/sizepolicy&gt;
             &lt;/property&gt;
             &lt;property name="minimumSize"&gt;
              &lt;size&gt;
               &lt;width&gt;88&lt;/width&gt;
               &lt;height&gt;8&lt;/height&gt;
              &lt;/size&gt;
             &lt;/property&gt;
             &lt;property name="text"&gt;
              &lt;string&gt;v1_Out&lt;/string&gt;
             &lt;/property&gt;
            &lt;/widget&gt;
           &lt;/item&gt;&lt;item row="9" column="1"&gt;
            &lt;widget class="QELabel" name="QL_P2061"&gt;
             &lt;property name="variable" stdset="0"&gt;
              &lt;string&gt;"SR99ID01FST01:RSCN:V1_OUT:SYNC"&lt;/string&gt;
             &lt;/property&gt;
            &lt;/widget&gt;
           &lt;/item&gt;</v>
      </c>
      <c r="AA69" s="9" t="str">
        <f>VLOOKUP(H69,y_EPICS_Formats,2,FALSE)</f>
        <v>%f</v>
      </c>
      <c r="AB69" s="9" t="str">
        <f>IF(LEFT(I69)="g",y_Prefix&amp;S69&amp;" = ","")</f>
        <v xml:space="preserve">SR05ID01FST01:RSCN:V1_OUT = </v>
      </c>
      <c r="AC69" s="9" t="str">
        <f>IFERROR(";"&amp;G69&amp;"["&amp;J69&amp;"]"&amp;I69&amp;CHAR(10)&amp;B69 &amp;CHAR(9)&amp;U69&amp;CHAR(9)&amp;E69 &amp;CHAR(9),";;Error!")</f>
        <v xml:space="preserve">;Fly axis line exit velocity[EGU/s]g
#define	v1Out	P2061	</v>
      </c>
      <c r="AD69" s="9" t="str">
        <f>IF(IFERROR(Q69&gt;0,FALSE),SUBSTITUTE(SUBSTITUTE(SUBSTITUTE(y_archiverXML,"~PVNAME",S69&amp;IF(LEN(X69)&lt;1,"",":RBV")),"~PREFIX",y_Prefix),"~PERIOD",Q69),"")</f>
        <v xml:space="preserve">      &lt;channel&gt;
         &lt;name&gt;SR05ID01FST01:RSCN:V1_OUT:RBV&lt;/name&gt;
         &lt;period&gt;30&lt;/period&gt;
         &lt;monitor/&gt;
      &lt;/channel&gt;</v>
      </c>
      <c r="AE69" s="20">
        <f>IF(OR(LEFT($I69)="e",LEFT($I69)="g"),AE$1-LEN(S69),"")</f>
        <v>5</v>
      </c>
      <c r="AF69" s="20">
        <f>IF(OR(LEFT($I69)="e",LEFT($I69)="g"),AF$1-LEN(T69),"")</f>
        <v>11</v>
      </c>
      <c r="AG69" s="20">
        <f>IF(OR(LEFT($I69)="e",LEFT($I69)="g"),AG$1-LEN(U69),"")</f>
        <v>11</v>
      </c>
      <c r="AH69" s="20">
        <f>IF(OR(LEFT($I69)="e",LEFT($I69)="g"),AH$1-LEN(V69),"")</f>
        <v>20</v>
      </c>
      <c r="AI69" s="2" t="str">
        <f>IF(ISNUMBER(E69),"0"&amp;LEFT(D69,2)&amp;TEXT(E69,"#.0000"),E69)</f>
        <v>P2061</v>
      </c>
    </row>
    <row r="70" spans="1:35" x14ac:dyDescent="0.3">
      <c r="A70" s="6" t="str">
        <f>IF(T70&lt;&gt;U70,"&lt;FIND TYPE=ASC&gt;"&amp;R70&amp;"&lt;/FIND&gt;&lt;REPLACE TYPE=ASC&gt;"&amp;S70&amp;"&lt;/REPLACE&gt;"&amp;CHAR(10)&amp;"&lt;FIND TYPE=ASC&gt;"&amp;T70&amp;"&lt;/FIND&gt;&lt;REPLACE TYPE=ASC&gt;"&amp;U70&amp;"&lt;/REPLACE&gt;"&amp;CHAR(10)&amp;"&lt;FIND TYPE=ASC&gt;"&amp;C70&amp;"&lt;/FIND&gt;&lt;REPLACE TYPE=ASC&gt;"&amp;D70&amp;"&lt;/REPLACE&gt;",".")</f>
        <v>.</v>
      </c>
      <c r="B70" s="7" t="s">
        <v>38</v>
      </c>
      <c r="C70" s="30" t="s">
        <v>561</v>
      </c>
      <c r="D70" s="7" t="s">
        <v>561</v>
      </c>
      <c r="E70" s="7" t="s">
        <v>162</v>
      </c>
      <c r="F70" s="3" t="s">
        <v>639</v>
      </c>
      <c r="G70" s="8" t="s">
        <v>531</v>
      </c>
      <c r="H70" s="7" t="s">
        <v>43</v>
      </c>
      <c r="I70" s="7" t="s">
        <v>46</v>
      </c>
      <c r="J70" s="7" t="s">
        <v>170</v>
      </c>
      <c r="K70" s="7" t="s">
        <v>138</v>
      </c>
      <c r="L70" s="7" t="s">
        <v>69</v>
      </c>
      <c r="M70" s="7"/>
      <c r="N70" s="7">
        <v>-9999999</v>
      </c>
      <c r="O70" s="7">
        <v>9999999</v>
      </c>
      <c r="P70" s="7">
        <v>1</v>
      </c>
      <c r="Q70" s="7">
        <v>30</v>
      </c>
      <c r="R70" s="17" t="str">
        <f>UPPER(R$1&amp;":"&amp;C70)</f>
        <v>RSCN:A1_MAX</v>
      </c>
      <c r="S70" s="9" t="str">
        <f>UPPER(S$1&amp;":"&amp;D70)</f>
        <v>RSCN:A1_MAX</v>
      </c>
      <c r="T70" s="17" t="str">
        <f>SUBSTITUTE(C70,"_","")</f>
        <v>a1Max</v>
      </c>
      <c r="U70" s="9" t="str">
        <f>SUBSTITUTE(D70,"_","")&amp;IF(RIGHT(I70)="u","U","")</f>
        <v>a1Max</v>
      </c>
      <c r="V70" s="9" t="str">
        <f>IF(ISNUMBER(K70),K70,"$(P):"&amp;$S$1&amp;":"&amp;K70)</f>
        <v>$(P):RSCN:ST_MONITOR</v>
      </c>
      <c r="W70" s="9" t="str">
        <f>IF(ISNUMBER(L70),L70,"$(P):"&amp;$S$1&amp;":"&amp;L70)</f>
        <v>$(P):RSCN:ST_NEVER</v>
      </c>
      <c r="X70" s="9" t="str">
        <f>IF(LEFT(I70)="g",IF(H70="real",y_pmacRascanGSVar,IF(H70="int",y_pmacRascanGSVar,"")),"")</f>
        <v>expand("pmacRascanGSVar.vdb", GSVar~VAR) {
  macro(VAR, "~VAR")
  macro(EGU, "~EGU")
  macro(P, "$(P)")
  macro(Q, ":~PVNAME")
  macro(PORT, "$(PORT)")
  macro(CanGet, "~CANGET")
  macro(CanSet, "~CANSET")
  macro(PREC, "$(PREC=~PREC)")
  macro(DESC,"~DESC")
}</v>
      </c>
      <c r="Y70" s="9" t="str">
        <f>SUBSTITUTE(SUBSTITUTE(SUBSTITUTE(SUBSTITUTE(SUBSTITUTE(SUBSTITUTE(SUBSTITUTE(X70,"~PVNAME",S70),"~EGU",J70),"~PREC",P70),"~VAR",E70),"~CANGET",V70),"~CANSET",W70),"~DESC",LEFT(G70,40))</f>
        <v>expand("pmacRascanGSVar.vdb", GSVarP2062) {
  macro(VAR, "P2062")
  macro(EGU, "EGU/s2")
  macro(P, "$(P)")
  macro(Q, ":RSCN:A1_MAX")
  macro(PORT, "$(PORT)")
  macro(CanGet, "$(P):RSCN:ST_MONITOR")
  macro(CanSet, "$(P):RSCN:ST_NEVER")
  macro(PREC, "$(PREC=1)")
  macro(DESC,"Fly axis acceleration actual maximum")
}</v>
      </c>
      <c r="Z70" s="32" t="str">
        <f>IF(ISNUMBER($F70),SUBSTITUTE(SUBSTITUTE(SUBSTITUTE(SUBSTITUTE(SUBSTITUTE(SUBSTITUTE(SUBSTITUTE(SUBSTITUTE(y_QLabel &amp; y_QELabel &amp; IF($I70="gsu",y_QELineEdit,""),"~PVNAME",$S70),"~EGU",$J70),"~PREC",$P70),"~VAR",$E70),"~CANGET",$V70),"~CANSET",$W70),"~ROW",$F70),"~NAME",$D70),"")</f>
        <v/>
      </c>
      <c r="AA70" s="9" t="str">
        <f>VLOOKUP(H70,y_EPICS_Formats,2,FALSE)</f>
        <v>%f</v>
      </c>
      <c r="AB70" s="9" t="str">
        <f>IF(LEFT(I70)="g",y_Prefix&amp;S70&amp;" = ","")</f>
        <v xml:space="preserve">SR05ID01FST01:RSCN:A1_MAX = </v>
      </c>
      <c r="AC70" s="9" t="str">
        <f>IFERROR(";"&amp;G70&amp;"["&amp;J70&amp;"]"&amp;I70&amp;CHAR(10)&amp;B70 &amp;CHAR(9)&amp;U70&amp;CHAR(9)&amp;E70 &amp;CHAR(9),";;Error!")</f>
        <v xml:space="preserve">;Fly axis acceleration actual maximum[EGU/s2]g
#define	a1Max	P2062	</v>
      </c>
      <c r="AD70" s="9" t="str">
        <f>IF(IFERROR(Q70&gt;0,FALSE),SUBSTITUTE(SUBSTITUTE(SUBSTITUTE(y_archiverXML,"~PVNAME",S70&amp;IF(LEN(X70)&lt;1,"",":RBV")),"~PREFIX",y_Prefix),"~PERIOD",Q70),"")</f>
        <v xml:space="preserve">      &lt;channel&gt;
         &lt;name&gt;SR05ID01FST01:RSCN:A1_MAX:RBV&lt;/name&gt;
         &lt;period&gt;30&lt;/period&gt;
         &lt;monitor/&gt;
      &lt;/channel&gt;</v>
      </c>
      <c r="AE70" s="20">
        <f>IF(OR(LEFT($I70)="e",LEFT($I70)="g"),AE$1-LEN(S70),"")</f>
        <v>5</v>
      </c>
      <c r="AF70" s="20">
        <f>IF(OR(LEFT($I70)="e",LEFT($I70)="g"),AF$1-LEN(T70),"")</f>
        <v>11</v>
      </c>
      <c r="AG70" s="20">
        <f>IF(OR(LEFT($I70)="e",LEFT($I70)="g"),AG$1-LEN(U70),"")</f>
        <v>11</v>
      </c>
      <c r="AH70" s="20">
        <f>IF(OR(LEFT($I70)="e",LEFT($I70)="g"),AH$1-LEN(V70),"")</f>
        <v>20</v>
      </c>
      <c r="AI70" s="2" t="str">
        <f>IF(ISNUMBER(E70),"0"&amp;LEFT(D70,2)&amp;TEXT(E70,"#.0000"),E70)</f>
        <v>P2062</v>
      </c>
    </row>
    <row r="71" spans="1:35" x14ac:dyDescent="0.3">
      <c r="A71" s="6" t="str">
        <f>IF(T71&lt;&gt;U71,"&lt;FIND TYPE=ASC&gt;"&amp;R71&amp;"&lt;/FIND&gt;&lt;REPLACE TYPE=ASC&gt;"&amp;S71&amp;"&lt;/REPLACE&gt;"&amp;CHAR(10)&amp;"&lt;FIND TYPE=ASC&gt;"&amp;T71&amp;"&lt;/FIND&gt;&lt;REPLACE TYPE=ASC&gt;"&amp;U71&amp;"&lt;/REPLACE&gt;"&amp;CHAR(10)&amp;"&lt;FIND TYPE=ASC&gt;"&amp;C71&amp;"&lt;/FIND&gt;&lt;REPLACE TYPE=ASC&gt;"&amp;D71&amp;"&lt;/REPLACE&gt;",".")</f>
        <v>.</v>
      </c>
      <c r="B71" s="7" t="s">
        <v>38</v>
      </c>
      <c r="C71" s="30" t="s">
        <v>574</v>
      </c>
      <c r="D71" s="7" t="s">
        <v>574</v>
      </c>
      <c r="E71" s="7" t="s">
        <v>113</v>
      </c>
      <c r="G71" s="8" t="s">
        <v>155</v>
      </c>
      <c r="H71" s="7" t="s">
        <v>41</v>
      </c>
      <c r="I71" s="7" t="s">
        <v>46</v>
      </c>
      <c r="J71" s="7"/>
      <c r="K71" s="7" t="s">
        <v>136</v>
      </c>
      <c r="L71" s="7" t="s">
        <v>69</v>
      </c>
      <c r="M71" s="7"/>
      <c r="N71" s="7">
        <v>0</v>
      </c>
      <c r="O71" s="7">
        <v>999</v>
      </c>
      <c r="P71" s="7">
        <v>0</v>
      </c>
      <c r="Q71" s="7"/>
      <c r="R71" s="17" t="str">
        <f>UPPER(R$1&amp;":"&amp;C71)</f>
        <v>RSCN:LINE_SUBN</v>
      </c>
      <c r="S71" s="9" t="str">
        <f>UPPER(S$1&amp;":"&amp;D71)</f>
        <v>RSCN:LINE_SUBN</v>
      </c>
      <c r="T71" s="17" t="str">
        <f>SUBSTITUTE(C71,"_","")</f>
        <v>lineSubN</v>
      </c>
      <c r="U71" s="9" t="str">
        <f>SUBSTITUTE(D71,"_","")&amp;IF(RIGHT(I71)="u","U","")</f>
        <v>lineSubN</v>
      </c>
      <c r="V71" s="9" t="str">
        <f>IF(ISNUMBER(K71),K71,"$(P):"&amp;$S$1&amp;":"&amp;K71)</f>
        <v>$(P):RSCN:ST_INPROG</v>
      </c>
      <c r="W71" s="9" t="str">
        <f>IF(ISNUMBER(L71),L71,"$(P):"&amp;$S$1&amp;":"&amp;L71)</f>
        <v>$(P):RSCN:ST_NEVER</v>
      </c>
      <c r="X71" s="9" t="str">
        <f>IF(LEFT(I71)="g",IF(H71="real",y_pmacRascanGSVar,IF(H71="int",y_pmacRascanGSVar,"")),"")</f>
        <v>expand("pmacRascanGSVar.vdb", GSVar~VAR) {
  macro(VAR, "~VAR")
  macro(EGU, "~EGU")
  macro(P, "$(P)")
  macro(Q, ":~PVNAME")
  macro(PORT, "$(PORT)")
  macro(CanGet, "~CANGET")
  macro(CanSet, "~CANSET")
  macro(PREC, "$(PREC=~PREC)")
  macro(DESC,"~DESC")
}</v>
      </c>
      <c r="Y71" s="9" t="str">
        <f>SUBSTITUTE(SUBSTITUTE(SUBSTITUTE(SUBSTITUTE(SUBSTITUTE(SUBSTITUTE(SUBSTITUTE(X71,"~PVNAME",S71),"~EGU",J71),"~PREC",P71),"~VAR",E71),"~CANGET",V71),"~CANSET",W71),"~DESC",LEFT(G71,40))</f>
        <v>expand("pmacRascanGSVar.vdb", GSVarP2063) {
  macro(VAR, "P2063")
  macro(EGU, "")
  macro(P, "$(P)")
  macro(Q, ":RSCN:LINE_SUBN")
  macro(PORT, "$(PORT)")
  macro(CanGet, "$(P):RSCN:ST_INPROG")
  macro(CanSet, "$(P):RSCN:ST_NEVER")
  macro(PREC, "$(PREC=0)")
  macro(DESC,"subsegment counter")
}</v>
      </c>
      <c r="Z71" s="32" t="str">
        <f>IF(ISNUMBER($F71),SUBSTITUTE(SUBSTITUTE(SUBSTITUTE(SUBSTITUTE(SUBSTITUTE(SUBSTITUTE(SUBSTITUTE(SUBSTITUTE(y_QLabel &amp; y_QELabel &amp; IF($I71="gsu",y_QELineEdit,""),"~PVNAME",$S71),"~EGU",$J71),"~PREC",$P71),"~VAR",$E71),"~CANGET",$V71),"~CANSET",$W71),"~ROW",$F71),"~NAME",$D71),"")</f>
        <v/>
      </c>
      <c r="AA71" s="9" t="str">
        <f>VLOOKUP(H71,y_EPICS_Formats,2,FALSE)</f>
        <v>%d</v>
      </c>
      <c r="AB71" s="9" t="str">
        <f>IF(LEFT(I71)="g",y_Prefix&amp;S71&amp;" = ","")</f>
        <v xml:space="preserve">SR05ID01FST01:RSCN:LINE_SUBN = </v>
      </c>
      <c r="AC71" s="9" t="str">
        <f>IFERROR(";"&amp;G71&amp;"["&amp;J71&amp;"]"&amp;I71&amp;CHAR(10)&amp;B71 &amp;CHAR(9)&amp;U71&amp;CHAR(9)&amp;E71 &amp;CHAR(9),";;Error!")</f>
        <v xml:space="preserve">;subsegment counter[]g
#define	lineSubN	P2063	</v>
      </c>
      <c r="AD71" s="9" t="str">
        <f>IF(IFERROR(Q71&gt;0,FALSE),SUBSTITUTE(SUBSTITUTE(SUBSTITUTE(y_archiverXML,"~PVNAME",S71&amp;IF(LEN(X71)&lt;1,"",":RBV")),"~PREFIX",y_Prefix),"~PERIOD",Q71),"")</f>
        <v/>
      </c>
      <c r="AE71" s="20">
        <f>IF(OR(LEFT($I71)="e",LEFT($I71)="g"),AE$1-LEN(S71),"")</f>
        <v>2</v>
      </c>
      <c r="AF71" s="20">
        <f>IF(OR(LEFT($I71)="e",LEFT($I71)="g"),AF$1-LEN(T71),"")</f>
        <v>8</v>
      </c>
      <c r="AG71" s="20">
        <f>IF(OR(LEFT($I71)="e",LEFT($I71)="g"),AG$1-LEN(U71),"")</f>
        <v>8</v>
      </c>
      <c r="AH71" s="20">
        <f>IF(OR(LEFT($I71)="e",LEFT($I71)="g"),AH$1-LEN(V71),"")</f>
        <v>21</v>
      </c>
      <c r="AI71" s="2" t="str">
        <f>IF(ISNUMBER(E71),"0"&amp;LEFT(D71,2)&amp;TEXT(E71,"#.0000"),E71)</f>
        <v>P2063</v>
      </c>
    </row>
    <row r="72" spans="1:35" x14ac:dyDescent="0.3">
      <c r="A72" s="6" t="str">
        <f>IF(T72&lt;&gt;U72,"&lt;FIND TYPE=ASC&gt;"&amp;R72&amp;"&lt;/FIND&gt;&lt;REPLACE TYPE=ASC&gt;"&amp;S72&amp;"&lt;/REPLACE&gt;"&amp;CHAR(10)&amp;"&lt;FIND TYPE=ASC&gt;"&amp;T72&amp;"&lt;/FIND&gt;&lt;REPLACE TYPE=ASC&gt;"&amp;U72&amp;"&lt;/REPLACE&gt;"&amp;CHAR(10)&amp;"&lt;FIND TYPE=ASC&gt;"&amp;C72&amp;"&lt;/FIND&gt;&lt;REPLACE TYPE=ASC&gt;"&amp;D72&amp;"&lt;/REPLACE&gt;",".")</f>
        <v>.</v>
      </c>
      <c r="B72" s="7" t="s">
        <v>38</v>
      </c>
      <c r="C72" s="30" t="s">
        <v>538</v>
      </c>
      <c r="D72" s="7" t="s">
        <v>538</v>
      </c>
      <c r="E72" s="7" t="s">
        <v>166</v>
      </c>
      <c r="G72" s="8" t="s">
        <v>175</v>
      </c>
      <c r="H72" s="7" t="s">
        <v>43</v>
      </c>
      <c r="I72" s="7" t="s">
        <v>46</v>
      </c>
      <c r="J72" s="7" t="s">
        <v>73</v>
      </c>
      <c r="K72" s="7" t="s">
        <v>138</v>
      </c>
      <c r="L72" s="7" t="s">
        <v>69</v>
      </c>
      <c r="M72" s="7"/>
      <c r="N72" s="7">
        <v>1E-3</v>
      </c>
      <c r="O72" s="7">
        <v>4</v>
      </c>
      <c r="P72" s="7">
        <v>4</v>
      </c>
      <c r="Q72" s="7">
        <v>30</v>
      </c>
      <c r="R72" s="17" t="str">
        <f>UPPER(R$1&amp;":"&amp;C72)</f>
        <v>RSCN:T_EDGE</v>
      </c>
      <c r="S72" s="9" t="str">
        <f>UPPER(S$1&amp;":"&amp;D72)</f>
        <v>RSCN:T_EDGE</v>
      </c>
      <c r="T72" s="17" t="str">
        <f>SUBSTITUTE(C72,"_","")</f>
        <v>tEdge</v>
      </c>
      <c r="U72" s="9" t="str">
        <f>SUBSTITUTE(D72,"_","")&amp;IF(RIGHT(I72)="u","U","")</f>
        <v>tEdge</v>
      </c>
      <c r="V72" s="9" t="str">
        <f>IF(ISNUMBER(K72),K72,"$(P):"&amp;$S$1&amp;":"&amp;K72)</f>
        <v>$(P):RSCN:ST_MONITOR</v>
      </c>
      <c r="W72" s="9" t="str">
        <f>IF(ISNUMBER(L72),L72,"$(P):"&amp;$S$1&amp;":"&amp;L72)</f>
        <v>$(P):RSCN:ST_NEVER</v>
      </c>
      <c r="X72" s="9" t="str">
        <f>IF(LEFT(I72)="g",IF(H72="real",y_pmacRascanGSVar,IF(H72="int",y_pmacRascanGSVar,"")),"")</f>
        <v>expand("pmacRascanGSVar.vdb", GSVar~VAR) {
  macro(VAR, "~VAR")
  macro(EGU, "~EGU")
  macro(P, "$(P)")
  macro(Q, ":~PVNAME")
  macro(PORT, "$(PORT)")
  macro(CanGet, "~CANGET")
  macro(CanSet, "~CANSET")
  macro(PREC, "$(PREC=~PREC)")
  macro(DESC,"~DESC")
}</v>
      </c>
      <c r="Y72" s="9" t="str">
        <f>SUBSTITUTE(SUBSTITUTE(SUBSTITUTE(SUBSTITUTE(SUBSTITUTE(SUBSTITUTE(SUBSTITUTE(X72,"~PVNAME",S72),"~EGU",J72),"~PREC",P72),"~VAR",E72),"~CANGET",V72),"~CANSET",W72),"~DESC",LEFT(G72,40))</f>
        <v>expand("pmacRascanGSVar.vdb", GSVarP2064) {
  macro(VAR, "P2064")
  macro(EGU, "s")
  macro(P, "$(P)")
  macro(Q, ":RSCN:T_EDGE")
  macro(PORT, "$(PORT)")
  macro(CanGet, "$(P):RSCN:ST_MONITOR")
  macro(CanSet, "$(P):RSCN:ST_NEVER")
  macro(PREC, "$(PREC=4)")
  macro(DESC,"Edge-skip move time")
}</v>
      </c>
      <c r="Z72" s="32" t="str">
        <f>IF(ISNUMBER($F72),SUBSTITUTE(SUBSTITUTE(SUBSTITUTE(SUBSTITUTE(SUBSTITUTE(SUBSTITUTE(SUBSTITUTE(SUBSTITUTE(y_QLabel &amp; y_QELabel &amp; IF($I72="gsu",y_QELineEdit,""),"~PVNAME",$S72),"~EGU",$J72),"~PREC",$P72),"~VAR",$E72),"~CANGET",$V72),"~CANSET",$W72),"~ROW",$F72),"~NAME",$D72),"")</f>
        <v/>
      </c>
      <c r="AA72" s="9" t="str">
        <f>VLOOKUP(H72,y_EPICS_Formats,2,FALSE)</f>
        <v>%f</v>
      </c>
      <c r="AB72" s="9" t="str">
        <f>IF(LEFT(I72)="g",y_Prefix&amp;S72&amp;" = ","")</f>
        <v xml:space="preserve">SR05ID01FST01:RSCN:T_EDGE = </v>
      </c>
      <c r="AC72" s="9" t="str">
        <f>IFERROR(";"&amp;G72&amp;"["&amp;J72&amp;"]"&amp;I72&amp;CHAR(10)&amp;B72 &amp;CHAR(9)&amp;U72&amp;CHAR(9)&amp;E72 &amp;CHAR(9),";;Error!")</f>
        <v xml:space="preserve">;Edge-skip move time[s]g
#define	tEdge	P2064	</v>
      </c>
      <c r="AD72" s="9" t="str">
        <f>IF(IFERROR(Q72&gt;0,FALSE),SUBSTITUTE(SUBSTITUTE(SUBSTITUTE(y_archiverXML,"~PVNAME",S72&amp;IF(LEN(X72)&lt;1,"",":RBV")),"~PREFIX",y_Prefix),"~PERIOD",Q72),"")</f>
        <v xml:space="preserve">      &lt;channel&gt;
         &lt;name&gt;SR05ID01FST01:RSCN:T_EDGE:RBV&lt;/name&gt;
         &lt;period&gt;30&lt;/period&gt;
         &lt;monitor/&gt;
      &lt;/channel&gt;</v>
      </c>
      <c r="AE72" s="20">
        <f>IF(OR(LEFT($I72)="e",LEFT($I72)="g"),AE$1-LEN(S72),"")</f>
        <v>5</v>
      </c>
      <c r="AF72" s="20">
        <f>IF(OR(LEFT($I72)="e",LEFT($I72)="g"),AF$1-LEN(T72),"")</f>
        <v>11</v>
      </c>
      <c r="AG72" s="20">
        <f>IF(OR(LEFT($I72)="e",LEFT($I72)="g"),AG$1-LEN(U72),"")</f>
        <v>11</v>
      </c>
      <c r="AH72" s="20">
        <f>IF(OR(LEFT($I72)="e",LEFT($I72)="g"),AH$1-LEN(V72),"")</f>
        <v>20</v>
      </c>
      <c r="AI72" s="2" t="str">
        <f>IF(ISNUMBER(E72),"0"&amp;LEFT(D72,2)&amp;TEXT(E72,"#.0000"),E72)</f>
        <v>P2064</v>
      </c>
    </row>
    <row r="73" spans="1:35" x14ac:dyDescent="0.3">
      <c r="A73" s="6" t="str">
        <f>IF(T73&lt;&gt;U73,"&lt;FIND TYPE=ASC&gt;"&amp;R73&amp;"&lt;/FIND&gt;&lt;REPLACE TYPE=ASC&gt;"&amp;S73&amp;"&lt;/REPLACE&gt;"&amp;CHAR(10)&amp;"&lt;FIND TYPE=ASC&gt;"&amp;T73&amp;"&lt;/FIND&gt;&lt;REPLACE TYPE=ASC&gt;"&amp;U73&amp;"&lt;/REPLACE&gt;"&amp;CHAR(10)&amp;"&lt;FIND TYPE=ASC&gt;"&amp;C73&amp;"&lt;/FIND&gt;&lt;REPLACE TYPE=ASC&gt;"&amp;D73&amp;"&lt;/REPLACE&gt;",".")</f>
        <v>.</v>
      </c>
      <c r="B73" s="7" t="s">
        <v>38</v>
      </c>
      <c r="C73" s="30" t="s">
        <v>562</v>
      </c>
      <c r="D73" s="7" t="s">
        <v>562</v>
      </c>
      <c r="E73" s="7" t="s">
        <v>167</v>
      </c>
      <c r="G73" s="8" t="s">
        <v>520</v>
      </c>
      <c r="H73" s="7" t="s">
        <v>43</v>
      </c>
      <c r="I73" s="7" t="s">
        <v>46</v>
      </c>
      <c r="J73" s="7" t="s">
        <v>169</v>
      </c>
      <c r="K73" s="7" t="s">
        <v>138</v>
      </c>
      <c r="L73" s="7" t="s">
        <v>69</v>
      </c>
      <c r="M73" s="7"/>
      <c r="N73" s="7">
        <v>-9999999</v>
      </c>
      <c r="O73" s="7">
        <v>9999999</v>
      </c>
      <c r="P73" s="7">
        <v>5</v>
      </c>
      <c r="Q73" s="7">
        <v>30</v>
      </c>
      <c r="R73" s="17" t="str">
        <f>UPPER(R$1&amp;":"&amp;C73)</f>
        <v>RSCN:D2_EDGE</v>
      </c>
      <c r="S73" s="9" t="str">
        <f>UPPER(S$1&amp;":"&amp;D73)</f>
        <v>RSCN:D2_EDGE</v>
      </c>
      <c r="T73" s="17" t="str">
        <f>SUBSTITUTE(C73,"_","")</f>
        <v>d2Edge</v>
      </c>
      <c r="U73" s="9" t="str">
        <f>SUBSTITUTE(D73,"_","")&amp;IF(RIGHT(I73)="u","U","")</f>
        <v>d2Edge</v>
      </c>
      <c r="V73" s="9" t="str">
        <f>IF(ISNUMBER(K73),K73,"$(P):"&amp;$S$1&amp;":"&amp;K73)</f>
        <v>$(P):RSCN:ST_MONITOR</v>
      </c>
      <c r="W73" s="9" t="str">
        <f>IF(ISNUMBER(L73),L73,"$(P):"&amp;$S$1&amp;":"&amp;L73)</f>
        <v>$(P):RSCN:ST_NEVER</v>
      </c>
      <c r="X73" s="9" t="str">
        <f>IF(LEFT(I73)="g",IF(H73="real",y_pmacRascanGSVar,IF(H73="int",y_pmacRascanGSVar,"")),"")</f>
        <v>expand("pmacRascanGSVar.vdb", GSVar~VAR) {
  macro(VAR, "~VAR")
  macro(EGU, "~EGU")
  macro(P, "$(P)")
  macro(Q, ":~PVNAME")
  macro(PORT, "$(PORT)")
  macro(CanGet, "~CANGET")
  macro(CanSet, "~CANSET")
  macro(PREC, "$(PREC=~PREC)")
  macro(DESC,"~DESC")
}</v>
      </c>
      <c r="Y73" s="9" t="str">
        <f>SUBSTITUTE(SUBSTITUTE(SUBSTITUTE(SUBSTITUTE(SUBSTITUTE(SUBSTITUTE(SUBSTITUTE(X73,"~PVNAME",S73),"~EGU",J73),"~PREC",P73),"~VAR",E73),"~CANGET",V73),"~CANSET",W73),"~DESC",LEFT(G73,40))</f>
        <v>expand("pmacRascanGSVar.vdb", GSVarP2065) {
  macro(VAR, "P2065")
  macro(EGU, "EGU")
  macro(P, "$(P)")
  macro(Q, ":RSCN:D2_EDGE")
  macro(PORT, "$(PORT)")
  macro(CanGet, "$(P):RSCN:ST_MONITOR")
  macro(CanSet, "$(P):RSCN:ST_NEVER")
  macro(PREC, "$(PREC=5)")
  macro(DESC,"Increment axis Edge-skip distance")
}</v>
      </c>
      <c r="Z73" s="32" t="str">
        <f>IF(ISNUMBER($F73),SUBSTITUTE(SUBSTITUTE(SUBSTITUTE(SUBSTITUTE(SUBSTITUTE(SUBSTITUTE(SUBSTITUTE(SUBSTITUTE(y_QLabel &amp; y_QELabel &amp; IF($I73="gsu",y_QELineEdit,""),"~PVNAME",$S73),"~EGU",$J73),"~PREC",$P73),"~VAR",$E73),"~CANGET",$V73),"~CANSET",$W73),"~ROW",$F73),"~NAME",$D73),"")</f>
        <v/>
      </c>
      <c r="AA73" s="9" t="str">
        <f>VLOOKUP(H73,y_EPICS_Formats,2,FALSE)</f>
        <v>%f</v>
      </c>
      <c r="AB73" s="9" t="str">
        <f>IF(LEFT(I73)="g",y_Prefix&amp;S73&amp;" = ","")</f>
        <v xml:space="preserve">SR05ID01FST01:RSCN:D2_EDGE = </v>
      </c>
      <c r="AC73" s="9" t="str">
        <f>IFERROR(";"&amp;G73&amp;"["&amp;J73&amp;"]"&amp;I73&amp;CHAR(10)&amp;B73 &amp;CHAR(9)&amp;U73&amp;CHAR(9)&amp;E73 &amp;CHAR(9),";;Error!")</f>
        <v xml:space="preserve">;Increment axis Edge-skip distance[EGU]g
#define	d2Edge	P2065	</v>
      </c>
      <c r="AD73" s="9" t="str">
        <f>IF(IFERROR(Q73&gt;0,FALSE),SUBSTITUTE(SUBSTITUTE(SUBSTITUTE(y_archiverXML,"~PVNAME",S73&amp;IF(LEN(X73)&lt;1,"",":RBV")),"~PREFIX",y_Prefix),"~PERIOD",Q73),"")</f>
        <v xml:space="preserve">      &lt;channel&gt;
         &lt;name&gt;SR05ID01FST01:RSCN:D2_EDGE:RBV&lt;/name&gt;
         &lt;period&gt;30&lt;/period&gt;
         &lt;monitor/&gt;
      &lt;/channel&gt;</v>
      </c>
      <c r="AE73" s="20">
        <f>IF(OR(LEFT($I73)="e",LEFT($I73)="g"),AE$1-LEN(S73),"")</f>
        <v>4</v>
      </c>
      <c r="AF73" s="20">
        <f>IF(OR(LEFT($I73)="e",LEFT($I73)="g"),AF$1-LEN(T73),"")</f>
        <v>10</v>
      </c>
      <c r="AG73" s="20">
        <f>IF(OR(LEFT($I73)="e",LEFT($I73)="g"),AG$1-LEN(U73),"")</f>
        <v>10</v>
      </c>
      <c r="AH73" s="20">
        <f>IF(OR(LEFT($I73)="e",LEFT($I73)="g"),AH$1-LEN(V73),"")</f>
        <v>20</v>
      </c>
      <c r="AI73" s="2" t="str">
        <f>IF(ISNUMBER(E73),"0"&amp;LEFT(D73,2)&amp;TEXT(E73,"#.0000"),E73)</f>
        <v>P2065</v>
      </c>
    </row>
    <row r="74" spans="1:35" x14ac:dyDescent="0.3">
      <c r="A74" s="6" t="str">
        <f>IF(T74&lt;&gt;U74,"&lt;FIND TYPE=ASC&gt;"&amp;R74&amp;"&lt;/FIND&gt;&lt;REPLACE TYPE=ASC&gt;"&amp;S74&amp;"&lt;/REPLACE&gt;"&amp;CHAR(10)&amp;"&lt;FIND TYPE=ASC&gt;"&amp;T74&amp;"&lt;/FIND&gt;&lt;REPLACE TYPE=ASC&gt;"&amp;U74&amp;"&lt;/REPLACE&gt;"&amp;CHAR(10)&amp;"&lt;FIND TYPE=ASC&gt;"&amp;C74&amp;"&lt;/FIND&gt;&lt;REPLACE TYPE=ASC&gt;"&amp;D74&amp;"&lt;/REPLACE&gt;",".")</f>
        <v>.</v>
      </c>
      <c r="B74" s="7" t="s">
        <v>38</v>
      </c>
      <c r="C74" s="30" t="s">
        <v>581</v>
      </c>
      <c r="D74" s="7" t="s">
        <v>581</v>
      </c>
      <c r="E74" s="7" t="s">
        <v>168</v>
      </c>
      <c r="G74" s="8" t="s">
        <v>48</v>
      </c>
      <c r="H74" s="7"/>
      <c r="I74" s="7" t="s">
        <v>39</v>
      </c>
      <c r="J74" s="7"/>
      <c r="K74" s="7"/>
      <c r="L74" s="7"/>
      <c r="M74" s="7"/>
      <c r="N74" s="7"/>
      <c r="O74" s="7"/>
      <c r="P74" s="7"/>
      <c r="Q74" s="7"/>
      <c r="R74" s="17" t="str">
        <f>UPPER(R$1&amp;":"&amp;C74)</f>
        <v>RSCN:DUM</v>
      </c>
      <c r="S74" s="9" t="str">
        <f>UPPER(S$1&amp;":"&amp;D74)</f>
        <v>RSCN:DUM</v>
      </c>
      <c r="T74" s="17" t="str">
        <f>SUBSTITUTE(C74,"_","")</f>
        <v>dum</v>
      </c>
      <c r="U74" s="9" t="str">
        <f>SUBSTITUTE(D74,"_","")&amp;IF(RIGHT(I74)="u","U","")</f>
        <v>dum</v>
      </c>
      <c r="V74" s="9" t="str">
        <f>IF(ISNUMBER(K74),K74,"$(P):"&amp;$S$1&amp;":"&amp;K74)</f>
        <v>$(P):RSCN:</v>
      </c>
      <c r="W74" s="9" t="str">
        <f>IF(ISNUMBER(L74),L74,"$(P):"&amp;$S$1&amp;":"&amp;L74)</f>
        <v>$(P):RSCN:</v>
      </c>
      <c r="X74" s="9" t="str">
        <f>IF(LEFT(I74)="g",IF(H74="real",y_pmacRascanGSVar,IF(H74="int",y_pmacRascanGSVar,"")),"")</f>
        <v/>
      </c>
      <c r="Y74" s="9" t="str">
        <f>SUBSTITUTE(SUBSTITUTE(SUBSTITUTE(SUBSTITUTE(SUBSTITUTE(SUBSTITUTE(SUBSTITUTE(X74,"~PVNAME",S74),"~EGU",J74),"~PREC",P74),"~VAR",E74),"~CANGET",V74),"~CANSET",W74),"~DESC",LEFT(G74,40))</f>
        <v/>
      </c>
      <c r="Z74" s="32" t="str">
        <f>IF(ISNUMBER($F74),SUBSTITUTE(SUBSTITUTE(SUBSTITUTE(SUBSTITUTE(SUBSTITUTE(SUBSTITUTE(SUBSTITUTE(SUBSTITUTE(y_QLabel &amp; y_QELabel &amp; IF($I74="gsu",y_QELineEdit,""),"~PVNAME",$S74),"~EGU",$J74),"~PREC",$P74),"~VAR",$E74),"~CANGET",$V74),"~CANSET",$W74),"~ROW",$F74),"~NAME",$D74),"")</f>
        <v/>
      </c>
      <c r="AA74" s="9" t="e">
        <f>VLOOKUP(H74,y_EPICS_Formats,2,FALSE)</f>
        <v>#N/A</v>
      </c>
      <c r="AB74" s="9" t="str">
        <f>IF(LEFT(I74)="g",y_Prefix&amp;S74&amp;" = ","")</f>
        <v/>
      </c>
      <c r="AC74" s="9" t="str">
        <f>IFERROR(";"&amp;G74&amp;"["&amp;J74&amp;"]"&amp;I74&amp;CHAR(10)&amp;B74 &amp;CHAR(9)&amp;U74&amp;CHAR(9)&amp;E74 &amp;CHAR(9),";;Error!")</f>
        <v xml:space="preserve">;Pmac internal variable[]p
#define	dum	P2066	</v>
      </c>
      <c r="AD74" s="9" t="str">
        <f>IF(IFERROR(Q74&gt;0,FALSE),SUBSTITUTE(SUBSTITUTE(SUBSTITUTE(y_archiverXML,"~PVNAME",S74&amp;IF(LEN(X74)&lt;1,"",":RBV")),"~PREFIX",y_Prefix),"~PERIOD",Q74),"")</f>
        <v/>
      </c>
      <c r="AE74" s="20" t="str">
        <f>IF(OR(LEFT($I74)="e",LEFT($I74)="g"),AE$1-LEN(S74),"")</f>
        <v/>
      </c>
      <c r="AF74" s="20" t="str">
        <f>IF(OR(LEFT($I74)="e",LEFT($I74)="g"),AF$1-LEN(T74),"")</f>
        <v/>
      </c>
      <c r="AG74" s="20" t="str">
        <f>IF(OR(LEFT($I74)="e",LEFT($I74)="g"),AG$1-LEN(U74),"")</f>
        <v/>
      </c>
      <c r="AH74" s="20" t="str">
        <f>IF(OR(LEFT($I74)="e",LEFT($I74)="g"),AH$1-LEN(V74),"")</f>
        <v/>
      </c>
      <c r="AI74" s="2" t="str">
        <f>IF(ISNUMBER(E74),"0"&amp;LEFT(D74,2)&amp;TEXT(E74,"#.0000"),E74)</f>
        <v>P2066</v>
      </c>
    </row>
    <row r="75" spans="1:35" x14ac:dyDescent="0.3">
      <c r="A75" s="6" t="str">
        <f>IF(T75&lt;&gt;U75,"&lt;FIND TYPE=ASC&gt;"&amp;R75&amp;"&lt;/FIND&gt;&lt;REPLACE TYPE=ASC&gt;"&amp;S75&amp;"&lt;/REPLACE&gt;"&amp;CHAR(10)&amp;"&lt;FIND TYPE=ASC&gt;"&amp;T75&amp;"&lt;/FIND&gt;&lt;REPLACE TYPE=ASC&gt;"&amp;U75&amp;"&lt;/REPLACE&gt;"&amp;CHAR(10)&amp;"&lt;FIND TYPE=ASC&gt;"&amp;C75&amp;"&lt;/FIND&gt;&lt;REPLACE TYPE=ASC&gt;"&amp;D75&amp;"&lt;/REPLACE&gt;",".")</f>
        <v>.</v>
      </c>
      <c r="B75" s="7" t="s">
        <v>38</v>
      </c>
      <c r="C75" s="30" t="s">
        <v>575</v>
      </c>
      <c r="D75" s="7" t="s">
        <v>575</v>
      </c>
      <c r="E75" s="7" t="s">
        <v>114</v>
      </c>
      <c r="G75" s="8" t="s">
        <v>48</v>
      </c>
      <c r="H75" s="7"/>
      <c r="I75" s="7" t="s">
        <v>39</v>
      </c>
      <c r="J75" s="7"/>
      <c r="K75" s="7"/>
      <c r="L75" s="7"/>
      <c r="M75" s="7"/>
      <c r="N75" s="7"/>
      <c r="O75" s="7"/>
      <c r="P75" s="7"/>
      <c r="Q75" s="7"/>
      <c r="R75" s="17" t="str">
        <f>UPPER(R$1&amp;":"&amp;C75)</f>
        <v>RSCN:P_Y0</v>
      </c>
      <c r="S75" s="9" t="str">
        <f>UPPER(S$1&amp;":"&amp;D75)</f>
        <v>RSCN:P_Y0</v>
      </c>
      <c r="T75" s="17" t="str">
        <f>SUBSTITUTE(C75,"_","")</f>
        <v>pY0</v>
      </c>
      <c r="U75" s="9" t="str">
        <f>SUBSTITUTE(D75,"_","")&amp;IF(RIGHT(I75)="u","U","")</f>
        <v>pY0</v>
      </c>
      <c r="V75" s="9" t="str">
        <f>IF(ISNUMBER(K75),K75,"$(P):"&amp;$S$1&amp;":"&amp;K75)</f>
        <v>$(P):RSCN:</v>
      </c>
      <c r="W75" s="9" t="str">
        <f>IF(ISNUMBER(L75),L75,"$(P):"&amp;$S$1&amp;":"&amp;L75)</f>
        <v>$(P):RSCN:</v>
      </c>
      <c r="X75" s="9" t="str">
        <f>IF(LEFT(I75)="g",IF(H75="real",y_pmacRascanGSVar,IF(H75="int",y_pmacRascanGSVar,"")),"")</f>
        <v/>
      </c>
      <c r="Y75" s="9" t="str">
        <f>SUBSTITUTE(SUBSTITUTE(SUBSTITUTE(SUBSTITUTE(SUBSTITUTE(SUBSTITUTE(SUBSTITUTE(X75,"~PVNAME",S75),"~EGU",J75),"~PREC",P75),"~VAR",E75),"~CANGET",V75),"~CANSET",W75),"~DESC",LEFT(G75,40))</f>
        <v/>
      </c>
      <c r="Z75" s="32" t="str">
        <f>IF(ISNUMBER($F75),SUBSTITUTE(SUBSTITUTE(SUBSTITUTE(SUBSTITUTE(SUBSTITUTE(SUBSTITUTE(SUBSTITUTE(SUBSTITUTE(y_QLabel &amp; y_QELabel &amp; IF($I75="gsu",y_QELineEdit,""),"~PVNAME",$S75),"~EGU",$J75),"~PREC",$P75),"~VAR",$E75),"~CANGET",$V75),"~CANSET",$W75),"~ROW",$F75),"~NAME",$D75),"")</f>
        <v/>
      </c>
      <c r="AA75" s="9" t="e">
        <f>VLOOKUP(H75,y_EPICS_Formats,2,FALSE)</f>
        <v>#N/A</v>
      </c>
      <c r="AB75" s="9" t="str">
        <f>IF(LEFT(I75)="g",y_Prefix&amp;S75&amp;" = ","")</f>
        <v/>
      </c>
      <c r="AC75" s="9" t="str">
        <f>IFERROR(";"&amp;G75&amp;"["&amp;J75&amp;"]"&amp;I75&amp;CHAR(10)&amp;B75 &amp;CHAR(9)&amp;U75&amp;CHAR(9)&amp;E75 &amp;CHAR(9),";;Error!")</f>
        <v xml:space="preserve">;Pmac internal variable[]p
#define	pY0	P2068	</v>
      </c>
      <c r="AD75" s="9" t="str">
        <f>IF(IFERROR(Q75&gt;0,FALSE),SUBSTITUTE(SUBSTITUTE(SUBSTITUTE(y_archiverXML,"~PVNAME",S75&amp;IF(LEN(X75)&lt;1,"",":RBV")),"~PREFIX",y_Prefix),"~PERIOD",Q75),"")</f>
        <v/>
      </c>
      <c r="AE75" s="20" t="str">
        <f>IF(OR(LEFT($I75)="e",LEFT($I75)="g"),AE$1-LEN(S75),"")</f>
        <v/>
      </c>
      <c r="AF75" s="20" t="str">
        <f>IF(OR(LEFT($I75)="e",LEFT($I75)="g"),AF$1-LEN(T75),"")</f>
        <v/>
      </c>
      <c r="AG75" s="20" t="str">
        <f>IF(OR(LEFT($I75)="e",LEFT($I75)="g"),AG$1-LEN(U75),"")</f>
        <v/>
      </c>
      <c r="AH75" s="20" t="str">
        <f>IF(OR(LEFT($I75)="e",LEFT($I75)="g"),AH$1-LEN(V75),"")</f>
        <v/>
      </c>
      <c r="AI75" s="2" t="str">
        <f>IF(ISNUMBER(E75),"0"&amp;LEFT(D75,2)&amp;TEXT(E75,"#.0000"),E75)</f>
        <v>P2068</v>
      </c>
    </row>
    <row r="76" spans="1:35" x14ac:dyDescent="0.3">
      <c r="A76" s="6" t="str">
        <f>IF(T76&lt;&gt;U76,"&lt;FIND TYPE=ASC&gt;"&amp;R76&amp;"&lt;/FIND&gt;&lt;REPLACE TYPE=ASC&gt;"&amp;S76&amp;"&lt;/REPLACE&gt;"&amp;CHAR(10)&amp;"&lt;FIND TYPE=ASC&gt;"&amp;T76&amp;"&lt;/FIND&gt;&lt;REPLACE TYPE=ASC&gt;"&amp;U76&amp;"&lt;/REPLACE&gt;"&amp;CHAR(10)&amp;"&lt;FIND TYPE=ASC&gt;"&amp;C76&amp;"&lt;/FIND&gt;&lt;REPLACE TYPE=ASC&gt;"&amp;D76&amp;"&lt;/REPLACE&gt;",".")</f>
        <v>.</v>
      </c>
      <c r="B76" s="7" t="s">
        <v>38</v>
      </c>
      <c r="C76" s="30" t="s">
        <v>576</v>
      </c>
      <c r="D76" s="7" t="s">
        <v>576</v>
      </c>
      <c r="E76" s="7" t="s">
        <v>115</v>
      </c>
      <c r="G76" s="8" t="s">
        <v>48</v>
      </c>
      <c r="H76" s="7"/>
      <c r="I76" s="7" t="s">
        <v>39</v>
      </c>
      <c r="J76" s="7"/>
      <c r="K76" s="7"/>
      <c r="L76" s="7"/>
      <c r="M76" s="7"/>
      <c r="N76" s="7"/>
      <c r="O76" s="7"/>
      <c r="P76" s="7"/>
      <c r="Q76" s="7"/>
      <c r="R76" s="17" t="str">
        <f>UPPER(R$1&amp;":"&amp;C76)</f>
        <v>RSCN:P_Y1</v>
      </c>
      <c r="S76" s="9" t="str">
        <f>UPPER(S$1&amp;":"&amp;D76)</f>
        <v>RSCN:P_Y1</v>
      </c>
      <c r="T76" s="17" t="str">
        <f>SUBSTITUTE(C76,"_","")</f>
        <v>pY1</v>
      </c>
      <c r="U76" s="9" t="str">
        <f>SUBSTITUTE(D76,"_","")&amp;IF(RIGHT(I76)="u","U","")</f>
        <v>pY1</v>
      </c>
      <c r="V76" s="9" t="str">
        <f>IF(ISNUMBER(K76),K76,"$(P):"&amp;$S$1&amp;":"&amp;K76)</f>
        <v>$(P):RSCN:</v>
      </c>
      <c r="W76" s="9" t="str">
        <f>IF(ISNUMBER(L76),L76,"$(P):"&amp;$S$1&amp;":"&amp;L76)</f>
        <v>$(P):RSCN:</v>
      </c>
      <c r="X76" s="9" t="str">
        <f>IF(LEFT(I76)="g",IF(H76="real",y_pmacRascanGSVar,IF(H76="int",y_pmacRascanGSVar,"")),"")</f>
        <v/>
      </c>
      <c r="Y76" s="9" t="str">
        <f>SUBSTITUTE(SUBSTITUTE(SUBSTITUTE(SUBSTITUTE(SUBSTITUTE(SUBSTITUTE(SUBSTITUTE(X76,"~PVNAME",S76),"~EGU",J76),"~PREC",P76),"~VAR",E76),"~CANGET",V76),"~CANSET",W76),"~DESC",LEFT(G76,40))</f>
        <v/>
      </c>
      <c r="Z76" s="32" t="str">
        <f>IF(ISNUMBER($F76),SUBSTITUTE(SUBSTITUTE(SUBSTITUTE(SUBSTITUTE(SUBSTITUTE(SUBSTITUTE(SUBSTITUTE(SUBSTITUTE(y_QLabel &amp; y_QELabel &amp; IF($I76="gsu",y_QELineEdit,""),"~PVNAME",$S76),"~EGU",$J76),"~PREC",$P76),"~VAR",$E76),"~CANGET",$V76),"~CANSET",$W76),"~ROW",$F76),"~NAME",$D76),"")</f>
        <v/>
      </c>
      <c r="AA76" s="9" t="e">
        <f>VLOOKUP(H76,y_EPICS_Formats,2,FALSE)</f>
        <v>#N/A</v>
      </c>
      <c r="AB76" s="9" t="str">
        <f>IF(LEFT(I76)="g",y_Prefix&amp;S76&amp;" = ","")</f>
        <v/>
      </c>
      <c r="AC76" s="9" t="str">
        <f>IFERROR(";"&amp;G76&amp;"["&amp;J76&amp;"]"&amp;I76&amp;CHAR(10)&amp;B76 &amp;CHAR(9)&amp;U76&amp;CHAR(9)&amp;E76 &amp;CHAR(9),";;Error!")</f>
        <v xml:space="preserve">;Pmac internal variable[]p
#define	pY1	P2069	</v>
      </c>
      <c r="AD76" s="9" t="str">
        <f>IF(IFERROR(Q76&gt;0,FALSE),SUBSTITUTE(SUBSTITUTE(SUBSTITUTE(y_archiverXML,"~PVNAME",S76&amp;IF(LEN(X76)&lt;1,"",":RBV")),"~PREFIX",y_Prefix),"~PERIOD",Q76),"")</f>
        <v/>
      </c>
      <c r="AE76" s="20" t="str">
        <f>IF(OR(LEFT($I76)="e",LEFT($I76)="g"),AE$1-LEN(S76),"")</f>
        <v/>
      </c>
      <c r="AF76" s="20" t="str">
        <f>IF(OR(LEFT($I76)="e",LEFT($I76)="g"),AF$1-LEN(T76),"")</f>
        <v/>
      </c>
      <c r="AG76" s="20" t="str">
        <f>IF(OR(LEFT($I76)="e",LEFT($I76)="g"),AG$1-LEN(U76),"")</f>
        <v/>
      </c>
      <c r="AH76" s="20" t="str">
        <f>IF(OR(LEFT($I76)="e",LEFT($I76)="g"),AH$1-LEN(V76),"")</f>
        <v/>
      </c>
      <c r="AI76" s="2" t="str">
        <f>IF(ISNUMBER(E76),"0"&amp;LEFT(D76,2)&amp;TEXT(E76,"#.0000"),E76)</f>
        <v>P2069</v>
      </c>
    </row>
    <row r="77" spans="1:35" x14ac:dyDescent="0.3">
      <c r="A77" s="6" t="str">
        <f>IF(T77&lt;&gt;U77,"&lt;FIND TYPE=ASC&gt;"&amp;R77&amp;"&lt;/FIND&gt;&lt;REPLACE TYPE=ASC&gt;"&amp;S77&amp;"&lt;/REPLACE&gt;"&amp;CHAR(10)&amp;"&lt;FIND TYPE=ASC&gt;"&amp;T77&amp;"&lt;/FIND&gt;&lt;REPLACE TYPE=ASC&gt;"&amp;U77&amp;"&lt;/REPLACE&gt;"&amp;CHAR(10)&amp;"&lt;FIND TYPE=ASC&gt;"&amp;C77&amp;"&lt;/FIND&gt;&lt;REPLACE TYPE=ASC&gt;"&amp;D77&amp;"&lt;/REPLACE&gt;",".")</f>
        <v>.</v>
      </c>
      <c r="B77" s="7" t="s">
        <v>38</v>
      </c>
      <c r="C77" s="30" t="s">
        <v>579</v>
      </c>
      <c r="D77" s="7" t="s">
        <v>579</v>
      </c>
      <c r="E77" s="7" t="s">
        <v>176</v>
      </c>
      <c r="G77" s="8" t="s">
        <v>48</v>
      </c>
      <c r="H77" s="7"/>
      <c r="I77" s="7" t="s">
        <v>39</v>
      </c>
      <c r="J77" s="7"/>
      <c r="K77" s="7"/>
      <c r="L77" s="7"/>
      <c r="M77" s="7"/>
      <c r="N77" s="7"/>
      <c r="O77" s="7"/>
      <c r="P77" s="7"/>
      <c r="Q77" s="7"/>
      <c r="R77" s="17" t="str">
        <f>UPPER(R$1&amp;":"&amp;C77)</f>
        <v>RSCN:P_DELTA</v>
      </c>
      <c r="S77" s="9" t="str">
        <f>UPPER(S$1&amp;":"&amp;D77)</f>
        <v>RSCN:P_DELTA</v>
      </c>
      <c r="T77" s="17" t="str">
        <f>SUBSTITUTE(C77,"_","")</f>
        <v>pdelta</v>
      </c>
      <c r="U77" s="9" t="str">
        <f>SUBSTITUTE(D77,"_","")&amp;IF(RIGHT(I77)="u","U","")</f>
        <v>pdelta</v>
      </c>
      <c r="V77" s="9" t="str">
        <f>IF(ISNUMBER(K77),K77,"$(P):"&amp;$S$1&amp;":"&amp;K77)</f>
        <v>$(P):RSCN:</v>
      </c>
      <c r="W77" s="9" t="str">
        <f>IF(ISNUMBER(L77),L77,"$(P):"&amp;$S$1&amp;":"&amp;L77)</f>
        <v>$(P):RSCN:</v>
      </c>
      <c r="X77" s="9" t="str">
        <f>IF(LEFT(I77)="g",IF(H77="real",y_pmacRascanGSVar,IF(H77="int",y_pmacRascanGSVar,"")),"")</f>
        <v/>
      </c>
      <c r="Y77" s="9" t="str">
        <f>SUBSTITUTE(SUBSTITUTE(SUBSTITUTE(SUBSTITUTE(SUBSTITUTE(SUBSTITUTE(SUBSTITUTE(X77,"~PVNAME",S77),"~EGU",J77),"~PREC",P77),"~VAR",E77),"~CANGET",V77),"~CANSET",W77),"~DESC",LEFT(G77,40))</f>
        <v/>
      </c>
      <c r="Z77" s="32" t="str">
        <f>IF(ISNUMBER($F77),SUBSTITUTE(SUBSTITUTE(SUBSTITUTE(SUBSTITUTE(SUBSTITUTE(SUBSTITUTE(SUBSTITUTE(SUBSTITUTE(y_QLabel &amp; y_QELabel &amp; IF($I77="gsu",y_QELineEdit,""),"~PVNAME",$S77),"~EGU",$J77),"~PREC",$P77),"~VAR",$E77),"~CANGET",$V77),"~CANSET",$W77),"~ROW",$F77),"~NAME",$D77),"")</f>
        <v/>
      </c>
      <c r="AA77" s="9" t="e">
        <f>VLOOKUP(H77,y_EPICS_Formats,2,FALSE)</f>
        <v>#N/A</v>
      </c>
      <c r="AB77" s="9" t="str">
        <f>IF(LEFT(I77)="g",y_Prefix&amp;S77&amp;" = ","")</f>
        <v/>
      </c>
      <c r="AC77" s="9" t="str">
        <f>IFERROR(";"&amp;G77&amp;"["&amp;J77&amp;"]"&amp;I77&amp;CHAR(10)&amp;B77 &amp;CHAR(9)&amp;U77&amp;CHAR(9)&amp;E77 &amp;CHAR(9),";;Error!")</f>
        <v xml:space="preserve">;Pmac internal variable[]p
#define	pdelta	P2072	</v>
      </c>
      <c r="AD77" s="9" t="str">
        <f>IF(IFERROR(Q77&gt;0,FALSE),SUBSTITUTE(SUBSTITUTE(SUBSTITUTE(y_archiverXML,"~PVNAME",S77&amp;IF(LEN(X77)&lt;1,"",":RBV")),"~PREFIX",y_Prefix),"~PERIOD",Q77),"")</f>
        <v/>
      </c>
      <c r="AE77" s="20" t="str">
        <f>IF(OR(LEFT($I77)="e",LEFT($I77)="g"),AE$1-LEN(S77),"")</f>
        <v/>
      </c>
      <c r="AF77" s="20" t="str">
        <f>IF(OR(LEFT($I77)="e",LEFT($I77)="g"),AF$1-LEN(T77),"")</f>
        <v/>
      </c>
      <c r="AG77" s="20" t="str">
        <f>IF(OR(LEFT($I77)="e",LEFT($I77)="g"),AG$1-LEN(U77),"")</f>
        <v/>
      </c>
      <c r="AH77" s="20" t="str">
        <f>IF(OR(LEFT($I77)="e",LEFT($I77)="g"),AH$1-LEN(V77),"")</f>
        <v/>
      </c>
      <c r="AI77" s="2" t="str">
        <f>IF(ISNUMBER(E77),"0"&amp;LEFT(D77,2)&amp;TEXT(E77,"#.0000"),E77)</f>
        <v>P2072</v>
      </c>
    </row>
    <row r="78" spans="1:35" x14ac:dyDescent="0.3">
      <c r="A78" s="6" t="str">
        <f>IF(T78&lt;&gt;U78,"&lt;FIND TYPE=ASC&gt;"&amp;R78&amp;"&lt;/FIND&gt;&lt;REPLACE TYPE=ASC&gt;"&amp;S78&amp;"&lt;/REPLACE&gt;"&amp;CHAR(10)&amp;"&lt;FIND TYPE=ASC&gt;"&amp;T78&amp;"&lt;/FIND&gt;&lt;REPLACE TYPE=ASC&gt;"&amp;U78&amp;"&lt;/REPLACE&gt;"&amp;CHAR(10)&amp;"&lt;FIND TYPE=ASC&gt;"&amp;C78&amp;"&lt;/FIND&gt;&lt;REPLACE TYPE=ASC&gt;"&amp;D78&amp;"&lt;/REPLACE&gt;",".")</f>
        <v>.</v>
      </c>
      <c r="B78" s="7" t="s">
        <v>38</v>
      </c>
      <c r="C78" s="30" t="s">
        <v>580</v>
      </c>
      <c r="D78" s="7" t="s">
        <v>580</v>
      </c>
      <c r="E78" s="7" t="s">
        <v>177</v>
      </c>
      <c r="G78" s="8" t="s">
        <v>48</v>
      </c>
      <c r="H78" s="7"/>
      <c r="I78" s="7" t="s">
        <v>39</v>
      </c>
      <c r="J78" s="7"/>
      <c r="K78" s="7"/>
      <c r="L78" s="7"/>
      <c r="M78" s="7"/>
      <c r="N78" s="7"/>
      <c r="O78" s="7"/>
      <c r="P78" s="7"/>
      <c r="Q78" s="7"/>
      <c r="R78" s="17" t="str">
        <f>UPPER(R$1&amp;":"&amp;C78)</f>
        <v>RSCN:P_TAU</v>
      </c>
      <c r="S78" s="9" t="str">
        <f>UPPER(S$1&amp;":"&amp;D78)</f>
        <v>RSCN:P_TAU</v>
      </c>
      <c r="T78" s="17" t="str">
        <f>SUBSTITUTE(C78,"_","")</f>
        <v>ptau</v>
      </c>
      <c r="U78" s="9" t="str">
        <f>SUBSTITUTE(D78,"_","")&amp;IF(RIGHT(I78)="u","U","")</f>
        <v>ptau</v>
      </c>
      <c r="V78" s="9" t="str">
        <f>IF(ISNUMBER(K78),K78,"$(P):"&amp;$S$1&amp;":"&amp;K78)</f>
        <v>$(P):RSCN:</v>
      </c>
      <c r="W78" s="9" t="str">
        <f>IF(ISNUMBER(L78),L78,"$(P):"&amp;$S$1&amp;":"&amp;L78)</f>
        <v>$(P):RSCN:</v>
      </c>
      <c r="X78" s="9" t="str">
        <f>IF(LEFT(I78)="g",IF(H78="real",y_pmacRascanGSVar,IF(H78="int",y_pmacRascanGSVar,"")),"")</f>
        <v/>
      </c>
      <c r="Y78" s="9" t="str">
        <f>SUBSTITUTE(SUBSTITUTE(SUBSTITUTE(SUBSTITUTE(SUBSTITUTE(SUBSTITUTE(SUBSTITUTE(X78,"~PVNAME",S78),"~EGU",J78),"~PREC",P78),"~VAR",E78),"~CANGET",V78),"~CANSET",W78),"~DESC",LEFT(G78,40))</f>
        <v/>
      </c>
      <c r="Z78" s="32" t="str">
        <f>IF(ISNUMBER($F78),SUBSTITUTE(SUBSTITUTE(SUBSTITUTE(SUBSTITUTE(SUBSTITUTE(SUBSTITUTE(SUBSTITUTE(SUBSTITUTE(y_QLabel &amp; y_QELabel &amp; IF($I78="gsu",y_QELineEdit,""),"~PVNAME",$S78),"~EGU",$J78),"~PREC",$P78),"~VAR",$E78),"~CANGET",$V78),"~CANSET",$W78),"~ROW",$F78),"~NAME",$D78),"")</f>
        <v/>
      </c>
      <c r="AA78" s="9" t="e">
        <f>VLOOKUP(H78,y_EPICS_Formats,2,FALSE)</f>
        <v>#N/A</v>
      </c>
      <c r="AB78" s="9" t="str">
        <f>IF(LEFT(I78)="g",y_Prefix&amp;S78&amp;" = ","")</f>
        <v/>
      </c>
      <c r="AC78" s="9" t="str">
        <f>IFERROR(";"&amp;G78&amp;"["&amp;J78&amp;"]"&amp;I78&amp;CHAR(10)&amp;B78 &amp;CHAR(9)&amp;U78&amp;CHAR(9)&amp;E78 &amp;CHAR(9),";;Error!")</f>
        <v xml:space="preserve">;Pmac internal variable[]p
#define	ptau	P2073	</v>
      </c>
      <c r="AD78" s="9" t="str">
        <f>IF(IFERROR(Q78&gt;0,FALSE),SUBSTITUTE(SUBSTITUTE(SUBSTITUTE(y_archiverXML,"~PVNAME",S78&amp;IF(LEN(X78)&lt;1,"",":RBV")),"~PREFIX",y_Prefix),"~PERIOD",Q78),"")</f>
        <v/>
      </c>
      <c r="AE78" s="20" t="str">
        <f>IF(OR(LEFT($I78)="e",LEFT($I78)="g"),AE$1-LEN(S78),"")</f>
        <v/>
      </c>
      <c r="AF78" s="20" t="str">
        <f>IF(OR(LEFT($I78)="e",LEFT($I78)="g"),AF$1-LEN(T78),"")</f>
        <v/>
      </c>
      <c r="AG78" s="20" t="str">
        <f>IF(OR(LEFT($I78)="e",LEFT($I78)="g"),AG$1-LEN(U78),"")</f>
        <v/>
      </c>
      <c r="AH78" s="20" t="str">
        <f>IF(OR(LEFT($I78)="e",LEFT($I78)="g"),AH$1-LEN(V78),"")</f>
        <v/>
      </c>
      <c r="AI78" s="2" t="str">
        <f>IF(ISNUMBER(E78),"0"&amp;LEFT(D78,2)&amp;TEXT(E78,"#.0000"),E78)</f>
        <v>P2073</v>
      </c>
    </row>
    <row r="79" spans="1:35" x14ac:dyDescent="0.3">
      <c r="A79" s="6" t="str">
        <f>IF(T79&lt;&gt;U79,"&lt;FIND TYPE=ASC&gt;"&amp;R79&amp;"&lt;/FIND&gt;&lt;REPLACE TYPE=ASC&gt;"&amp;S79&amp;"&lt;/REPLACE&gt;"&amp;CHAR(10)&amp;"&lt;FIND TYPE=ASC&gt;"&amp;T79&amp;"&lt;/FIND&gt;&lt;REPLACE TYPE=ASC&gt;"&amp;U79&amp;"&lt;/REPLACE&gt;"&amp;CHAR(10)&amp;"&lt;FIND TYPE=ASC&gt;"&amp;C79&amp;"&lt;/FIND&gt;&lt;REPLACE TYPE=ASC&gt;"&amp;D79&amp;"&lt;/REPLACE&gt;",".")</f>
        <v>.</v>
      </c>
      <c r="B79" s="7" t="s">
        <v>38</v>
      </c>
      <c r="C79" s="30" t="s">
        <v>585</v>
      </c>
      <c r="D79" s="7" t="s">
        <v>585</v>
      </c>
      <c r="E79" s="7" t="s">
        <v>584</v>
      </c>
      <c r="G79" s="8" t="s">
        <v>587</v>
      </c>
      <c r="H79" s="7" t="s">
        <v>43</v>
      </c>
      <c r="I79" s="7" t="s">
        <v>39</v>
      </c>
      <c r="J79" s="7"/>
      <c r="K79" s="7"/>
      <c r="L79" s="7"/>
      <c r="M79" s="7"/>
      <c r="N79" s="7"/>
      <c r="O79" s="7"/>
      <c r="P79" s="7"/>
      <c r="Q79" s="7"/>
      <c r="R79" s="17" t="str">
        <f>UPPER(R$1&amp;":"&amp;C79)</f>
        <v>RSCN:V1_DIFF</v>
      </c>
      <c r="S79" s="9" t="str">
        <f>UPPER(S$1&amp;":"&amp;D79)</f>
        <v>RSCN:V1_DIFF</v>
      </c>
      <c r="T79" s="17" t="str">
        <f>SUBSTITUTE(C79,"_","")</f>
        <v>v1Diff</v>
      </c>
      <c r="U79" s="9" t="str">
        <f>SUBSTITUTE(D79,"_","")&amp;IF(RIGHT(I79)="u","U","")</f>
        <v>v1Diff</v>
      </c>
      <c r="V79" s="9" t="str">
        <f>IF(ISNUMBER(K79),K79,"$(P):"&amp;$S$1&amp;":"&amp;K79)</f>
        <v>$(P):RSCN:</v>
      </c>
      <c r="W79" s="9" t="str">
        <f>IF(ISNUMBER(L79),L79,"$(P):"&amp;$S$1&amp;":"&amp;L79)</f>
        <v>$(P):RSCN:</v>
      </c>
      <c r="X79" s="9" t="str">
        <f>IF(LEFT(I79)="g",IF(H79="real",y_pmacRascanGSVar,IF(H79="int",y_pmacRascanGSVar,"")),"")</f>
        <v/>
      </c>
      <c r="Y79" s="9" t="str">
        <f>SUBSTITUTE(SUBSTITUTE(SUBSTITUTE(SUBSTITUTE(SUBSTITUTE(SUBSTITUTE(SUBSTITUTE(X79,"~PVNAME",S79),"~EGU",J79),"~PREC",P79),"~VAR",E79),"~CANGET",V79),"~CANSET",W79),"~DESC",LEFT(G79,40))</f>
        <v/>
      </c>
      <c r="Z79" s="32" t="str">
        <f>IF(ISNUMBER($F79),SUBSTITUTE(SUBSTITUTE(SUBSTITUTE(SUBSTITUTE(SUBSTITUTE(SUBSTITUTE(SUBSTITUTE(SUBSTITUTE(y_QLabel &amp; y_QELabel &amp; IF($I79="gsu",y_QELineEdit,""),"~PVNAME",$S79),"~EGU",$J79),"~PREC",$P79),"~VAR",$E79),"~CANGET",$V79),"~CANSET",$W79),"~ROW",$F79),"~NAME",$D79),"")</f>
        <v/>
      </c>
      <c r="AA79" s="9" t="str">
        <f>VLOOKUP(H79,y_EPICS_Formats,2,FALSE)</f>
        <v>%f</v>
      </c>
      <c r="AB79" s="9" t="str">
        <f>IF(LEFT(I79)="g",y_Prefix&amp;S79&amp;" = ","")</f>
        <v/>
      </c>
      <c r="AC79" s="9" t="str">
        <f>IFERROR(";"&amp;G79&amp;"["&amp;J79&amp;"]"&amp;I79&amp;CHAR(10)&amp;B79 &amp;CHAR(9)&amp;U79&amp;CHAR(9)&amp;E79 &amp;CHAR(9),";;Error!")</f>
        <v xml:space="preserve">;Fly axis line scan velocity actual delta[]p
#define	v1Diff	P2074	</v>
      </c>
      <c r="AD79" s="9" t="str">
        <f>IF(IFERROR(Q79&gt;0,FALSE),SUBSTITUTE(SUBSTITUTE(SUBSTITUTE(y_archiverXML,"~PVNAME",S79&amp;IF(LEN(X79)&lt;1,"",":RBV")),"~PREFIX",y_Prefix),"~PERIOD",Q79),"")</f>
        <v/>
      </c>
      <c r="AE79" s="20" t="str">
        <f>IF(OR(LEFT($I79)="e",LEFT($I79)="g"),AE$1-LEN(S79),"")</f>
        <v/>
      </c>
      <c r="AF79" s="20" t="str">
        <f>IF(OR(LEFT($I79)="e",LEFT($I79)="g"),AF$1-LEN(T79),"")</f>
        <v/>
      </c>
      <c r="AG79" s="20" t="str">
        <f>IF(OR(LEFT($I79)="e",LEFT($I79)="g"),AG$1-LEN(U79),"")</f>
        <v/>
      </c>
      <c r="AH79" s="20" t="str">
        <f>IF(OR(LEFT($I79)="e",LEFT($I79)="g"),AH$1-LEN(V79),"")</f>
        <v/>
      </c>
      <c r="AI79" s="2" t="str">
        <f>IF(ISNUMBER(E79),"0"&amp;LEFT(D79,2)&amp;TEXT(E79,"#.0000"),E79)</f>
        <v>P2074</v>
      </c>
    </row>
    <row r="80" spans="1:35" x14ac:dyDescent="0.3">
      <c r="A80" s="6" t="str">
        <f>IF(T80&lt;&gt;U80,"&lt;FIND TYPE=ASC&gt;"&amp;R80&amp;"&lt;/FIND&gt;&lt;REPLACE TYPE=ASC&gt;"&amp;S80&amp;"&lt;/REPLACE&gt;"&amp;CHAR(10)&amp;"&lt;FIND TYPE=ASC&gt;"&amp;T80&amp;"&lt;/FIND&gt;&lt;REPLACE TYPE=ASC&gt;"&amp;U80&amp;"&lt;/REPLACE&gt;"&amp;CHAR(10)&amp;"&lt;FIND TYPE=ASC&gt;"&amp;C80&amp;"&lt;/FIND&gt;&lt;REPLACE TYPE=ASC&gt;"&amp;D80&amp;"&lt;/REPLACE&gt;",".")</f>
        <v>.</v>
      </c>
      <c r="B80" s="7" t="s">
        <v>38</v>
      </c>
      <c r="C80" s="30" t="s">
        <v>588</v>
      </c>
      <c r="D80" s="7" t="s">
        <v>588</v>
      </c>
      <c r="E80" s="7" t="s">
        <v>589</v>
      </c>
      <c r="G80" s="8" t="s">
        <v>590</v>
      </c>
      <c r="H80" s="7" t="s">
        <v>43</v>
      </c>
      <c r="I80" s="7" t="s">
        <v>46</v>
      </c>
      <c r="J80" s="7" t="s">
        <v>171</v>
      </c>
      <c r="K80" s="7" t="s">
        <v>138</v>
      </c>
      <c r="L80" s="7" t="s">
        <v>69</v>
      </c>
      <c r="M80" s="7"/>
      <c r="N80" s="7">
        <v>-9999999</v>
      </c>
      <c r="O80" s="7">
        <v>9999999</v>
      </c>
      <c r="P80" s="7">
        <v>3</v>
      </c>
      <c r="Q80" s="7">
        <v>30</v>
      </c>
      <c r="R80" s="17" t="str">
        <f>UPPER(R$1&amp;":"&amp;C80)</f>
        <v>RSCN:V1_OUT</v>
      </c>
      <c r="S80" s="9" t="str">
        <f>UPPER(S$1&amp;":"&amp;D80)</f>
        <v>RSCN:V1_OUT</v>
      </c>
      <c r="T80" s="17" t="str">
        <f>SUBSTITUTE(C80,"_","")</f>
        <v>v1Out</v>
      </c>
      <c r="U80" s="9" t="str">
        <f>SUBSTITUTE(D80,"_","")&amp;IF(RIGHT(I80)="u","U","")</f>
        <v>v1Out</v>
      </c>
      <c r="V80" s="9" t="str">
        <f>IF(ISNUMBER(K80),K80,"$(P):"&amp;$S$1&amp;":"&amp;K80)</f>
        <v>$(P):RSCN:ST_MONITOR</v>
      </c>
      <c r="W80" s="9" t="str">
        <f>IF(ISNUMBER(L80),L80,"$(P):"&amp;$S$1&amp;":"&amp;L80)</f>
        <v>$(P):RSCN:ST_NEVER</v>
      </c>
      <c r="X80" s="9" t="str">
        <f>IF(LEFT(I80)="g",IF(H80="real",y_pmacRascanGSVar,IF(H80="int",y_pmacRascanGSVar,"")),"")</f>
        <v>expand("pmacRascanGSVar.vdb", GSVar~VAR) {
  macro(VAR, "~VAR")
  macro(EGU, "~EGU")
  macro(P, "$(P)")
  macro(Q, ":~PVNAME")
  macro(PORT, "$(PORT)")
  macro(CanGet, "~CANGET")
  macro(CanSet, "~CANSET")
  macro(PREC, "$(PREC=~PREC)")
  macro(DESC,"~DESC")
}</v>
      </c>
      <c r="Y80" s="9" t="str">
        <f>SUBSTITUTE(SUBSTITUTE(SUBSTITUTE(SUBSTITUTE(SUBSTITUTE(SUBSTITUTE(SUBSTITUTE(X80,"~PVNAME",S80),"~EGU",J80),"~PREC",P80),"~VAR",E80),"~CANGET",V80),"~CANSET",W80),"~DESC",LEFT(G80,40))</f>
        <v>expand("pmacRascanGSVar.vdb", GSVarP2075) {
  macro(VAR, "P2075")
  macro(EGU, "EGU/s")
  macro(P, "$(P)")
  macro(Q, ":RSCN:V1_OUT")
  macro(PORT, "$(PORT)")
  macro(CanGet, "$(P):RSCN:ST_MONITOR")
  macro(CanSet, "$(P):RSCN:ST_NEVER")
  macro(PREC, "$(PREC=3)")
  macro(DESC,"Fly axis velocity at exit point")
}</v>
      </c>
      <c r="Z80" s="32" t="str">
        <f>IF(ISNUMBER($F80),SUBSTITUTE(SUBSTITUTE(SUBSTITUTE(SUBSTITUTE(SUBSTITUTE(SUBSTITUTE(SUBSTITUTE(SUBSTITUTE(y_QLabel &amp; y_QELabel &amp; IF($I80="gsu",y_QELineEdit,""),"~PVNAME",$S80),"~EGU",$J80),"~PREC",$P80),"~VAR",$E80),"~CANGET",$V80),"~CANSET",$W80),"~ROW",$F80),"~NAME",$D80),"")</f>
        <v/>
      </c>
      <c r="AA80" s="9" t="str">
        <f>VLOOKUP(H80,y_EPICS_Formats,2,FALSE)</f>
        <v>%f</v>
      </c>
      <c r="AB80" s="9" t="str">
        <f>IF(LEFT(I80)="g",y_Prefix&amp;S80&amp;" = ","")</f>
        <v xml:space="preserve">SR05ID01FST01:RSCN:V1_OUT = </v>
      </c>
      <c r="AC80" s="9" t="str">
        <f>IFERROR(";"&amp;G80&amp;"["&amp;J80&amp;"]"&amp;I80&amp;CHAR(10)&amp;B80 &amp;CHAR(9)&amp;U80&amp;CHAR(9)&amp;E80 &amp;CHAR(9),";;Error!")</f>
        <v xml:space="preserve">;Fly axis velocity at exit point[EGU/s]g
#define	v1Out	P2075	</v>
      </c>
      <c r="AD80" s="9" t="str">
        <f>IF(IFERROR(Q80&gt;0,FALSE),SUBSTITUTE(SUBSTITUTE(SUBSTITUTE(y_archiverXML,"~PVNAME",S80&amp;IF(LEN(X80)&lt;1,"",":RBV")),"~PREFIX",y_Prefix),"~PERIOD",Q80),"")</f>
        <v xml:space="preserve">      &lt;channel&gt;
         &lt;name&gt;SR05ID01FST01:RSCN:V1_OUT:RBV&lt;/name&gt;
         &lt;period&gt;30&lt;/period&gt;
         &lt;monitor/&gt;
      &lt;/channel&gt;</v>
      </c>
      <c r="AE80" s="20">
        <f>IF(OR(LEFT($I80)="e",LEFT($I80)="g"),AE$1-LEN(S80),"")</f>
        <v>5</v>
      </c>
      <c r="AF80" s="20">
        <f>IF(OR(LEFT($I80)="e",LEFT($I80)="g"),AF$1-LEN(T80),"")</f>
        <v>11</v>
      </c>
      <c r="AG80" s="20">
        <f>IF(OR(LEFT($I80)="e",LEFT($I80)="g"),AG$1-LEN(U80),"")</f>
        <v>11</v>
      </c>
      <c r="AH80" s="20">
        <f>IF(OR(LEFT($I80)="e",LEFT($I80)="g"),AH$1-LEN(V80),"")</f>
        <v>20</v>
      </c>
      <c r="AI80" s="2" t="str">
        <f>IF(ISNUMBER(E80),"0"&amp;LEFT(D80,2)&amp;TEXT(E80,"#.0000"),E80)</f>
        <v>P2075</v>
      </c>
    </row>
    <row r="81" spans="1:35" x14ac:dyDescent="0.3">
      <c r="A81" s="6" t="str">
        <f>IF(T81&lt;&gt;U81,"&lt;FIND TYPE=ASC&gt;"&amp;R81&amp;"&lt;/FIND&gt;&lt;REPLACE TYPE=ASC&gt;"&amp;S81&amp;"&lt;/REPLACE&gt;"&amp;CHAR(10)&amp;"&lt;FIND TYPE=ASC&gt;"&amp;T81&amp;"&lt;/FIND&gt;&lt;REPLACE TYPE=ASC&gt;"&amp;U81&amp;"&lt;/REPLACE&gt;"&amp;CHAR(10)&amp;"&lt;FIND TYPE=ASC&gt;"&amp;C81&amp;"&lt;/FIND&gt;&lt;REPLACE TYPE=ASC&gt;"&amp;D81&amp;"&lt;/REPLACE&gt;",".")</f>
        <v>&lt;FIND TYPE=ASC&gt;RSCN:D1_IN_HLM&lt;/FIND&gt;&lt;REPLACE TYPE=ASC&gt;RSCN:D1_IN_HLM&lt;/REPLACE&gt;
&lt;FIND TYPE=ASC&gt;d1InHLM&lt;/FIND&gt;&lt;REPLACE TYPE=ASC&gt;d1InHLMU&lt;/REPLACE&gt;
&lt;FIND TYPE=ASC&gt;d1_In_HLM&lt;/FIND&gt;&lt;REPLACE TYPE=ASC&gt;d1_In_HLM&lt;/REPLACE&gt;</v>
      </c>
      <c r="B81" s="7" t="s">
        <v>38</v>
      </c>
      <c r="C81" s="30" t="s">
        <v>595</v>
      </c>
      <c r="D81" s="7" t="s">
        <v>595</v>
      </c>
      <c r="E81" s="7" t="s">
        <v>591</v>
      </c>
      <c r="G81" s="8" t="s">
        <v>592</v>
      </c>
      <c r="H81" s="7" t="s">
        <v>43</v>
      </c>
      <c r="I81" s="7" t="s">
        <v>618</v>
      </c>
      <c r="J81" s="7" t="s">
        <v>169</v>
      </c>
      <c r="K81" s="7" t="s">
        <v>138</v>
      </c>
      <c r="L81" s="14" t="s">
        <v>137</v>
      </c>
      <c r="M81" s="7"/>
      <c r="N81" s="7">
        <v>-9999999</v>
      </c>
      <c r="O81" s="7">
        <v>9999999</v>
      </c>
      <c r="P81" s="7">
        <v>5</v>
      </c>
      <c r="Q81" s="7">
        <v>30</v>
      </c>
      <c r="R81" s="17" t="str">
        <f>UPPER(R$1&amp;":"&amp;C81)</f>
        <v>RSCN:D1_IN_HLM</v>
      </c>
      <c r="S81" s="9" t="str">
        <f>UPPER(S$1&amp;":"&amp;D81)</f>
        <v>RSCN:D1_IN_HLM</v>
      </c>
      <c r="T81" s="17" t="str">
        <f>SUBSTITUTE(C81,"_","")</f>
        <v>d1InHLM</v>
      </c>
      <c r="U81" s="9" t="str">
        <f>SUBSTITUTE(D81,"_","")&amp;IF(RIGHT(I81)="u","U","")</f>
        <v>d1InHLMU</v>
      </c>
      <c r="V81" s="9" t="str">
        <f>IF(ISNUMBER(K81),K81,"$(P):"&amp;$S$1&amp;":"&amp;K81)</f>
        <v>$(P):RSCN:ST_MONITOR</v>
      </c>
      <c r="W81" s="9" t="str">
        <f>IF(ISNUMBER(L81),L81,"$(P):"&amp;$S$1&amp;":"&amp;L81)</f>
        <v>$(P):RSCN:ST_TRAJSET</v>
      </c>
      <c r="X81" s="9" t="str">
        <f>IF(LEFT(I81)="g",IF(H81="real",y_pmacRascanGSVar,IF(H81="int",y_pmacRascanGSVar,"")),"")</f>
        <v>expand("pmacRascanGSVar.vdb", GSVar~VAR) {
  macro(VAR, "~VAR")
  macro(EGU, "~EGU")
  macro(P, "$(P)")
  macro(Q, ":~PVNAME")
  macro(PORT, "$(PORT)")
  macro(CanGet, "~CANGET")
  macro(CanSet, "~CANSET")
  macro(PREC, "$(PREC=~PREC)")
  macro(DESC,"~DESC")
}</v>
      </c>
      <c r="Y81" s="9" t="str">
        <f>SUBSTITUTE(SUBSTITUTE(SUBSTITUTE(SUBSTITUTE(SUBSTITUTE(SUBSTITUTE(SUBSTITUTE(X81,"~PVNAME",S81),"~EGU",J81),"~PREC",P81),"~VAR",E81),"~CANGET",V81),"~CANSET",W81),"~DESC",LEFT(G81,40))</f>
        <v>expand("pmacRascanGSVar.vdb", GSVarP2076) {
  macro(VAR, "P2076")
  macro(EGU, "EGU")
  macro(P, "$(P)")
  macro(Q, ":RSCN:D1_IN_HLM")
  macro(PORT, "$(PORT)")
  macro(CanGet, "$(P):RSCN:ST_MONITOR")
  macro(CanSet, "$(P):RSCN:ST_TRAJSET")
  macro(PREC, "$(PREC=5)")
  macro(DESC,"Fly axis scan line inner-skip distance h")
}</v>
      </c>
      <c r="Z81" s="32" t="str">
        <f>IF(ISNUMBER($F81),SUBSTITUTE(SUBSTITUTE(SUBSTITUTE(SUBSTITUTE(SUBSTITUTE(SUBSTITUTE(SUBSTITUTE(SUBSTITUTE(y_QLabel &amp; y_QELabel &amp; IF($I81="gsu",y_QELineEdit,""),"~PVNAME",$S81),"~EGU",$J81),"~PREC",$P81),"~VAR",$E81),"~CANGET",$V81),"~CANSET",$W81),"~ROW",$F81),"~NAME",$D81),"")</f>
        <v/>
      </c>
      <c r="AA81" s="9" t="str">
        <f>VLOOKUP(H81,y_EPICS_Formats,2,FALSE)</f>
        <v>%f</v>
      </c>
      <c r="AB81" s="9" t="str">
        <f>IF(LEFT(I81)="g",y_Prefix&amp;S81&amp;" = ","")</f>
        <v xml:space="preserve">SR05ID01FST01:RSCN:D1_IN_HLM = </v>
      </c>
      <c r="AC81" s="9" t="str">
        <f>IFERROR(";"&amp;G81&amp;"["&amp;J81&amp;"]"&amp;I81&amp;CHAR(10)&amp;B81 &amp;CHAR(9)&amp;U81&amp;CHAR(9)&amp;E81 &amp;CHAR(9),";;Error!")</f>
        <v xml:space="preserve">;Fly axis scan line inner-skip distance high limit[EGU]gsu
#define	d1InHLMU	P2076	</v>
      </c>
      <c r="AD81" s="9" t="str">
        <f>IF(IFERROR(Q81&gt;0,FALSE),SUBSTITUTE(SUBSTITUTE(SUBSTITUTE(y_archiverXML,"~PVNAME",S81&amp;IF(LEN(X81)&lt;1,"",":RBV")),"~PREFIX",y_Prefix),"~PERIOD",Q81),"")</f>
        <v xml:space="preserve">      &lt;channel&gt;
         &lt;name&gt;SR05ID01FST01:RSCN:D1_IN_HLM:RBV&lt;/name&gt;
         &lt;period&gt;30&lt;/period&gt;
         &lt;monitor/&gt;
      &lt;/channel&gt;</v>
      </c>
      <c r="AE81" s="20">
        <f>IF(OR(LEFT($I81)="e",LEFT($I81)="g"),AE$1-LEN(S81),"")</f>
        <v>2</v>
      </c>
      <c r="AF81" s="20">
        <f>IF(OR(LEFT($I81)="e",LEFT($I81)="g"),AF$1-LEN(T81),"")</f>
        <v>9</v>
      </c>
      <c r="AG81" s="20">
        <f>IF(OR(LEFT($I81)="e",LEFT($I81)="g"),AG$1-LEN(U81),"")</f>
        <v>8</v>
      </c>
      <c r="AH81" s="20">
        <f>IF(OR(LEFT($I81)="e",LEFT($I81)="g"),AH$1-LEN(V81),"")</f>
        <v>20</v>
      </c>
      <c r="AI81" s="2" t="str">
        <f>IF(ISNUMBER(E81),"0"&amp;LEFT(D81,2)&amp;TEXT(E81,"#.0000"),E81)</f>
        <v>P2076</v>
      </c>
    </row>
    <row r="82" spans="1:35" x14ac:dyDescent="0.3">
      <c r="A82" s="6" t="str">
        <f>IF(T82&lt;&gt;U82,"&lt;FIND TYPE=ASC&gt;"&amp;R82&amp;"&lt;/FIND&gt;&lt;REPLACE TYPE=ASC&gt;"&amp;S82&amp;"&lt;/REPLACE&gt;"&amp;CHAR(10)&amp;"&lt;FIND TYPE=ASC&gt;"&amp;T82&amp;"&lt;/FIND&gt;&lt;REPLACE TYPE=ASC&gt;"&amp;U82&amp;"&lt;/REPLACE&gt;"&amp;CHAR(10)&amp;"&lt;FIND TYPE=ASC&gt;"&amp;C82&amp;"&lt;/FIND&gt;&lt;REPLACE TYPE=ASC&gt;"&amp;D82&amp;"&lt;/REPLACE&gt;",".")</f>
        <v>.</v>
      </c>
      <c r="B82" s="14" t="s">
        <v>38</v>
      </c>
      <c r="C82" s="30" t="s">
        <v>596</v>
      </c>
      <c r="D82" s="14" t="s">
        <v>596</v>
      </c>
      <c r="E82" s="14" t="s">
        <v>597</v>
      </c>
      <c r="G82" s="15" t="s">
        <v>598</v>
      </c>
      <c r="H82" s="14" t="s">
        <v>43</v>
      </c>
      <c r="I82" s="14" t="s">
        <v>46</v>
      </c>
      <c r="J82" s="14" t="s">
        <v>170</v>
      </c>
      <c r="K82" s="14" t="s">
        <v>138</v>
      </c>
      <c r="L82" s="14" t="s">
        <v>137</v>
      </c>
      <c r="M82" s="14"/>
      <c r="N82" s="14">
        <v>-9999999</v>
      </c>
      <c r="O82" s="14">
        <v>9999999</v>
      </c>
      <c r="P82" s="7">
        <v>1</v>
      </c>
      <c r="Q82" s="7">
        <v>30</v>
      </c>
      <c r="R82" s="18" t="str">
        <f>UPPER(R$1&amp;":"&amp;C82)</f>
        <v>RSCN:A2_OUT</v>
      </c>
      <c r="S82" s="16" t="str">
        <f>UPPER(S$1&amp;":"&amp;D82)</f>
        <v>RSCN:A2_OUT</v>
      </c>
      <c r="T82" s="17" t="str">
        <f>SUBSTITUTE(C82,"_","")</f>
        <v>a2Out</v>
      </c>
      <c r="U82" s="9" t="str">
        <f>SUBSTITUTE(D82,"_","")&amp;IF(RIGHT(I82)="u","U","")</f>
        <v>a2Out</v>
      </c>
      <c r="V82" s="16"/>
      <c r="W82" s="16"/>
      <c r="X82" s="9" t="str">
        <f>IF(LEFT(I82)="g",IF(H82="real",y_pmacRascanGSVar,IF(H82="int",y_pmacRascanGSVar,"")),"")</f>
        <v>expand("pmacRascanGSVar.vdb", GSVar~VAR) {
  macro(VAR, "~VAR")
  macro(EGU, "~EGU")
  macro(P, "$(P)")
  macro(Q, ":~PVNAME")
  macro(PORT, "$(PORT)")
  macro(CanGet, "~CANGET")
  macro(CanSet, "~CANSET")
  macro(PREC, "$(PREC=~PREC)")
  macro(DESC,"~DESC")
}</v>
      </c>
      <c r="Y82" s="16"/>
      <c r="Z82" s="32" t="str">
        <f>IF(ISNUMBER($F82),SUBSTITUTE(SUBSTITUTE(SUBSTITUTE(SUBSTITUTE(SUBSTITUTE(SUBSTITUTE(SUBSTITUTE(SUBSTITUTE(y_QLabel &amp; y_QELabel &amp; IF($I82="gsu",y_QELineEdit,""),"~PVNAME",$S82),"~EGU",$J82),"~PREC",$P82),"~VAR",$E82),"~CANGET",$V82),"~CANSET",$W82),"~ROW",$F82),"~NAME",$D82),"")</f>
        <v/>
      </c>
      <c r="AA82" s="16"/>
      <c r="AB82" s="9" t="str">
        <f>IF(LEFT(I82)="g",y_Prefix&amp;S82&amp;" = ","")</f>
        <v xml:space="preserve">SR05ID01FST01:RSCN:A2_OUT = </v>
      </c>
      <c r="AI82" s="2" t="str">
        <f>IF(ISNUMBER(E82),"0"&amp;LEFT(D82,2)&amp;TEXT(E82,"#.0000"),E82)</f>
        <v>P2077</v>
      </c>
    </row>
    <row r="83" spans="1:35" x14ac:dyDescent="0.3">
      <c r="A83" s="6" t="str">
        <f>IF(T83&lt;&gt;U83,"&lt;FIND TYPE=ASC&gt;"&amp;R83&amp;"&lt;/FIND&gt;&lt;REPLACE TYPE=ASC&gt;"&amp;S83&amp;"&lt;/REPLACE&gt;"&amp;CHAR(10)&amp;"&lt;FIND TYPE=ASC&gt;"&amp;T83&amp;"&lt;/FIND&gt;&lt;REPLACE TYPE=ASC&gt;"&amp;U83&amp;"&lt;/REPLACE&gt;"&amp;CHAR(10)&amp;"&lt;FIND TYPE=ASC&gt;"&amp;C83&amp;"&lt;/FIND&gt;&lt;REPLACE TYPE=ASC&gt;"&amp;D83&amp;"&lt;/REPLACE&gt;",".")</f>
        <v>.</v>
      </c>
      <c r="B83" s="7" t="s">
        <v>38</v>
      </c>
      <c r="C83" s="30" t="s">
        <v>607</v>
      </c>
      <c r="D83" s="7" t="s">
        <v>607</v>
      </c>
      <c r="E83" s="7" t="s">
        <v>608</v>
      </c>
      <c r="G83" s="8" t="s">
        <v>611</v>
      </c>
      <c r="H83" s="7" t="s">
        <v>43</v>
      </c>
      <c r="I83" s="7" t="s">
        <v>39</v>
      </c>
      <c r="J83" s="7"/>
      <c r="K83" s="7"/>
      <c r="L83" s="7"/>
      <c r="M83" s="7"/>
      <c r="N83" s="7"/>
      <c r="O83" s="7"/>
      <c r="P83" s="7"/>
      <c r="Q83" s="7"/>
      <c r="R83" s="17" t="str">
        <f>UPPER(R$1&amp;":"&amp;C83)</f>
        <v>RSCN:T_OUTOLD</v>
      </c>
      <c r="S83" s="9" t="str">
        <f>UPPER(S$1&amp;":"&amp;D83)</f>
        <v>RSCN:T_OUTOLD</v>
      </c>
      <c r="T83" s="17" t="str">
        <f>SUBSTITUTE(C83,"_","")</f>
        <v>tOutOld</v>
      </c>
      <c r="U83" s="9" t="str">
        <f>SUBSTITUTE(D83,"_","")&amp;IF(RIGHT(I83)="u","U","")</f>
        <v>tOutOld</v>
      </c>
      <c r="V83" s="9" t="str">
        <f>IF(ISNUMBER(K83),K83,"$(P):"&amp;$S$1&amp;":"&amp;K83)</f>
        <v>$(P):RSCN:</v>
      </c>
      <c r="W83" s="9" t="str">
        <f>IF(ISNUMBER(L83),L83,"$(P):"&amp;$S$1&amp;":"&amp;L83)</f>
        <v>$(P):RSCN:</v>
      </c>
      <c r="X83" s="9" t="str">
        <f>IF(LEFT(I83)="g",IF(H83="real",y_pmacRascanGSVar,IF(H83="int",y_pmacRascanGSVar,"")),"")</f>
        <v/>
      </c>
      <c r="Y83" s="9" t="str">
        <f>SUBSTITUTE(SUBSTITUTE(SUBSTITUTE(SUBSTITUTE(SUBSTITUTE(SUBSTITUTE(SUBSTITUTE(X83,"~PVNAME",S83),"~EGU",J83),"~PREC",P83),"~VAR",E83),"~CANGET",V83),"~CANSET",W83),"~DESC",LEFT(G83,40))</f>
        <v/>
      </c>
      <c r="Z83" s="32" t="str">
        <f>IF(ISNUMBER($F83),SUBSTITUTE(SUBSTITUTE(SUBSTITUTE(SUBSTITUTE(SUBSTITUTE(SUBSTITUTE(SUBSTITUTE(SUBSTITUTE(y_QLabel &amp; y_QELabel &amp; IF($I83="gsu",y_QELineEdit,""),"~PVNAME",$S83),"~EGU",$J83),"~PREC",$P83),"~VAR",$E83),"~CANGET",$V83),"~CANSET",$W83),"~ROW",$F83),"~NAME",$D83),"")</f>
        <v/>
      </c>
      <c r="AA83" s="9" t="str">
        <f>VLOOKUP(H83,y_EPICS_Formats,2,FALSE)</f>
        <v>%f</v>
      </c>
      <c r="AB83" s="9" t="str">
        <f>IF(LEFT(I83)="g",y_Prefix&amp;S83&amp;" = ","")</f>
        <v/>
      </c>
      <c r="AC83" s="9" t="str">
        <f>IFERROR(";"&amp;G83&amp;"["&amp;J83&amp;"]"&amp;I83&amp;CHAR(10)&amp;B83 &amp;CHAR(9)&amp;U83&amp;CHAR(9)&amp;E83 &amp;CHAR(9),";;Error!")</f>
        <v xml:space="preserve">;internal[]p
#define	tOutOld	P2078	</v>
      </c>
      <c r="AD83" s="9" t="str">
        <f>IF(IFERROR(Q83&gt;0,FALSE),SUBSTITUTE(SUBSTITUTE(SUBSTITUTE(y_archiverXML,"~PVNAME",S83&amp;IF(LEN(X83)&lt;1,"",":RBV")),"~PREFIX",y_Prefix),"~PERIOD",Q83),"")</f>
        <v/>
      </c>
      <c r="AE83" s="20" t="str">
        <f>IF(OR(LEFT($I83)="e",LEFT($I83)="g"),AE$1-LEN(S83),"")</f>
        <v/>
      </c>
      <c r="AF83" s="20" t="str">
        <f>IF(OR(LEFT($I83)="e",LEFT($I83)="g"),AF$1-LEN(T83),"")</f>
        <v/>
      </c>
      <c r="AG83" s="20" t="str">
        <f>IF(OR(LEFT($I83)="e",LEFT($I83)="g"),AG$1-LEN(U83),"")</f>
        <v/>
      </c>
      <c r="AH83" s="20" t="str">
        <f>IF(OR(LEFT($I83)="e",LEFT($I83)="g"),AH$1-LEN(V83),"")</f>
        <v/>
      </c>
      <c r="AI83" s="2" t="str">
        <f>IF(ISNUMBER(E83),"0"&amp;LEFT(D83,2)&amp;TEXT(E83,"#.0000"),E83)</f>
        <v>P2078</v>
      </c>
    </row>
    <row r="84" spans="1:35" x14ac:dyDescent="0.3">
      <c r="A84" s="6" t="str">
        <f>IF(T84&lt;&gt;U84,"&lt;FIND TYPE=ASC&gt;"&amp;R84&amp;"&lt;/FIND&gt;&lt;REPLACE TYPE=ASC&gt;"&amp;S84&amp;"&lt;/REPLACE&gt;"&amp;CHAR(10)&amp;"&lt;FIND TYPE=ASC&gt;"&amp;T84&amp;"&lt;/FIND&gt;&lt;REPLACE TYPE=ASC&gt;"&amp;U84&amp;"&lt;/REPLACE&gt;"&amp;CHAR(10)&amp;"&lt;FIND TYPE=ASC&gt;"&amp;C84&amp;"&lt;/FIND&gt;&lt;REPLACE TYPE=ASC&gt;"&amp;D84&amp;"&lt;/REPLACE&gt;",".")</f>
        <v>&lt;FIND TYPE=ASC&gt;RSCN:T_EDGEOLD&lt;/FIND&gt;&lt;REPLACE TYPE=ASC&gt;RSCN:D1_INDL&lt;/REPLACE&gt;
&lt;FIND TYPE=ASC&gt;tEdgeOld&lt;/FIND&gt;&lt;REPLACE TYPE=ASC&gt;d1IndL&lt;/REPLACE&gt;
&lt;FIND TYPE=ASC&gt;t_EdgeOld&lt;/FIND&gt;&lt;REPLACE TYPE=ASC&gt;d1_IndL&lt;/REPLACE&gt;</v>
      </c>
      <c r="B84" s="7" t="s">
        <v>38</v>
      </c>
      <c r="C84" s="30" t="s">
        <v>609</v>
      </c>
      <c r="D84" s="7" t="s">
        <v>625</v>
      </c>
      <c r="E84" s="7" t="s">
        <v>610</v>
      </c>
      <c r="G84" s="8" t="s">
        <v>628</v>
      </c>
      <c r="H84" s="7" t="s">
        <v>43</v>
      </c>
      <c r="I84" s="7" t="s">
        <v>46</v>
      </c>
      <c r="J84" s="7" t="s">
        <v>169</v>
      </c>
      <c r="K84" s="7" t="s">
        <v>136</v>
      </c>
      <c r="L84" s="7" t="s">
        <v>136</v>
      </c>
      <c r="M84" s="7"/>
      <c r="N84" s="7">
        <v>-9999999</v>
      </c>
      <c r="O84" s="7">
        <v>9999999</v>
      </c>
      <c r="P84" s="7">
        <v>5</v>
      </c>
      <c r="Q84" s="7">
        <v>0.5</v>
      </c>
      <c r="R84" s="17" t="str">
        <f>UPPER(R$1&amp;":"&amp;C84)</f>
        <v>RSCN:T_EDGEOLD</v>
      </c>
      <c r="S84" s="9" t="str">
        <f>UPPER(S$1&amp;":"&amp;D84)</f>
        <v>RSCN:D1_INDL</v>
      </c>
      <c r="T84" s="17" t="str">
        <f>SUBSTITUTE(C84,"_","")</f>
        <v>tEdgeOld</v>
      </c>
      <c r="U84" s="9" t="str">
        <f>SUBSTITUTE(D84,"_","")&amp;IF(RIGHT(I84)="u","U","")</f>
        <v>d1IndL</v>
      </c>
      <c r="V84" s="9" t="str">
        <f>IF(ISNUMBER(K84),K84,"$(P):"&amp;$S$1&amp;":"&amp;K84)</f>
        <v>$(P):RSCN:ST_INPROG</v>
      </c>
      <c r="W84" s="9" t="str">
        <f>IF(ISNUMBER(L84),L84,"$(P):"&amp;$S$1&amp;":"&amp;L84)</f>
        <v>$(P):RSCN:ST_INPROG</v>
      </c>
      <c r="X84" s="9" t="str">
        <f>IF(LEFT(I84)="g",IF(H84="real",y_pmacRascanGSVar,IF(H84="int",y_pmacRascanGSVar,"")),"")</f>
        <v>expand("pmacRascanGSVar.vdb", GSVar~VAR) {
  macro(VAR, "~VAR")
  macro(EGU, "~EGU")
  macro(P, "$(P)")
  macro(Q, ":~PVNAME")
  macro(PORT, "$(PORT)")
  macro(CanGet, "~CANGET")
  macro(CanSet, "~CANSET")
  macro(PREC, "$(PREC=~PREC)")
  macro(DESC,"~DESC")
}</v>
      </c>
      <c r="Y84" s="9" t="str">
        <f>SUBSTITUTE(SUBSTITUTE(SUBSTITUTE(SUBSTITUTE(SUBSTITUTE(SUBSTITUTE(SUBSTITUTE(X84,"~PVNAME",S84),"~EGU",J84),"~PREC",P84),"~VAR",E84),"~CANGET",V84),"~CANSET",W84),"~DESC",LEFT(G84,40))</f>
        <v>expand("pmacRascanGSVar.vdb", GSVarP2079) {
  macro(VAR, "P2079")
  macro(EGU, "EGU")
  macro(P, "$(P)")
  macro(Q, ":RSCN:D1_INDL")
  macro(PORT, "$(PORT)")
  macro(CanGet, "$(P):RSCN:ST_INPROG")
  macro(CanSet, "$(P):RSCN:ST_INPROG")
  macro(PREC, "$(PREC=5)")
  macro(DESC,"Fly axis indent from Left")
}</v>
      </c>
      <c r="Z84" s="32" t="str">
        <f>IF(ISNUMBER($F84),SUBSTITUTE(SUBSTITUTE(SUBSTITUTE(SUBSTITUTE(SUBSTITUTE(SUBSTITUTE(SUBSTITUTE(SUBSTITUTE(y_QLabel &amp; y_QELabel &amp; IF($I84="gsu",y_QELineEdit,""),"~PVNAME",$S84),"~EGU",$J84),"~PREC",$P84),"~VAR",$E84),"~CANGET",$V84),"~CANSET",$W84),"~ROW",$F84),"~NAME",$D84),"")</f>
        <v/>
      </c>
      <c r="AA84" s="9" t="str">
        <f>VLOOKUP(H84,y_EPICS_Formats,2,FALSE)</f>
        <v>%f</v>
      </c>
      <c r="AB84" s="9" t="str">
        <f>IF(LEFT(I84)="g",y_Prefix&amp;S84&amp;" = ","")</f>
        <v xml:space="preserve">SR05ID01FST01:RSCN:D1_INDL = </v>
      </c>
      <c r="AC84" s="9" t="str">
        <f>IFERROR(";"&amp;G84&amp;"["&amp;J84&amp;"]"&amp;I84&amp;CHAR(10)&amp;B84 &amp;CHAR(9)&amp;U84&amp;CHAR(9)&amp;E84 &amp;CHAR(9),";;Error!")</f>
        <v xml:space="preserve">;Fly axis indent from Left[EGU]g
#define	d1IndL	P2079	</v>
      </c>
      <c r="AD84" s="9" t="str">
        <f>IF(IFERROR(Q84&gt;0,FALSE),SUBSTITUTE(SUBSTITUTE(SUBSTITUTE(y_archiverXML,"~PVNAME",S84&amp;IF(LEN(X84)&lt;1,"",":RBV")),"~PREFIX",y_Prefix),"~PERIOD",Q84),"")</f>
        <v xml:space="preserve">      &lt;channel&gt;
         &lt;name&gt;SR05ID01FST01:RSCN:D1_INDL:RBV&lt;/name&gt;
         &lt;period&gt;0.5&lt;/period&gt;
         &lt;monitor/&gt;
      &lt;/channel&gt;</v>
      </c>
      <c r="AE84" s="20">
        <f>IF(OR(LEFT($I84)="e",LEFT($I84)="g"),AE$1-LEN(S84),"")</f>
        <v>4</v>
      </c>
      <c r="AF84" s="20">
        <f>IF(OR(LEFT($I84)="e",LEFT($I84)="g"),AF$1-LEN(T84),"")</f>
        <v>8</v>
      </c>
      <c r="AG84" s="20">
        <f>IF(OR(LEFT($I84)="e",LEFT($I84)="g"),AG$1-LEN(U84),"")</f>
        <v>10</v>
      </c>
      <c r="AH84" s="20">
        <f>IF(OR(LEFT($I84)="e",LEFT($I84)="g"),AH$1-LEN(V84),"")</f>
        <v>21</v>
      </c>
      <c r="AI84" s="2" t="str">
        <f>IF(ISNUMBER(E84),"0"&amp;LEFT(D84,2)&amp;TEXT(E84,"#.0000"),E84)</f>
        <v>P2079</v>
      </c>
    </row>
    <row r="85" spans="1:35" x14ac:dyDescent="0.3">
      <c r="A85" s="6" t="str">
        <f>IF(T85&lt;&gt;U85,"&lt;FIND TYPE=ASC&gt;"&amp;R85&amp;"&lt;/FIND&gt;&lt;REPLACE TYPE=ASC&gt;"&amp;S85&amp;"&lt;/REPLACE&gt;"&amp;CHAR(10)&amp;"&lt;FIND TYPE=ASC&gt;"&amp;T85&amp;"&lt;/FIND&gt;&lt;REPLACE TYPE=ASC&gt;"&amp;U85&amp;"&lt;/REPLACE&gt;"&amp;CHAR(10)&amp;"&lt;FIND TYPE=ASC&gt;"&amp;C85&amp;"&lt;/FIND&gt;&lt;REPLACE TYPE=ASC&gt;"&amp;D85&amp;"&lt;/REPLACE&gt;",".")</f>
        <v>&lt;FIND TYPE=ASC&gt;RSCN:D2_INOLD&lt;/FIND&gt;&lt;REPLACE TYPE=ASC&gt;RSCN:D1_INDR&lt;/REPLACE&gt;
&lt;FIND TYPE=ASC&gt;d2InOld&lt;/FIND&gt;&lt;REPLACE TYPE=ASC&gt;d1IndR&lt;/REPLACE&gt;
&lt;FIND TYPE=ASC&gt;d2_InOld&lt;/FIND&gt;&lt;REPLACE TYPE=ASC&gt;d1_IndR&lt;/REPLACE&gt;</v>
      </c>
      <c r="B85" s="7" t="s">
        <v>38</v>
      </c>
      <c r="C85" s="30" t="s">
        <v>612</v>
      </c>
      <c r="D85" s="7" t="s">
        <v>626</v>
      </c>
      <c r="E85" s="7" t="s">
        <v>613</v>
      </c>
      <c r="G85" s="8" t="s">
        <v>627</v>
      </c>
      <c r="H85" s="7" t="s">
        <v>43</v>
      </c>
      <c r="I85" s="7" t="s">
        <v>46</v>
      </c>
      <c r="J85" s="7" t="s">
        <v>169</v>
      </c>
      <c r="K85" s="7" t="s">
        <v>136</v>
      </c>
      <c r="L85" s="7" t="s">
        <v>136</v>
      </c>
      <c r="M85" s="7"/>
      <c r="N85" s="7">
        <v>-9999999</v>
      </c>
      <c r="O85" s="7">
        <v>9999999</v>
      </c>
      <c r="P85" s="7">
        <v>5</v>
      </c>
      <c r="Q85" s="7">
        <v>0.5</v>
      </c>
      <c r="R85" s="17" t="str">
        <f>UPPER(R$1&amp;":"&amp;C85)</f>
        <v>RSCN:D2_INOLD</v>
      </c>
      <c r="S85" s="9" t="str">
        <f>UPPER(S$1&amp;":"&amp;D85)</f>
        <v>RSCN:D1_INDR</v>
      </c>
      <c r="T85" s="17" t="str">
        <f>SUBSTITUTE(C85,"_","")</f>
        <v>d2InOld</v>
      </c>
      <c r="U85" s="9" t="str">
        <f>SUBSTITUTE(D85,"_","")&amp;IF(RIGHT(I85)="u","U","")</f>
        <v>d1IndR</v>
      </c>
      <c r="V85" s="9" t="str">
        <f>IF(ISNUMBER(K85),K85,"$(P):"&amp;$S$1&amp;":"&amp;K85)</f>
        <v>$(P):RSCN:ST_INPROG</v>
      </c>
      <c r="W85" s="9" t="str">
        <f>IF(ISNUMBER(L85),L85,"$(P):"&amp;$S$1&amp;":"&amp;L85)</f>
        <v>$(P):RSCN:ST_INPROG</v>
      </c>
      <c r="X85" s="9" t="str">
        <f>IF(LEFT(I85)="g",IF(H85="real",y_pmacRascanGSVar,IF(H85="int",y_pmacRascanGSVar,"")),"")</f>
        <v>expand("pmacRascanGSVar.vdb", GSVar~VAR) {
  macro(VAR, "~VAR")
  macro(EGU, "~EGU")
  macro(P, "$(P)")
  macro(Q, ":~PVNAME")
  macro(PORT, "$(PORT)")
  macro(CanGet, "~CANGET")
  macro(CanSet, "~CANSET")
  macro(PREC, "$(PREC=~PREC)")
  macro(DESC,"~DESC")
}</v>
      </c>
      <c r="Y85" s="9" t="str">
        <f>SUBSTITUTE(SUBSTITUTE(SUBSTITUTE(SUBSTITUTE(SUBSTITUTE(SUBSTITUTE(SUBSTITUTE(X85,"~PVNAME",S85),"~EGU",J85),"~PREC",P85),"~VAR",E85),"~CANGET",V85),"~CANSET",W85),"~DESC",LEFT(G85,40))</f>
        <v>expand("pmacRascanGSVar.vdb", GSVarP2080) {
  macro(VAR, "P2080")
  macro(EGU, "EGU")
  macro(P, "$(P)")
  macro(Q, ":RSCN:D1_INDR")
  macro(PORT, "$(PORT)")
  macro(CanGet, "$(P):RSCN:ST_INPROG")
  macro(CanSet, "$(P):RSCN:ST_INPROG")
  macro(PREC, "$(PREC=5)")
  macro(DESC,"Fly axis indent from Right")
}</v>
      </c>
      <c r="Z85" s="32" t="str">
        <f>IF(ISNUMBER($F85),SUBSTITUTE(SUBSTITUTE(SUBSTITUTE(SUBSTITUTE(SUBSTITUTE(SUBSTITUTE(SUBSTITUTE(SUBSTITUTE(y_QLabel &amp; y_QELabel &amp; IF($I85="gsu",y_QELineEdit,""),"~PVNAME",$S85),"~EGU",$J85),"~PREC",$P85),"~VAR",$E85),"~CANGET",$V85),"~CANSET",$W85),"~ROW",$F85),"~NAME",$D85),"")</f>
        <v/>
      </c>
      <c r="AA85" s="9" t="str">
        <f>VLOOKUP(H85,y_EPICS_Formats,2,FALSE)</f>
        <v>%f</v>
      </c>
      <c r="AB85" s="9" t="str">
        <f>IF(LEFT(I85)="g",y_Prefix&amp;S85&amp;" = ","")</f>
        <v xml:space="preserve">SR05ID01FST01:RSCN:D1_INDR = </v>
      </c>
      <c r="AC85" s="9" t="str">
        <f>IFERROR(";"&amp;G85&amp;"["&amp;J85&amp;"]"&amp;I85&amp;CHAR(10)&amp;B85 &amp;CHAR(9)&amp;U85&amp;CHAR(9)&amp;E85 &amp;CHAR(9),";;Error!")</f>
        <v xml:space="preserve">;Fly axis indent from Right[EGU]g
#define	d1IndR	P2080	</v>
      </c>
      <c r="AD85" s="9" t="str">
        <f>IF(IFERROR(Q85&gt;0,FALSE),SUBSTITUTE(SUBSTITUTE(SUBSTITUTE(y_archiverXML,"~PVNAME",S85&amp;IF(LEN(X85)&lt;1,"",":RBV")),"~PREFIX",y_Prefix),"~PERIOD",Q85),"")</f>
        <v xml:space="preserve">      &lt;channel&gt;
         &lt;name&gt;SR05ID01FST01:RSCN:D1_INDR:RBV&lt;/name&gt;
         &lt;period&gt;0.5&lt;/period&gt;
         &lt;monitor/&gt;
      &lt;/channel&gt;</v>
      </c>
      <c r="AE85" s="20">
        <f>IF(OR(LEFT($I85)="e",LEFT($I85)="g"),AE$1-LEN(S85),"")</f>
        <v>4</v>
      </c>
      <c r="AF85" s="20">
        <f>IF(OR(LEFT($I85)="e",LEFT($I85)="g"),AF$1-LEN(T85),"")</f>
        <v>9</v>
      </c>
      <c r="AG85" s="20">
        <f>IF(OR(LEFT($I85)="e",LEFT($I85)="g"),AG$1-LEN(U85),"")</f>
        <v>10</v>
      </c>
      <c r="AH85" s="20">
        <f>IF(OR(LEFT($I85)="e",LEFT($I85)="g"),AH$1-LEN(V85),"")</f>
        <v>21</v>
      </c>
      <c r="AI85" s="2" t="str">
        <f>IF(ISNUMBER(E85),"0"&amp;LEFT(D85,2)&amp;TEXT(E85,"#.0000"),E85)</f>
        <v>P2080</v>
      </c>
    </row>
    <row r="86" spans="1:35" x14ac:dyDescent="0.3">
      <c r="A86" s="6" t="str">
        <f>IF(T86&lt;&gt;U86,"&lt;FIND TYPE=ASC&gt;"&amp;R86&amp;"&lt;/FIND&gt;&lt;REPLACE TYPE=ASC&gt;"&amp;S86&amp;"&lt;/REPLACE&gt;"&amp;CHAR(10)&amp;"&lt;FIND TYPE=ASC&gt;"&amp;T86&amp;"&lt;/FIND&gt;&lt;REPLACE TYPE=ASC&gt;"&amp;U86&amp;"&lt;/REPLACE&gt;"&amp;CHAR(10)&amp;"&lt;FIND TYPE=ASC&gt;"&amp;C86&amp;"&lt;/FIND&gt;&lt;REPLACE TYPE=ASC&gt;"&amp;D86&amp;"&lt;/REPLACE&gt;",".")</f>
        <v>.</v>
      </c>
      <c r="B86" s="7" t="s">
        <v>38</v>
      </c>
      <c r="C86" s="30" t="s">
        <v>614</v>
      </c>
      <c r="D86" s="7" t="s">
        <v>614</v>
      </c>
      <c r="E86" s="7" t="s">
        <v>615</v>
      </c>
      <c r="G86" s="8" t="s">
        <v>611</v>
      </c>
      <c r="H86" s="7" t="s">
        <v>43</v>
      </c>
      <c r="I86" s="7" t="s">
        <v>39</v>
      </c>
      <c r="J86" s="7"/>
      <c r="K86" s="7"/>
      <c r="L86" s="7"/>
      <c r="M86" s="7"/>
      <c r="N86" s="7"/>
      <c r="O86" s="7"/>
      <c r="P86" s="7"/>
      <c r="Q86" s="7"/>
      <c r="R86" s="17" t="str">
        <f>UPPER(R$1&amp;":"&amp;C86)</f>
        <v>RSCN:T_OVRHD</v>
      </c>
      <c r="S86" s="9" t="str">
        <f>UPPER(S$1&amp;":"&amp;D86)</f>
        <v>RSCN:T_OVRHD</v>
      </c>
      <c r="T86" s="17" t="str">
        <f>SUBSTITUTE(C86,"_","")</f>
        <v>tOvrHd</v>
      </c>
      <c r="U86" s="9" t="str">
        <f>SUBSTITUTE(D86,"_","")&amp;IF(RIGHT(I86)="u","U","")</f>
        <v>tOvrHd</v>
      </c>
      <c r="V86" s="9" t="str">
        <f>IF(ISNUMBER(K86),K86,"$(P):"&amp;$S$1&amp;":"&amp;K86)</f>
        <v>$(P):RSCN:</v>
      </c>
      <c r="W86" s="9" t="str">
        <f>IF(ISNUMBER(L86),L86,"$(P):"&amp;$S$1&amp;":"&amp;L86)</f>
        <v>$(P):RSCN:</v>
      </c>
      <c r="X86" s="9" t="str">
        <f>IF(LEFT(I86)="g",IF(H86="real",y_pmacRascanGSVar,IF(H86="int",y_pmacRascanGSVar,"")),"")</f>
        <v/>
      </c>
      <c r="Y86" s="9" t="str">
        <f>SUBSTITUTE(SUBSTITUTE(SUBSTITUTE(SUBSTITUTE(SUBSTITUTE(SUBSTITUTE(SUBSTITUTE(X86,"~PVNAME",S86),"~EGU",J86),"~PREC",P86),"~VAR",E86),"~CANGET",V86),"~CANSET",W86),"~DESC",LEFT(G86,40))</f>
        <v/>
      </c>
      <c r="Z86" s="32" t="str">
        <f>IF(ISNUMBER($F86),SUBSTITUTE(SUBSTITUTE(SUBSTITUTE(SUBSTITUTE(SUBSTITUTE(SUBSTITUTE(SUBSTITUTE(SUBSTITUTE(y_QLabel &amp; y_QELabel &amp; IF($I86="gsu",y_QELineEdit,""),"~PVNAME",$S86),"~EGU",$J86),"~PREC",$P86),"~VAR",$E86),"~CANGET",$V86),"~CANSET",$W86),"~ROW",$F86),"~NAME",$D86),"")</f>
        <v/>
      </c>
      <c r="AA86" s="9" t="str">
        <f>VLOOKUP(H86,y_EPICS_Formats,2,FALSE)</f>
        <v>%f</v>
      </c>
      <c r="AB86" s="9" t="str">
        <f>IF(LEFT(I86)="g",y_Prefix&amp;S86&amp;" = ","")</f>
        <v/>
      </c>
      <c r="AC86" s="9" t="str">
        <f>IFERROR(";"&amp;G86&amp;"["&amp;J86&amp;"]"&amp;I86&amp;CHAR(10)&amp;B86 &amp;CHAR(9)&amp;U86&amp;CHAR(9)&amp;E86 &amp;CHAR(9),";;Error!")</f>
        <v xml:space="preserve">;internal[]p
#define	tOvrHd	P2081	</v>
      </c>
      <c r="AD86" s="9" t="str">
        <f>IF(IFERROR(Q86&gt;0,FALSE),SUBSTITUTE(SUBSTITUTE(SUBSTITUTE(y_archiverXML,"~PVNAME",S86&amp;IF(LEN(X86)&lt;1,"",":RBV")),"~PREFIX",y_Prefix),"~PERIOD",Q86),"")</f>
        <v/>
      </c>
      <c r="AE86" s="20" t="str">
        <f>IF(OR(LEFT($I86)="e",LEFT($I86)="g"),AE$1-LEN(S86),"")</f>
        <v/>
      </c>
      <c r="AF86" s="20" t="str">
        <f>IF(OR(LEFT($I86)="e",LEFT($I86)="g"),AF$1-LEN(T86),"")</f>
        <v/>
      </c>
      <c r="AG86" s="20" t="str">
        <f>IF(OR(LEFT($I86)="e",LEFT($I86)="g"),AG$1-LEN(U86),"")</f>
        <v/>
      </c>
      <c r="AH86" s="20" t="str">
        <f>IF(OR(LEFT($I86)="e",LEFT($I86)="g"),AH$1-LEN(V86),"")</f>
        <v/>
      </c>
      <c r="AI86" s="2" t="str">
        <f>IF(ISNUMBER(E86),"0"&amp;LEFT(D86,2)&amp;TEXT(E86,"#.0000"),E86)</f>
        <v>P2081</v>
      </c>
    </row>
    <row r="87" spans="1:35" x14ac:dyDescent="0.3">
      <c r="A87" s="6" t="str">
        <f>IF(T87&lt;&gt;U87,"&lt;FIND TYPE=ASC&gt;"&amp;R87&amp;"&lt;/FIND&gt;&lt;REPLACE TYPE=ASC&gt;"&amp;S87&amp;"&lt;/REPLACE&gt;"&amp;CHAR(10)&amp;"&lt;FIND TYPE=ASC&gt;"&amp;T87&amp;"&lt;/FIND&gt;&lt;REPLACE TYPE=ASC&gt;"&amp;U87&amp;"&lt;/REPLACE&gt;"&amp;CHAR(10)&amp;"&lt;FIND TYPE=ASC&gt;"&amp;C87&amp;"&lt;/FIND&gt;&lt;REPLACE TYPE=ASC&gt;"&amp;D87&amp;"&lt;/REPLACE&gt;",".")</f>
        <v>.</v>
      </c>
      <c r="B87" s="7" t="s">
        <v>38</v>
      </c>
      <c r="C87" s="30" t="s">
        <v>616</v>
      </c>
      <c r="D87" s="7" t="s">
        <v>616</v>
      </c>
      <c r="E87" s="7" t="s">
        <v>617</v>
      </c>
      <c r="G87" s="8" t="s">
        <v>611</v>
      </c>
      <c r="H87" s="7" t="s">
        <v>43</v>
      </c>
      <c r="I87" s="7" t="s">
        <v>39</v>
      </c>
      <c r="J87" s="7"/>
      <c r="K87" s="7"/>
      <c r="L87" s="7"/>
      <c r="M87" s="7"/>
      <c r="N87" s="7"/>
      <c r="O87" s="7"/>
      <c r="P87" s="7"/>
      <c r="Q87" s="7"/>
      <c r="R87" s="17" t="str">
        <f>UPPER(R$1&amp;":"&amp;C87)</f>
        <v>RSCN:T_OVRHDOLD</v>
      </c>
      <c r="S87" s="9" t="str">
        <f>UPPER(S$1&amp;":"&amp;D87)</f>
        <v>RSCN:T_OVRHDOLD</v>
      </c>
      <c r="T87" s="17" t="str">
        <f>SUBSTITUTE(C87,"_","")</f>
        <v>tOvrHdOld</v>
      </c>
      <c r="U87" s="9" t="str">
        <f>SUBSTITUTE(D87,"_","")&amp;IF(RIGHT(I87)="u","U","")</f>
        <v>tOvrHdOld</v>
      </c>
      <c r="V87" s="9" t="str">
        <f>IF(ISNUMBER(K87),K87,"$(P):"&amp;$S$1&amp;":"&amp;K87)</f>
        <v>$(P):RSCN:</v>
      </c>
      <c r="W87" s="9" t="str">
        <f>IF(ISNUMBER(L87),L87,"$(P):"&amp;$S$1&amp;":"&amp;L87)</f>
        <v>$(P):RSCN:</v>
      </c>
      <c r="X87" s="9" t="str">
        <f>IF(LEFT(I87)="g",IF(H87="real",y_pmacRascanGSVar,IF(H87="int",y_pmacRascanGSVar,"")),"")</f>
        <v/>
      </c>
      <c r="Y87" s="9" t="str">
        <f>SUBSTITUTE(SUBSTITUTE(SUBSTITUTE(SUBSTITUTE(SUBSTITUTE(SUBSTITUTE(SUBSTITUTE(X87,"~PVNAME",S87),"~EGU",J87),"~PREC",P87),"~VAR",E87),"~CANGET",V87),"~CANSET",W87),"~DESC",LEFT(G87,40))</f>
        <v/>
      </c>
      <c r="Z87" s="32" t="str">
        <f>IF(ISNUMBER($F87),SUBSTITUTE(SUBSTITUTE(SUBSTITUTE(SUBSTITUTE(SUBSTITUTE(SUBSTITUTE(SUBSTITUTE(SUBSTITUTE(y_QLabel &amp; y_QELabel &amp; IF($I87="gsu",y_QELineEdit,""),"~PVNAME",$S87),"~EGU",$J87),"~PREC",$P87),"~VAR",$E87),"~CANGET",$V87),"~CANSET",$W87),"~ROW",$F87),"~NAME",$D87),"")</f>
        <v/>
      </c>
      <c r="AA87" s="9" t="str">
        <f>VLOOKUP(H87,y_EPICS_Formats,2,FALSE)</f>
        <v>%f</v>
      </c>
      <c r="AB87" s="9" t="str">
        <f>IF(LEFT(I87)="g",y_Prefix&amp;S87&amp;" = ","")</f>
        <v/>
      </c>
      <c r="AC87" s="9" t="str">
        <f>IFERROR(";"&amp;G87&amp;"["&amp;J87&amp;"]"&amp;I87&amp;CHAR(10)&amp;B87 &amp;CHAR(9)&amp;U87&amp;CHAR(9)&amp;E87 &amp;CHAR(9),";;Error!")</f>
        <v xml:space="preserve">;internal[]p
#define	tOvrHdOld	P2082	</v>
      </c>
      <c r="AD87" s="9" t="str">
        <f>IF(IFERROR(Q87&gt;0,FALSE),SUBSTITUTE(SUBSTITUTE(SUBSTITUTE(y_archiverXML,"~PVNAME",S87&amp;IF(LEN(X87)&lt;1,"",":RBV")),"~PREFIX",y_Prefix),"~PERIOD",Q87),"")</f>
        <v/>
      </c>
      <c r="AE87" s="20" t="str">
        <f>IF(OR(LEFT($I87)="e",LEFT($I87)="g"),AE$1-LEN(S87),"")</f>
        <v/>
      </c>
      <c r="AF87" s="20" t="str">
        <f>IF(OR(LEFT($I87)="e",LEFT($I87)="g"),AF$1-LEN(T87),"")</f>
        <v/>
      </c>
      <c r="AG87" s="20" t="str">
        <f>IF(OR(LEFT($I87)="e",LEFT($I87)="g"),AG$1-LEN(U87),"")</f>
        <v/>
      </c>
      <c r="AH87" s="20" t="str">
        <f>IF(OR(LEFT($I87)="e",LEFT($I87)="g"),AH$1-LEN(V87),"")</f>
        <v/>
      </c>
      <c r="AI87" s="2" t="str">
        <f>IF(ISNUMBER(E87),"0"&amp;LEFT(D87,2)&amp;TEXT(E87,"#.0000"),E87)</f>
        <v>P2082</v>
      </c>
    </row>
    <row r="88" spans="1:35" x14ac:dyDescent="0.3">
      <c r="A88" s="6" t="str">
        <f>IF(T88&lt;&gt;U88,"&lt;FIND TYPE=ASC&gt;"&amp;R88&amp;"&lt;/FIND&gt;&lt;REPLACE TYPE=ASC&gt;"&amp;S88&amp;"&lt;/REPLACE&gt;"&amp;CHAR(10)&amp;"&lt;FIND TYPE=ASC&gt;"&amp;T88&amp;"&lt;/FIND&gt;&lt;REPLACE TYPE=ASC&gt;"&amp;U88&amp;"&lt;/REPLACE&gt;"&amp;CHAR(10)&amp;"&lt;FIND TYPE=ASC&gt;"&amp;C88&amp;"&lt;/FIND&gt;&lt;REPLACE TYPE=ASC&gt;"&amp;D88&amp;"&lt;/REPLACE&gt;",".")</f>
        <v>&lt;FIND TYPE=ASC&gt;RSCN:CS_ACTIVE&lt;/FIND&gt;&lt;REPLACE TYPE=ASC&gt;RSCN:CS_ACTIVE&lt;/REPLACE&gt;
&lt;FIND TYPE=ASC&gt;csActive&lt;/FIND&gt;&lt;REPLACE TYPE=ASC&gt;csActiveU&lt;/REPLACE&gt;
&lt;FIND TYPE=ASC&gt;cs_Active&lt;/FIND&gt;&lt;REPLACE TYPE=ASC&gt;cs_Active&lt;/REPLACE&gt;</v>
      </c>
      <c r="B88" s="7" t="s">
        <v>38</v>
      </c>
      <c r="C88" s="30" t="s">
        <v>123</v>
      </c>
      <c r="D88" s="7" t="s">
        <v>123</v>
      </c>
      <c r="E88" s="7" t="s">
        <v>59</v>
      </c>
      <c r="F88" s="3">
        <v>1</v>
      </c>
      <c r="G88" s="8" t="s">
        <v>40</v>
      </c>
      <c r="H88" s="7" t="s">
        <v>41</v>
      </c>
      <c r="I88" s="7" t="s">
        <v>618</v>
      </c>
      <c r="J88" s="7"/>
      <c r="K88" s="7" t="s">
        <v>146</v>
      </c>
      <c r="L88" s="7" t="s">
        <v>145</v>
      </c>
      <c r="M88" s="7"/>
      <c r="N88" s="7">
        <v>4</v>
      </c>
      <c r="O88" s="7">
        <v>6</v>
      </c>
      <c r="P88" s="7">
        <v>0</v>
      </c>
      <c r="Q88" s="7">
        <v>1</v>
      </c>
      <c r="R88" s="17" t="str">
        <f>UPPER(R$1&amp;":"&amp;C88)</f>
        <v>RSCN:CS_ACTIVE</v>
      </c>
      <c r="S88" s="9" t="str">
        <f>UPPER(S$1&amp;":"&amp;D88)</f>
        <v>RSCN:CS_ACTIVE</v>
      </c>
      <c r="T88" s="17" t="str">
        <f>SUBSTITUTE(C88,"_","")</f>
        <v>csActive</v>
      </c>
      <c r="U88" s="9" t="str">
        <f>SUBSTITUTE(D88,"_","")&amp;IF(RIGHT(I88)="u","U","")</f>
        <v>csActiveU</v>
      </c>
      <c r="V88" s="9" t="str">
        <f>IF(ISNUMBER(K88),K88,"$(P):"&amp;$S$1&amp;":"&amp;K88)</f>
        <v>$(P):RSCN:ST_ALWAYS</v>
      </c>
      <c r="W88" s="9" t="str">
        <f>IF(ISNUMBER(L88),L88,"$(P):"&amp;$S$1&amp;":"&amp;L88)</f>
        <v>$(P):RSCN:ST_CSSETUP</v>
      </c>
      <c r="X88" s="9" t="str">
        <f>IF(LEFT(I88)="g",IF(H88="real",y_pmacRascanGSVar,IF(H88="int",y_pmacRascanGSVar,"")),"")</f>
        <v>expand("pmacRascanGSVar.vdb", GSVar~VAR) {
  macro(VAR, "~VAR")
  macro(EGU, "~EGU")
  macro(P, "$(P)")
  macro(Q, ":~PVNAME")
  macro(PORT, "$(PORT)")
  macro(CanGet, "~CANGET")
  macro(CanSet, "~CANSET")
  macro(PREC, "$(PREC=~PREC)")
  macro(DESC,"~DESC")
}</v>
      </c>
      <c r="Y88" s="9" t="str">
        <f>SUBSTITUTE(SUBSTITUTE(SUBSTITUTE(SUBSTITUTE(SUBSTITUTE(SUBSTITUTE(SUBSTITUTE(X88,"~PVNAME",S88),"~EGU",J88),"~PREC",P88),"~VAR",E88),"~CANGET",V88),"~CANSET",W88),"~DESC",LEFT(G88,40))</f>
        <v>expand("pmacRascanGSVar.vdb", GSVarP2090) {
  macro(VAR, "P2090")
  macro(EGU, "")
  macro(P, "$(P)")
  macro(Q, ":RSCN:CS_ACTIVE")
  macro(PORT, "$(PORT)")
  macro(CanGet, "$(P):RSCN:ST_ALWAYS")
  macro(CanSet, "$(P):RSCN:ST_CSSETUP")
  macro(PREC, "$(PREC=0)")
  macro(DESC,"Active CS number on pmac")
}</v>
      </c>
      <c r="Z88" s="32" t="str">
        <f>IF(ISNUMBER($F88),SUBSTITUTE(SUBSTITUTE(SUBSTITUTE(SUBSTITUTE(SUBSTITUTE(SUBSTITUTE(SUBSTITUTE(SUBSTITUTE(y_QLabel &amp; y_QELabel &amp; IF($I88="gsu",y_QELineEdit,""),"~PVNAME",$S88),"~EGU",$J88),"~PREC",$P88),"~VAR",$E88),"~CANGET",$V88),"~CANSET",$W88),"~ROW",$F88),"~NAME",$D88),"")</f>
        <v>&lt;item row="1" column="0"&gt;
            &lt;widget class="QLabel" name="L_P2090"&gt;
             &lt;property name="sizePolicy"&gt;
              &lt;sizepolicy hsizetype="MinimumExpanding" vsizetype="Preferred"&gt;
               &lt;horstretch&gt;0&lt;/horstretch&gt;
               &lt;verstretch&gt;0&lt;/verstretch&gt;
              &lt;/sizepolicy&gt;
             &lt;/property&gt;
             &lt;property name="minimumSize"&gt;
              &lt;size&gt;
               &lt;width&gt;88&lt;/width&gt;
               &lt;height&gt;8&lt;/height&gt;
              &lt;/size&gt;
             &lt;/property&gt;
             &lt;property name="text"&gt;
              &lt;string&gt;cs_Active&lt;/string&gt;
             &lt;/property&gt;
            &lt;/widget&gt;
           &lt;/item&gt;&lt;item row="1" column="1"&gt;
            &lt;widget class="QELabel" name="QL_P2090"&gt;
             &lt;property name="variable" stdset="0"&gt;
              &lt;string&gt;"SR99ID01FST01:RSCN:CS_ACTIVE:SYNC"&lt;/string&gt;
             &lt;/property&gt;
            &lt;/widget&gt;
           &lt;/item&gt;&lt;item row="1" column="2"&gt;
            &lt;widget class="QELineEdit" name="QLD_P2090"&gt;
             &lt;property name="variable" stdset="0"&gt;
              &lt;string&gt;"SR99ID01FST01:RSCN:CS_ACTIVE"&lt;/string&gt;
             &lt;/property&gt;
            &lt;/widget&gt;
           &lt;/item&gt;</v>
      </c>
      <c r="AA88" s="9" t="str">
        <f>VLOOKUP(H88,y_EPICS_Formats,2,FALSE)</f>
        <v>%d</v>
      </c>
      <c r="AB88" s="9" t="str">
        <f>IF(LEFT(I88)="g",y_Prefix&amp;S88&amp;" = ","")</f>
        <v xml:space="preserve">SR05ID01FST01:RSCN:CS_ACTIVE = </v>
      </c>
      <c r="AC88" s="9" t="str">
        <f>IFERROR(";"&amp;G88&amp;"["&amp;J88&amp;"]"&amp;I88&amp;CHAR(10)&amp;B88 &amp;CHAR(9)&amp;U88&amp;CHAR(9)&amp;E88 &amp;CHAR(9),";;Error!")</f>
        <v xml:space="preserve">;Active CS number on pmac[]gsu
#define	csActiveU	P2090	</v>
      </c>
      <c r="AD88" s="9" t="str">
        <f>IF(IFERROR(Q88&gt;0,FALSE),SUBSTITUTE(SUBSTITUTE(SUBSTITUTE(y_archiverXML,"~PVNAME",S88&amp;IF(LEN(X88)&lt;1,"",":RBV")),"~PREFIX",y_Prefix),"~PERIOD",Q88),"")</f>
        <v xml:space="preserve">      &lt;channel&gt;
         &lt;name&gt;SR05ID01FST01:RSCN:CS_ACTIVE:RBV&lt;/name&gt;
         &lt;period&gt;1&lt;/period&gt;
         &lt;monitor/&gt;
      &lt;/channel&gt;</v>
      </c>
      <c r="AE88" s="20">
        <f>IF(OR(LEFT($I88)="e",LEFT($I88)="g"),AE$1-LEN(S88),"")</f>
        <v>2</v>
      </c>
      <c r="AF88" s="20">
        <f>IF(OR(LEFT($I88)="e",LEFT($I88)="g"),AF$1-LEN(T88),"")</f>
        <v>8</v>
      </c>
      <c r="AG88" s="20">
        <f>IF(OR(LEFT($I88)="e",LEFT($I88)="g"),AG$1-LEN(U88),"")</f>
        <v>7</v>
      </c>
      <c r="AH88" s="20">
        <f>IF(OR(LEFT($I88)="e",LEFT($I88)="g"),AH$1-LEN(V88),"")</f>
        <v>21</v>
      </c>
      <c r="AI88" s="2" t="str">
        <f>IF(ISNUMBER(E88),"0"&amp;LEFT(D88,2)&amp;TEXT(E88,"#.0000"),E88)</f>
        <v>P2090</v>
      </c>
    </row>
    <row r="89" spans="1:35" x14ac:dyDescent="0.3">
      <c r="A89" s="6" t="str">
        <f>IF(T89&lt;&gt;U89,"&lt;FIND TYPE=ASC&gt;"&amp;R89&amp;"&lt;/FIND&gt;&lt;REPLACE TYPE=ASC&gt;"&amp;S89&amp;"&lt;/REPLACE&gt;"&amp;CHAR(10)&amp;"&lt;FIND TYPE=ASC&gt;"&amp;T89&amp;"&lt;/FIND&gt;&lt;REPLACE TYPE=ASC&gt;"&amp;U89&amp;"&lt;/REPLACE&gt;"&amp;CHAR(10)&amp;"&lt;FIND TYPE=ASC&gt;"&amp;C89&amp;"&lt;/FIND&gt;&lt;REPLACE TYPE=ASC&gt;"&amp;D89&amp;"&lt;/REPLACE&gt;",".")</f>
        <v>.</v>
      </c>
      <c r="B89" s="14" t="s">
        <v>38</v>
      </c>
      <c r="C89" s="30" t="s">
        <v>159</v>
      </c>
      <c r="D89" s="14" t="s">
        <v>159</v>
      </c>
      <c r="E89" s="14" t="s">
        <v>160</v>
      </c>
      <c r="G89" s="15" t="s">
        <v>161</v>
      </c>
      <c r="H89" s="14" t="s">
        <v>41</v>
      </c>
      <c r="I89" s="14" t="s">
        <v>128</v>
      </c>
      <c r="J89" s="14"/>
      <c r="K89" s="14" t="s">
        <v>146</v>
      </c>
      <c r="L89" s="14" t="s">
        <v>69</v>
      </c>
      <c r="M89" s="14"/>
      <c r="N89" s="14">
        <v>0</v>
      </c>
      <c r="O89" s="14">
        <v>0</v>
      </c>
      <c r="P89" s="14">
        <v>0</v>
      </c>
      <c r="Q89" s="14">
        <v>1</v>
      </c>
      <c r="R89" s="18" t="str">
        <f>UPPER(R$1&amp;":"&amp;C89)</f>
        <v>RSCN:CS_STATUS</v>
      </c>
      <c r="S89" s="16" t="str">
        <f>UPPER(S$1&amp;":"&amp;D89)</f>
        <v>RSCN:CS_STATUS</v>
      </c>
      <c r="T89" s="17" t="str">
        <f>SUBSTITUTE(C89,"_","")</f>
        <v>csStatus</v>
      </c>
      <c r="U89" s="9" t="str">
        <f>SUBSTITUTE(D89,"_","")&amp;IF(RIGHT(I89)="u","U","")</f>
        <v>csStatus</v>
      </c>
      <c r="V89" s="16" t="str">
        <f>IF(ISNUMBER(K89),K89,"$(P):"&amp;$S$1&amp;":"&amp;K89)</f>
        <v>$(P):RSCN:ST_ALWAYS</v>
      </c>
      <c r="W89" s="16" t="str">
        <f>IF(ISNUMBER(L89),L89,"$(P):"&amp;$S$1&amp;":"&amp;L89)</f>
        <v>$(P):RSCN:ST_NEVER</v>
      </c>
      <c r="X89" s="9" t="str">
        <f>IF(LEFT(I89)="g",IF(H89="real",y_pmacRascanGSVar,IF(H89="int",y_pmacRascanGSVar,"")),"")</f>
        <v/>
      </c>
      <c r="Y89" s="16" t="str">
        <f>SUBSTITUTE(SUBSTITUTE(SUBSTITUTE(SUBSTITUTE(SUBSTITUTE(SUBSTITUTE(SUBSTITUTE(X89,"~PVNAME",S89),"~EGU",J89),"~PREC",P89),"~VAR",E89),"~CANGET",V89),"~CANSET",W89),"~DESC",LEFT(G89,40))</f>
        <v/>
      </c>
      <c r="Z89" s="32" t="str">
        <f>IF(ISNUMBER($F89),SUBSTITUTE(SUBSTITUTE(SUBSTITUTE(SUBSTITUTE(SUBSTITUTE(SUBSTITUTE(SUBSTITUTE(SUBSTITUTE(y_QLabel &amp; y_QELabel &amp; IF($I89="gsu",y_QELineEdit,""),"~PVNAME",$S89),"~EGU",$J89),"~PREC",$P89),"~VAR",$E89),"~CANGET",$V89),"~CANSET",$W89),"~ROW",$F89),"~NAME",$D89),"")</f>
        <v/>
      </c>
      <c r="AA89" s="16" t="str">
        <f>VLOOKUP(H89,y_EPICS_Formats,2,FALSE)</f>
        <v>%d</v>
      </c>
      <c r="AB89" s="9" t="str">
        <f>IF(LEFT(I89)="g",y_Prefix&amp;S89&amp;" = ","")</f>
        <v/>
      </c>
      <c r="AC89" s="9" t="str">
        <f>IFERROR(";"&amp;G89&amp;"["&amp;J89&amp;"]"&amp;I89&amp;CHAR(10)&amp;B89 &amp;CHAR(9)&amp;U89&amp;CHAR(9)&amp;E89 &amp;CHAR(9),";;Error!")</f>
        <v xml:space="preserve">;CS status for active CS number on pmac (CSSTRS)[]e
#define	csStatus	P2091	</v>
      </c>
      <c r="AD89" s="9" t="str">
        <f>IF(IFERROR(Q89&gt;0,FALSE),SUBSTITUTE(SUBSTITUTE(SUBSTITUTE(y_archiverXML,"~PVNAME",S89&amp;IF(LEN(X89)&lt;1,"",":RBV")),"~PREFIX",y_Prefix),"~PERIOD",Q89),"")</f>
        <v xml:space="preserve">      &lt;channel&gt;
         &lt;name&gt;SR05ID01FST01:RSCN:CS_STATUS&lt;/name&gt;
         &lt;period&gt;1&lt;/period&gt;
         &lt;monitor/&gt;
      &lt;/channel&gt;</v>
      </c>
      <c r="AE89" s="20">
        <f>IF(OR(LEFT($I89)="e",LEFT($I89)="g"),AE$1-LEN(S89),"")</f>
        <v>2</v>
      </c>
      <c r="AF89" s="20">
        <f>IF(OR(LEFT($I89)="e",LEFT($I89)="g"),AF$1-LEN(T89),"")</f>
        <v>8</v>
      </c>
      <c r="AG89" s="20">
        <f>IF(OR(LEFT($I89)="e",LEFT($I89)="g"),AG$1-LEN(U89),"")</f>
        <v>8</v>
      </c>
      <c r="AH89" s="20">
        <f>IF(OR(LEFT($I89)="e",LEFT($I89)="g"),AH$1-LEN(V89),"")</f>
        <v>21</v>
      </c>
      <c r="AI89" s="2" t="str">
        <f>IF(ISNUMBER(E89),"0"&amp;LEFT(D89,2)&amp;TEXT(E89,"#.0000"),E89)</f>
        <v>P2091</v>
      </c>
    </row>
    <row r="90" spans="1:35" x14ac:dyDescent="0.3">
      <c r="A90" s="6" t="str">
        <f>IF(T90&lt;&gt;U90,"&lt;FIND TYPE=ASC&gt;"&amp;R90&amp;"&lt;/FIND&gt;&lt;REPLACE TYPE=ASC&gt;"&amp;S90&amp;"&lt;/REPLACE&gt;"&amp;CHAR(10)&amp;"&lt;FIND TYPE=ASC&gt;"&amp;T90&amp;"&lt;/FIND&gt;&lt;REPLACE TYPE=ASC&gt;"&amp;U90&amp;"&lt;/REPLACE&gt;"&amp;CHAR(10)&amp;"&lt;FIND TYPE=ASC&gt;"&amp;C90&amp;"&lt;/FIND&gt;&lt;REPLACE TYPE=ASC&gt;"&amp;D90&amp;"&lt;/REPLACE&gt;",".")</f>
        <v>.</v>
      </c>
      <c r="B90" s="7" t="s">
        <v>624</v>
      </c>
      <c r="C90" s="30" t="s">
        <v>577</v>
      </c>
      <c r="D90" s="7" t="s">
        <v>577</v>
      </c>
      <c r="E90" s="7" t="s">
        <v>620</v>
      </c>
      <c r="G90" s="8" t="s">
        <v>622</v>
      </c>
      <c r="H90" s="7"/>
      <c r="I90" s="7" t="s">
        <v>39</v>
      </c>
      <c r="J90" s="7"/>
      <c r="K90" s="7"/>
      <c r="L90" s="7"/>
      <c r="M90" s="7"/>
      <c r="N90" s="7"/>
      <c r="O90" s="7"/>
      <c r="P90" s="7"/>
      <c r="Q90" s="7"/>
      <c r="R90" s="17" t="str">
        <f>UPPER(R$1&amp;":"&amp;C90)</f>
        <v>RSCN:P_SIN</v>
      </c>
      <c r="S90" s="9" t="str">
        <f>UPPER(S$1&amp;":"&amp;D90)</f>
        <v>RSCN:P_SIN</v>
      </c>
      <c r="T90" s="17" t="str">
        <f>SUBSTITUTE(C90,"_","")</f>
        <v>pSin</v>
      </c>
      <c r="U90" s="9" t="str">
        <f>SUBSTITUTE(D90,"_","")&amp;IF(RIGHT(I90)="u","U","")</f>
        <v>pSin</v>
      </c>
      <c r="V90" s="9" t="str">
        <f>IF(ISNUMBER(K90),K90,"$(P):"&amp;$S$1&amp;":"&amp;K90)</f>
        <v>$(P):RSCN:</v>
      </c>
      <c r="W90" s="9" t="str">
        <f>IF(ISNUMBER(L90),L90,"$(P):"&amp;$S$1&amp;":"&amp;L90)</f>
        <v>$(P):RSCN:</v>
      </c>
      <c r="X90" s="9" t="str">
        <f>IF(LEFT(I90)="g",IF(H90="real",y_pmacRascanGSVar,IF(H90="int",y_pmacRascanGSVar,"")),"")</f>
        <v/>
      </c>
      <c r="Y90" s="9" t="str">
        <f>SUBSTITUTE(SUBSTITUTE(SUBSTITUTE(SUBSTITUTE(SUBSTITUTE(SUBSTITUTE(SUBSTITUTE(X90,"~PVNAME",S90),"~EGU",J90),"~PREC",P90),"~VAR",E90),"~CANGET",V90),"~CANSET",W90),"~DESC",LEFT(G90,40))</f>
        <v/>
      </c>
      <c r="Z90" s="32" t="str">
        <f>IF(ISNUMBER($F90),SUBSTITUTE(SUBSTITUTE(SUBSTITUTE(SUBSTITUTE(SUBSTITUTE(SUBSTITUTE(SUBSTITUTE(SUBSTITUTE(y_QLabel &amp; y_QELabel &amp; IF($I90="gsu",y_QELineEdit,""),"~PVNAME",$S90),"~EGU",$J90),"~PREC",$P90),"~VAR",$E90),"~CANGET",$V90),"~CANSET",$W90),"~ROW",$F90),"~NAME",$D90),"")</f>
        <v/>
      </c>
      <c r="AA90" s="9" t="e">
        <f>VLOOKUP(H90,y_EPICS_Formats,2,FALSE)</f>
        <v>#N/A</v>
      </c>
      <c r="AB90" s="9" t="str">
        <f>IF(LEFT(I90)="g",y_Prefix&amp;S90&amp;" = ","")</f>
        <v/>
      </c>
      <c r="AC90" s="9" t="str">
        <f>IFERROR(";"&amp;G90&amp;"["&amp;J90&amp;"]"&amp;I90&amp;CHAR(10)&amp;B90 &amp;CHAR(9)&amp;U90&amp;CHAR(9)&amp;E90 &amp;CHAR(9),";;Error!")</f>
        <v xml:space="preserve">;CS specific Sin(angle)[]p
;defined in CS	pSin	Q401	</v>
      </c>
      <c r="AD90" s="9" t="str">
        <f>IF(IFERROR(Q90&gt;0,FALSE),SUBSTITUTE(SUBSTITUTE(SUBSTITUTE(y_archiverXML,"~PVNAME",S90&amp;IF(LEN(X90)&lt;1,"",":RBV")),"~PREFIX",y_Prefix),"~PERIOD",Q90),"")</f>
        <v/>
      </c>
      <c r="AE90" s="20" t="str">
        <f>IF(OR(LEFT($I90)="e",LEFT($I90)="g"),AE$1-LEN(S90),"")</f>
        <v/>
      </c>
      <c r="AF90" s="20" t="str">
        <f>IF(OR(LEFT($I90)="e",LEFT($I90)="g"),AF$1-LEN(T90),"")</f>
        <v/>
      </c>
      <c r="AG90" s="20" t="str">
        <f>IF(OR(LEFT($I90)="e",LEFT($I90)="g"),AG$1-LEN(U90),"")</f>
        <v/>
      </c>
      <c r="AH90" s="20" t="str">
        <f>IF(OR(LEFT($I90)="e",LEFT($I90)="g"),AH$1-LEN(V90),"")</f>
        <v/>
      </c>
      <c r="AI90" s="2" t="str">
        <f>IF(ISNUMBER(E90),"0"&amp;LEFT(D90,2)&amp;TEXT(E90,"#.0000"),E90)</f>
        <v>Q401</v>
      </c>
    </row>
    <row r="91" spans="1:35" x14ac:dyDescent="0.3">
      <c r="A91" s="6" t="str">
        <f>IF(T91&lt;&gt;U91,"&lt;FIND TYPE=ASC&gt;"&amp;R91&amp;"&lt;/FIND&gt;&lt;REPLACE TYPE=ASC&gt;"&amp;S91&amp;"&lt;/REPLACE&gt;"&amp;CHAR(10)&amp;"&lt;FIND TYPE=ASC&gt;"&amp;T91&amp;"&lt;/FIND&gt;&lt;REPLACE TYPE=ASC&gt;"&amp;U91&amp;"&lt;/REPLACE&gt;"&amp;CHAR(10)&amp;"&lt;FIND TYPE=ASC&gt;"&amp;C91&amp;"&lt;/FIND&gt;&lt;REPLACE TYPE=ASC&gt;"&amp;D91&amp;"&lt;/REPLACE&gt;",".")</f>
        <v>.</v>
      </c>
      <c r="B91" s="7" t="s">
        <v>624</v>
      </c>
      <c r="C91" s="30" t="s">
        <v>578</v>
      </c>
      <c r="D91" s="14" t="s">
        <v>578</v>
      </c>
      <c r="E91" s="14" t="s">
        <v>621</v>
      </c>
      <c r="G91" s="8" t="s">
        <v>623</v>
      </c>
      <c r="H91" s="14"/>
      <c r="I91" s="14" t="s">
        <v>39</v>
      </c>
      <c r="J91" s="14"/>
      <c r="K91" s="14"/>
      <c r="L91" s="14"/>
      <c r="M91" s="14"/>
      <c r="N91" s="14"/>
      <c r="O91" s="14"/>
      <c r="P91" s="14"/>
      <c r="Q91" s="14"/>
      <c r="R91" s="18" t="str">
        <f>UPPER(R$1&amp;":"&amp;C91)</f>
        <v>RSCN:P_COS</v>
      </c>
      <c r="S91" s="16" t="str">
        <f>UPPER(S$1&amp;":"&amp;D91)</f>
        <v>RSCN:P_COS</v>
      </c>
      <c r="T91" s="17" t="str">
        <f>SUBSTITUTE(C91,"_","")</f>
        <v>pCos</v>
      </c>
      <c r="U91" s="9" t="str">
        <f>SUBSTITUTE(D91,"_","")&amp;IF(RIGHT(I91)="u","U","")</f>
        <v>pCos</v>
      </c>
      <c r="V91" s="16" t="str">
        <f>IF(ISNUMBER(K91),K91,"$(P):"&amp;$S$1&amp;":"&amp;K91)</f>
        <v>$(P):RSCN:</v>
      </c>
      <c r="W91" s="16" t="str">
        <f>IF(ISNUMBER(L91),L91,"$(P):"&amp;$S$1&amp;":"&amp;L91)</f>
        <v>$(P):RSCN:</v>
      </c>
      <c r="X91" s="9" t="str">
        <f>IF(LEFT(I91)="g",IF(H91="real",y_pmacRascanGSVar,IF(H91="int",y_pmacRascanGSVar,"")),"")</f>
        <v/>
      </c>
      <c r="Y91" s="16" t="str">
        <f>SUBSTITUTE(SUBSTITUTE(SUBSTITUTE(SUBSTITUTE(SUBSTITUTE(SUBSTITUTE(SUBSTITUTE(X91,"~PVNAME",S91),"~EGU",J91),"~PREC",P91),"~VAR",E91),"~CANGET",V91),"~CANSET",W91),"~DESC",LEFT(G91,40))</f>
        <v/>
      </c>
      <c r="Z91" s="32" t="str">
        <f>IF(ISNUMBER($F91),SUBSTITUTE(SUBSTITUTE(SUBSTITUTE(SUBSTITUTE(SUBSTITUTE(SUBSTITUTE(SUBSTITUTE(SUBSTITUTE(y_QLabel &amp; y_QELabel &amp; IF($I91="gsu",y_QELineEdit,""),"~PVNAME",$S91),"~EGU",$J91),"~PREC",$P91),"~VAR",$E91),"~CANGET",$V91),"~CANSET",$W91),"~ROW",$F91),"~NAME",$D91),"")</f>
        <v/>
      </c>
      <c r="AA91" s="16" t="e">
        <f>VLOOKUP(H91,y_EPICS_Formats,2,FALSE)</f>
        <v>#N/A</v>
      </c>
      <c r="AB91" s="9" t="str">
        <f>IF(LEFT(I91)="g",y_Prefix&amp;S91&amp;" = ","")</f>
        <v/>
      </c>
      <c r="AC91" s="9" t="str">
        <f>IFERROR(";"&amp;G91&amp;"["&amp;J91&amp;"]"&amp;I91&amp;CHAR(10)&amp;B91 &amp;CHAR(9)&amp;U91&amp;CHAR(9)&amp;E91 &amp;CHAR(9),";;Error!")</f>
        <v xml:space="preserve">;CS specific Cos(angle)[]p
;defined in CS	pCos	Q402	</v>
      </c>
      <c r="AD91" s="9" t="str">
        <f>IF(IFERROR(Q91&gt;0,FALSE),SUBSTITUTE(SUBSTITUTE(SUBSTITUTE(y_archiverXML,"~PVNAME",S91&amp;IF(LEN(X91)&lt;1,"",":RBV")),"~PREFIX",y_Prefix),"~PERIOD",Q91),"")</f>
        <v/>
      </c>
      <c r="AE91" s="20" t="str">
        <f>IF(OR(LEFT($I91)="e",LEFT($I91)="g"),AE$1-LEN(S91),"")</f>
        <v/>
      </c>
      <c r="AF91" s="20" t="str">
        <f>IF(OR(LEFT($I91)="e",LEFT($I91)="g"),AF$1-LEN(T91),"")</f>
        <v/>
      </c>
      <c r="AG91" s="20" t="str">
        <f>IF(OR(LEFT($I91)="e",LEFT($I91)="g"),AG$1-LEN(U91),"")</f>
        <v/>
      </c>
      <c r="AH91" s="20" t="str">
        <f>IF(OR(LEFT($I91)="e",LEFT($I91)="g"),AH$1-LEN(V91),"")</f>
        <v/>
      </c>
      <c r="AI91" s="2" t="str">
        <f>IF(ISNUMBER(E91),"0"&amp;LEFT(D91,2)&amp;TEXT(E91,"#.0000"),E91)</f>
        <v>Q402</v>
      </c>
    </row>
    <row r="92" spans="1:35" ht="29.25" x14ac:dyDescent="0.3">
      <c r="A92" s="6" t="str">
        <f>IF(T92&lt;&gt;U92,"&lt;FIND TYPE=ASC&gt;"&amp;R92&amp;"&lt;/FIND&gt;&lt;REPLACE TYPE=ASC&gt;"&amp;S92&amp;"&lt;/REPLACE&gt;"&amp;CHAR(10)&amp;"&lt;FIND TYPE=ASC&gt;"&amp;T92&amp;"&lt;/FIND&gt;&lt;REPLACE TYPE=ASC&gt;"&amp;U92&amp;"&lt;/REPLACE&gt;"&amp;CHAR(10)&amp;"&lt;FIND TYPE=ASC&gt;"&amp;C92&amp;"&lt;/FIND&gt;&lt;REPLACE TYPE=ASC&gt;"&amp;D92&amp;"&lt;/REPLACE&gt;",".")</f>
        <v>.</v>
      </c>
      <c r="B92" s="14" t="s">
        <v>165</v>
      </c>
      <c r="C92" s="28" t="s">
        <v>151</v>
      </c>
      <c r="D92" s="2" t="s">
        <v>151</v>
      </c>
      <c r="E92" s="2" t="s">
        <v>164</v>
      </c>
      <c r="R92" s="17" t="str">
        <f>UPPER(B92&amp;"."&amp;C92)</f>
        <v>;.DIR</v>
      </c>
      <c r="S92" s="9" t="str">
        <f>UPPER(C92&amp;"."&amp;D92)</f>
        <v>DIR.DIR</v>
      </c>
      <c r="T92" s="17" t="str">
        <f>SUBSTITUTE(C92,"_","")</f>
        <v>DIR</v>
      </c>
      <c r="U92" s="9" t="str">
        <f>SUBSTITUTE(D92,"_","")&amp;IF(RIGHT(I92)="u","U","")</f>
        <v>DIR</v>
      </c>
      <c r="V92" s="9" t="str">
        <f>IF(ISNUMBER(K92),K92,"$(P):"&amp;$S$1&amp;":"&amp;K92)</f>
        <v>$(P):RSCN:</v>
      </c>
      <c r="W92" s="9" t="str">
        <f>IF(ISNUMBER(L92),L92,"$(P):"&amp;$S$1&amp;":"&amp;L92)</f>
        <v>$(P):RSCN:</v>
      </c>
      <c r="X92" s="9" t="str">
        <f>IF(LEFT(I92)="g",IF(H92="real",y_pmacRascanGSVar,IF(H92="int",y_pmacRascanGSVar,"")),"")</f>
        <v/>
      </c>
      <c r="Y92" s="9" t="str">
        <f>SUBSTITUTE(SUBSTITUTE(SUBSTITUTE(SUBSTITUTE(SUBSTITUTE(SUBSTITUTE(SUBSTITUTE(X92,"~PVNAME",S92),"~EGU",J92),"~PREC",P92),"~VAR",E92),"~CANGET",V92),"~CANSET",W92),"~DESC",LEFT(G92,40))</f>
        <v/>
      </c>
      <c r="Z92" s="32" t="str">
        <f>IF(ISNUMBER($F92),SUBSTITUTE(SUBSTITUTE(SUBSTITUTE(SUBSTITUTE(SUBSTITUTE(SUBSTITUTE(SUBSTITUTE(SUBSTITUTE(y_QLabel &amp; y_QELabel &amp; IF($I92="gsu",y_QELineEdit,""),"~PVNAME",$S92),"~EGU",$J92),"~PREC",$P92),"~VAR",$E92),"~CANGET",$V92),"~CANSET",$W92),"~ROW",$F92),"~NAME",$D92),"")</f>
        <v/>
      </c>
      <c r="AA92" s="9" t="e">
        <f>VLOOKUP(H92,y_EPICS_Formats,2,FALSE)</f>
        <v>#N/A</v>
      </c>
      <c r="AB92" s="9" t="str">
        <f>IF(LEFT(I92)="g",y_Prefix&amp;S92&amp;" = ","")</f>
        <v/>
      </c>
      <c r="AC92" s="9" t="str">
        <f>IFERROR(";"&amp;G92&amp;"["&amp;J92&amp;"]"&amp;I92&amp;CHAR(10)&amp;B92 &amp;CHAR(9)&amp;U92&amp;CHAR(9)&amp;E92 &amp;CHAR(9),";;Error!")</f>
        <v xml:space="preserve">;[]
;	DIR	x	</v>
      </c>
      <c r="AD92" s="9" t="str">
        <f>IF(IFERROR(Q92&gt;0,FALSE),SUBSTITUTE(SUBSTITUTE(SUBSTITUTE(y_archiverXML,"~PVNAME",S92&amp;IF(LEN(X92)&lt;1,"",":RBV")),"~PREFIX",y_Prefix),"~PERIOD",Q92),"")</f>
        <v/>
      </c>
      <c r="AE92" s="20" t="str">
        <f>IF(OR(LEFT($I92)="e",LEFT($I92)="g"),AE$1-LEN(S92),"")</f>
        <v/>
      </c>
      <c r="AF92" s="20" t="str">
        <f>IF(OR(LEFT($I92)="e",LEFT($I92)="g"),AF$1-LEN(T92),"")</f>
        <v/>
      </c>
      <c r="AG92" s="20" t="str">
        <f>IF(OR(LEFT($I92)="e",LEFT($I92)="g"),AG$1-LEN(U92),"")</f>
        <v/>
      </c>
      <c r="AH92" s="20" t="str">
        <f>IF(OR(LEFT($I92)="e",LEFT($I92)="g"),AH$1-LEN(V92),"")</f>
        <v/>
      </c>
      <c r="AI92" s="2" t="str">
        <f>IF(ISNUMBER(E92),"0"&amp;LEFT(D92,2)&amp;TEXT(E92,"#.0000"),E92)</f>
        <v>x</v>
      </c>
    </row>
    <row r="93" spans="1:35" x14ac:dyDescent="0.3">
      <c r="A93" s="6" t="str">
        <f>IF(T93&lt;&gt;U93,"&lt;FIND TYPE=ASC&gt;"&amp;R93&amp;"&lt;/FIND&gt;&lt;REPLACE TYPE=ASC&gt;"&amp;S93&amp;"&lt;/REPLACE&gt;"&amp;CHAR(10)&amp;"&lt;FIND TYPE=ASC&gt;"&amp;T93&amp;"&lt;/FIND&gt;&lt;REPLACE TYPE=ASC&gt;"&amp;U93&amp;"&lt;/REPLACE&gt;"&amp;CHAR(10)&amp;"&lt;FIND TYPE=ASC&gt;"&amp;C93&amp;"&lt;/FIND&gt;&lt;REPLACE TYPE=ASC&gt;"&amp;D93&amp;"&lt;/REPLACE&gt;",".")</f>
        <v>.</v>
      </c>
      <c r="B93" s="14" t="s">
        <v>165</v>
      </c>
      <c r="C93" s="28" t="s">
        <v>151</v>
      </c>
      <c r="D93" s="2" t="s">
        <v>151</v>
      </c>
      <c r="E93" s="2" t="s">
        <v>164</v>
      </c>
      <c r="R93" s="17" t="str">
        <f>UPPER(B93&amp;"."&amp;C93)</f>
        <v>;.DIR</v>
      </c>
      <c r="S93" s="9" t="str">
        <f>UPPER(C93&amp;"."&amp;D93)</f>
        <v>DIR.DIR</v>
      </c>
      <c r="T93" s="17" t="str">
        <f>SUBSTITUTE(C93,"_","")</f>
        <v>DIR</v>
      </c>
      <c r="U93" s="9" t="str">
        <f>SUBSTITUTE(D93,"_","")&amp;IF(RIGHT(I93)="u","U","")</f>
        <v>DIR</v>
      </c>
      <c r="V93" s="9" t="str">
        <f>IF(ISNUMBER(K93),K93,"$(P):"&amp;$S$1&amp;":"&amp;K93)</f>
        <v>$(P):RSCN:</v>
      </c>
      <c r="W93" s="9" t="str">
        <f>IF(ISNUMBER(L93),L93,"$(P):"&amp;$S$1&amp;":"&amp;L93)</f>
        <v>$(P):RSCN:</v>
      </c>
      <c r="X93" s="9" t="str">
        <f>IF(LEFT(I93)="g",IF(H93="real",y_pmacRascanGSVar,IF(H93="int",y_pmacRascanGSVar,"")),"")</f>
        <v/>
      </c>
      <c r="Y93" s="9" t="str">
        <f>SUBSTITUTE(SUBSTITUTE(SUBSTITUTE(SUBSTITUTE(SUBSTITUTE(SUBSTITUTE(SUBSTITUTE(X93,"~PVNAME",S93),"~EGU",J93),"~PREC",P93),"~VAR",E93),"~CANGET",V93),"~CANSET",W93),"~DESC",LEFT(G93,40))</f>
        <v/>
      </c>
      <c r="Z93" s="32" t="str">
        <f>IF(ISNUMBER($F93),SUBSTITUTE(SUBSTITUTE(SUBSTITUTE(SUBSTITUTE(SUBSTITUTE(SUBSTITUTE(SUBSTITUTE(SUBSTITUTE(y_QLabel &amp; y_QELabel &amp; IF($I93="gsu",y_QELineEdit,""),"~PVNAME",$S93),"~EGU",$J93),"~PREC",$P93),"~VAR",$E93),"~CANGET",$V93),"~CANSET",$W93),"~ROW",$F93),"~NAME",$D93),"")</f>
        <v/>
      </c>
      <c r="AA93" s="9" t="e">
        <f>VLOOKUP(H93,y_EPICS_Formats,2,FALSE)</f>
        <v>#N/A</v>
      </c>
      <c r="AB93" s="9" t="str">
        <f>IF(LEFT(I93)="g",y_Prefix&amp;S93&amp;" = ","")</f>
        <v/>
      </c>
      <c r="AC93" s="9" t="str">
        <f>IFERROR(";"&amp;G93&amp;"["&amp;J93&amp;"]"&amp;I93&amp;CHAR(10)&amp;B93 &amp;CHAR(9)&amp;U93&amp;CHAR(9)&amp;E93 &amp;CHAR(9),";;Error!")</f>
        <v xml:space="preserve">;[]
;	DIR	x	</v>
      </c>
      <c r="AD93" s="9" t="str">
        <f>IF(IFERROR(Q93&gt;0,FALSE),SUBSTITUTE(SUBSTITUTE(SUBSTITUTE(y_archiverXML,"~PVNAME",S93&amp;IF(LEN(X93)&lt;1,"",":RBV")),"~PREFIX",y_Prefix),"~PERIOD",Q93),"")</f>
        <v/>
      </c>
      <c r="AE93" s="20" t="str">
        <f>IF(OR(LEFT($I93)="e",LEFT($I93)="g"),AE$1-LEN(S93),"")</f>
        <v/>
      </c>
      <c r="AF93" s="20" t="str">
        <f>IF(OR(LEFT($I93)="e",LEFT($I93)="g"),AF$1-LEN(T93),"")</f>
        <v/>
      </c>
      <c r="AG93" s="20" t="str">
        <f>IF(OR(LEFT($I93)="e",LEFT($I93)="g"),AG$1-LEN(U93),"")</f>
        <v/>
      </c>
      <c r="AH93" s="20" t="str">
        <f>IF(OR(LEFT($I93)="e",LEFT($I93)="g"),AH$1-LEN(V93),"")</f>
        <v/>
      </c>
      <c r="AI93" s="2" t="str">
        <f>IF(ISNUMBER(E93),"0"&amp;LEFT(D93,2)&amp;TEXT(E93,"#.0000"),E93)</f>
        <v>x</v>
      </c>
    </row>
    <row r="94" spans="1:35" x14ac:dyDescent="0.3">
      <c r="A94" s="6" t="str">
        <f>IF(T94&lt;&gt;U94,"&lt;FIND TYPE=ASC&gt;"&amp;R94&amp;"&lt;/FIND&gt;&lt;REPLACE TYPE=ASC&gt;"&amp;S94&amp;"&lt;/REPLACE&gt;"&amp;CHAR(10)&amp;"&lt;FIND TYPE=ASC&gt;"&amp;T94&amp;"&lt;/FIND&gt;&lt;REPLACE TYPE=ASC&gt;"&amp;U94&amp;"&lt;/REPLACE&gt;"&amp;CHAR(10)&amp;"&lt;FIND TYPE=ASC&gt;"&amp;C94&amp;"&lt;/FIND&gt;&lt;REPLACE TYPE=ASC&gt;"&amp;D94&amp;"&lt;/REPLACE&gt;",".")</f>
        <v>.</v>
      </c>
      <c r="B94" s="14" t="s">
        <v>165</v>
      </c>
      <c r="C94" s="28" t="s">
        <v>151</v>
      </c>
      <c r="D94" s="2" t="s">
        <v>151</v>
      </c>
      <c r="E94" s="2" t="s">
        <v>164</v>
      </c>
      <c r="R94" s="17" t="str">
        <f>UPPER(B94&amp;"."&amp;C94)</f>
        <v>;.DIR</v>
      </c>
      <c r="S94" s="9" t="str">
        <f>UPPER(C94&amp;"."&amp;D94)</f>
        <v>DIR.DIR</v>
      </c>
      <c r="T94" s="17" t="str">
        <f>SUBSTITUTE(C94,"_","")</f>
        <v>DIR</v>
      </c>
      <c r="U94" s="9" t="str">
        <f>SUBSTITUTE(D94,"_","")&amp;IF(RIGHT(I94)="u","U","")</f>
        <v>DIR</v>
      </c>
      <c r="V94" s="9" t="str">
        <f>IF(ISNUMBER(K94),K94,"$(P):"&amp;$S$1&amp;":"&amp;K94)</f>
        <v>$(P):RSCN:</v>
      </c>
      <c r="W94" s="9" t="str">
        <f>IF(ISNUMBER(L94),L94,"$(P):"&amp;$S$1&amp;":"&amp;L94)</f>
        <v>$(P):RSCN:</v>
      </c>
      <c r="X94" s="9" t="str">
        <f>IF(LEFT(I94)="g",IF(H94="real",y_pmacRascanGSVar,IF(H94="int",y_pmacRascanGSVar,"")),"")</f>
        <v/>
      </c>
      <c r="Y94" s="9" t="str">
        <f>SUBSTITUTE(SUBSTITUTE(SUBSTITUTE(SUBSTITUTE(SUBSTITUTE(SUBSTITUTE(SUBSTITUTE(X94,"~PVNAME",S94),"~EGU",J94),"~PREC",P94),"~VAR",E94),"~CANGET",V94),"~CANSET",W94),"~DESC",LEFT(G94,40))</f>
        <v/>
      </c>
      <c r="Z94" s="32" t="str">
        <f>IF(ISNUMBER($F94),SUBSTITUTE(SUBSTITUTE(SUBSTITUTE(SUBSTITUTE(SUBSTITUTE(SUBSTITUTE(SUBSTITUTE(SUBSTITUTE(y_QLabel &amp; y_QELabel &amp; IF($I94="gsu",y_QELineEdit,""),"~PVNAME",$S94),"~EGU",$J94),"~PREC",$P94),"~VAR",$E94),"~CANGET",$V94),"~CANSET",$W94),"~ROW",$F94),"~NAME",$D94),"")</f>
        <v/>
      </c>
      <c r="AA94" s="9" t="e">
        <f>VLOOKUP(H94,y_EPICS_Formats,2,FALSE)</f>
        <v>#N/A</v>
      </c>
      <c r="AB94" s="9" t="str">
        <f>IF(LEFT(I94)="g",y_Prefix&amp;S94&amp;" = ","")</f>
        <v/>
      </c>
      <c r="AC94" s="9" t="str">
        <f>IFERROR(";"&amp;G94&amp;"["&amp;J94&amp;"]"&amp;I94&amp;CHAR(10)&amp;B94 &amp;CHAR(9)&amp;U94&amp;CHAR(9)&amp;E94 &amp;CHAR(9),";;Error!")</f>
        <v xml:space="preserve">;[]
;	DIR	x	</v>
      </c>
      <c r="AD94" s="9" t="str">
        <f>IF(IFERROR(Q94&gt;0,FALSE),SUBSTITUTE(SUBSTITUTE(SUBSTITUTE(y_archiverXML,"~PVNAME",S94&amp;IF(LEN(X94)&lt;1,"",":RBV")),"~PREFIX",y_Prefix),"~PERIOD",Q94),"")</f>
        <v/>
      </c>
      <c r="AE94" s="20" t="str">
        <f>IF(OR(LEFT($I94)="e",LEFT($I94)="g"),AE$1-LEN(S94),"")</f>
        <v/>
      </c>
      <c r="AF94" s="20" t="str">
        <f>IF(OR(LEFT($I94)="e",LEFT($I94)="g"),AF$1-LEN(T94),"")</f>
        <v/>
      </c>
      <c r="AG94" s="20" t="str">
        <f>IF(OR(LEFT($I94)="e",LEFT($I94)="g"),AG$1-LEN(U94),"")</f>
        <v/>
      </c>
      <c r="AH94" s="20" t="str">
        <f>IF(OR(LEFT($I94)="e",LEFT($I94)="g"),AH$1-LEN(V94),"")</f>
        <v/>
      </c>
      <c r="AI94" s="2" t="str">
        <f>IF(ISNUMBER(E94),"0"&amp;LEFT(D94,2)&amp;TEXT(E94,"#.0000"),E94)</f>
        <v>x</v>
      </c>
    </row>
    <row r="95" spans="1:35" x14ac:dyDescent="0.3">
      <c r="A95" s="6" t="str">
        <f>IF(T95&lt;&gt;U95,"&lt;FIND TYPE=ASC&gt;"&amp;R95&amp;"&lt;/FIND&gt;&lt;REPLACE TYPE=ASC&gt;"&amp;S95&amp;"&lt;/REPLACE&gt;"&amp;CHAR(10)&amp;"&lt;FIND TYPE=ASC&gt;"&amp;T95&amp;"&lt;/FIND&gt;&lt;REPLACE TYPE=ASC&gt;"&amp;U95&amp;"&lt;/REPLACE&gt;"&amp;CHAR(10)&amp;"&lt;FIND TYPE=ASC&gt;"&amp;C95&amp;"&lt;/FIND&gt;&lt;REPLACE TYPE=ASC&gt;"&amp;D95&amp;"&lt;/REPLACE&gt;",".")</f>
        <v>.</v>
      </c>
      <c r="B95" s="14" t="s">
        <v>165</v>
      </c>
      <c r="C95" s="28" t="s">
        <v>151</v>
      </c>
      <c r="D95" s="2" t="s">
        <v>151</v>
      </c>
      <c r="E95" s="2" t="s">
        <v>164</v>
      </c>
      <c r="R95" s="17" t="str">
        <f>UPPER(B95&amp;"."&amp;C95)</f>
        <v>;.DIR</v>
      </c>
      <c r="S95" s="9" t="str">
        <f>UPPER(C95&amp;"."&amp;D95)</f>
        <v>DIR.DIR</v>
      </c>
      <c r="T95" s="17" t="str">
        <f>SUBSTITUTE(C95,"_","")</f>
        <v>DIR</v>
      </c>
      <c r="U95" s="9" t="str">
        <f>SUBSTITUTE(D95,"_","")&amp;IF(RIGHT(I95)="u","U","")</f>
        <v>DIR</v>
      </c>
      <c r="V95" s="9" t="str">
        <f>IF(ISNUMBER(K95),K95,"$(P):"&amp;$S$1&amp;":"&amp;K95)</f>
        <v>$(P):RSCN:</v>
      </c>
      <c r="W95" s="9" t="str">
        <f>IF(ISNUMBER(L95),L95,"$(P):"&amp;$S$1&amp;":"&amp;L95)</f>
        <v>$(P):RSCN:</v>
      </c>
      <c r="X95" s="9" t="str">
        <f>IF(LEFT(I95)="g",IF(H95="real",y_pmacRascanGSVar,IF(H95="int",y_pmacRascanGSVar,"")),"")</f>
        <v/>
      </c>
      <c r="Y95" s="9" t="str">
        <f>SUBSTITUTE(SUBSTITUTE(SUBSTITUTE(SUBSTITUTE(SUBSTITUTE(SUBSTITUTE(SUBSTITUTE(X95,"~PVNAME",S95),"~EGU",J95),"~PREC",P95),"~VAR",E95),"~CANGET",V95),"~CANSET",W95),"~DESC",LEFT(G95,40))</f>
        <v/>
      </c>
      <c r="Z95" s="32" t="str">
        <f>IF(ISNUMBER($F95),SUBSTITUTE(SUBSTITUTE(SUBSTITUTE(SUBSTITUTE(SUBSTITUTE(SUBSTITUTE(SUBSTITUTE(SUBSTITUTE(y_QLabel &amp; y_QELabel &amp; IF($I95="gsu",y_QELineEdit,""),"~PVNAME",$S95),"~EGU",$J95),"~PREC",$P95),"~VAR",$E95),"~CANGET",$V95),"~CANSET",$W95),"~ROW",$F95),"~NAME",$D95),"")</f>
        <v/>
      </c>
      <c r="AA95" s="9" t="e">
        <f>VLOOKUP(H95,y_EPICS_Formats,2,FALSE)</f>
        <v>#N/A</v>
      </c>
      <c r="AB95" s="9" t="str">
        <f>IF(LEFT(I95)="g",y_Prefix&amp;S95&amp;" = ","")</f>
        <v/>
      </c>
      <c r="AC95" s="9" t="str">
        <f>IFERROR(";"&amp;G95&amp;"["&amp;J95&amp;"]"&amp;I95&amp;CHAR(10)&amp;B95 &amp;CHAR(9)&amp;U95&amp;CHAR(9)&amp;E95 &amp;CHAR(9),";;Error!")</f>
        <v xml:space="preserve">;[]
;	DIR	x	</v>
      </c>
      <c r="AD95" s="9" t="str">
        <f>IF(IFERROR(Q95&gt;0,FALSE),SUBSTITUTE(SUBSTITUTE(SUBSTITUTE(y_archiverXML,"~PVNAME",S95&amp;IF(LEN(X95)&lt;1,"",":RBV")),"~PREFIX",y_Prefix),"~PERIOD",Q95),"")</f>
        <v/>
      </c>
      <c r="AE95" s="20" t="str">
        <f>IF(OR(LEFT($I95)="e",LEFT($I95)="g"),AE$1-LEN(S95),"")</f>
        <v/>
      </c>
      <c r="AF95" s="20" t="str">
        <f>IF(OR(LEFT($I95)="e",LEFT($I95)="g"),AF$1-LEN(T95),"")</f>
        <v/>
      </c>
      <c r="AG95" s="20" t="str">
        <f>IF(OR(LEFT($I95)="e",LEFT($I95)="g"),AG$1-LEN(U95),"")</f>
        <v/>
      </c>
      <c r="AH95" s="20" t="str">
        <f>IF(OR(LEFT($I95)="e",LEFT($I95)="g"),AH$1-LEN(V95),"")</f>
        <v/>
      </c>
      <c r="AI95" s="2" t="str">
        <f>IF(ISNUMBER(E95),"0"&amp;LEFT(D95,2)&amp;TEXT(E95,"#.0000"),E95)</f>
        <v>x</v>
      </c>
    </row>
    <row r="96" spans="1:35" x14ac:dyDescent="0.3">
      <c r="A96" s="6" t="str">
        <f>IF(T96&lt;&gt;U96,"&lt;FIND TYPE=ASC&gt;"&amp;R96&amp;"&lt;/FIND&gt;&lt;REPLACE TYPE=ASC&gt;"&amp;S96&amp;"&lt;/REPLACE&gt;"&amp;CHAR(10)&amp;"&lt;FIND TYPE=ASC&gt;"&amp;T96&amp;"&lt;/FIND&gt;&lt;REPLACE TYPE=ASC&gt;"&amp;U96&amp;"&lt;/REPLACE&gt;"&amp;CHAR(10)&amp;"&lt;FIND TYPE=ASC&gt;"&amp;C96&amp;"&lt;/FIND&gt;&lt;REPLACE TYPE=ASC&gt;"&amp;D96&amp;"&lt;/REPLACE&gt;",".")</f>
        <v>.</v>
      </c>
      <c r="B96" s="14" t="s">
        <v>165</v>
      </c>
      <c r="C96" s="28" t="s">
        <v>544</v>
      </c>
      <c r="D96" s="2" t="s">
        <v>544</v>
      </c>
      <c r="E96" s="2" t="s">
        <v>164</v>
      </c>
      <c r="Q96" s="2">
        <v>30</v>
      </c>
      <c r="R96" s="17" t="str">
        <f>UPPER(B96&amp;"."&amp;C96)</f>
        <v>;.HLMM</v>
      </c>
      <c r="S96" s="9" t="str">
        <f>UPPER(C96&amp;"."&amp;D96)</f>
        <v>HLMM.HLMM</v>
      </c>
      <c r="T96" s="17" t="str">
        <f>SUBSTITUTE(C96,"_","")</f>
        <v>HLMM</v>
      </c>
      <c r="U96" s="9" t="str">
        <f>SUBSTITUTE(D96,"_","")&amp;IF(RIGHT(I96)="u","U","")</f>
        <v>HLMM</v>
      </c>
      <c r="V96" s="9" t="str">
        <f>IF(ISNUMBER(K96),K96,"$(P):"&amp;$S$1&amp;":"&amp;K96)</f>
        <v>$(P):RSCN:</v>
      </c>
      <c r="W96" s="9" t="str">
        <f>IF(ISNUMBER(L96),L96,"$(P):"&amp;$S$1&amp;":"&amp;L96)</f>
        <v>$(P):RSCN:</v>
      </c>
      <c r="X96" s="9" t="str">
        <f>IF(LEFT(I96)="g",IF(H96="real",y_pmacRascanGSVar,IF(H96="int",y_pmacRascanGSVar,"")),"")</f>
        <v/>
      </c>
      <c r="Y96" s="9" t="str">
        <f>SUBSTITUTE(SUBSTITUTE(SUBSTITUTE(SUBSTITUTE(SUBSTITUTE(SUBSTITUTE(SUBSTITUTE(X96,"~PVNAME",S96),"~EGU",J96),"~PREC",P96),"~VAR",E96),"~CANGET",V96),"~CANSET",W96),"~DESC",LEFT(G96,40))</f>
        <v/>
      </c>
      <c r="Z96" s="32" t="str">
        <f>IF(ISNUMBER($F96),SUBSTITUTE(SUBSTITUTE(SUBSTITUTE(SUBSTITUTE(SUBSTITUTE(SUBSTITUTE(SUBSTITUTE(SUBSTITUTE(y_QLabel &amp; y_QELabel &amp; IF($I96="gsu",y_QELineEdit,""),"~PVNAME",$S96),"~EGU",$J96),"~PREC",$P96),"~VAR",$E96),"~CANGET",$V96),"~CANSET",$W96),"~ROW",$F96),"~NAME",$D96),"")</f>
        <v/>
      </c>
      <c r="AA96" s="9" t="e">
        <f>VLOOKUP(H96,y_EPICS_Formats,2,FALSE)</f>
        <v>#N/A</v>
      </c>
      <c r="AB96" s="9" t="str">
        <f>IF(LEFT(I96)="g",y_Prefix&amp;S96&amp;" = ","")</f>
        <v/>
      </c>
      <c r="AC96" s="9" t="str">
        <f>IFERROR(";"&amp;G96&amp;"["&amp;J96&amp;"]"&amp;I96&amp;CHAR(10)&amp;B96 &amp;CHAR(9)&amp;U96&amp;CHAR(9)&amp;E96 &amp;CHAR(9),";;Error!")</f>
        <v xml:space="preserve">;[]
;	HLMM	x	</v>
      </c>
      <c r="AD96" s="9" t="str">
        <f>IF(IFERROR(Q96&gt;0,FALSE),SUBSTITUTE(SUBSTITUTE(SUBSTITUTE(y_archiverXML,"~PVNAME",S96&amp;IF(LEN(X96)&lt;1,"",":RBV")),"~PREFIX",y_Prefix),"~PERIOD",Q96),"")</f>
        <v xml:space="preserve">      &lt;channel&gt;
         &lt;name&gt;SR05ID01FST01:HLMM.HLMM&lt;/name&gt;
         &lt;period&gt;30&lt;/period&gt;
         &lt;monitor/&gt;
      &lt;/channel&gt;</v>
      </c>
      <c r="AE96" s="20" t="str">
        <f>IF(OR(LEFT($I96)="e",LEFT($I96)="g"),AE$1-LEN(S96),"")</f>
        <v/>
      </c>
      <c r="AF96" s="20" t="str">
        <f>IF(OR(LEFT($I96)="e",LEFT($I96)="g"),AF$1-LEN(T96),"")</f>
        <v/>
      </c>
      <c r="AG96" s="20" t="str">
        <f>IF(OR(LEFT($I96)="e",LEFT($I96)="g"),AG$1-LEN(U96),"")</f>
        <v/>
      </c>
      <c r="AH96" s="20" t="str">
        <f>IF(OR(LEFT($I96)="e",LEFT($I96)="g"),AH$1-LEN(V96),"")</f>
        <v/>
      </c>
      <c r="AI96" s="2" t="str">
        <f>IF(ISNUMBER(E96),"0"&amp;LEFT(D96,2)&amp;TEXT(E96,"#.0000"),E96)</f>
        <v>x</v>
      </c>
    </row>
    <row r="97" spans="1:35" x14ac:dyDescent="0.3">
      <c r="A97" s="6" t="str">
        <f>IF(T97&lt;&gt;U97,"&lt;FIND TYPE=ASC&gt;"&amp;R97&amp;"&lt;/FIND&gt;&lt;REPLACE TYPE=ASC&gt;"&amp;S97&amp;"&lt;/REPLACE&gt;"&amp;CHAR(10)&amp;"&lt;FIND TYPE=ASC&gt;"&amp;T97&amp;"&lt;/FIND&gt;&lt;REPLACE TYPE=ASC&gt;"&amp;U97&amp;"&lt;/REPLACE&gt;"&amp;CHAR(10)&amp;"&lt;FIND TYPE=ASC&gt;"&amp;C97&amp;"&lt;/FIND&gt;&lt;REPLACE TYPE=ASC&gt;"&amp;D97&amp;"&lt;/REPLACE&gt;",".")</f>
        <v>.</v>
      </c>
      <c r="B97" s="14" t="s">
        <v>165</v>
      </c>
      <c r="C97" s="28" t="s">
        <v>544</v>
      </c>
      <c r="D97" s="2" t="s">
        <v>544</v>
      </c>
      <c r="E97" s="2" t="s">
        <v>164</v>
      </c>
      <c r="Q97" s="2">
        <v>30</v>
      </c>
      <c r="R97" s="17" t="str">
        <f>UPPER(B97&amp;"."&amp;C97)</f>
        <v>;.HLMM</v>
      </c>
      <c r="S97" s="9" t="str">
        <f>UPPER(C97&amp;"."&amp;D97)</f>
        <v>HLMM.HLMM</v>
      </c>
      <c r="T97" s="17" t="str">
        <f>SUBSTITUTE(C97,"_","")</f>
        <v>HLMM</v>
      </c>
      <c r="U97" s="9" t="str">
        <f>SUBSTITUTE(D97,"_","")&amp;IF(RIGHT(I97)="u","U","")</f>
        <v>HLMM</v>
      </c>
      <c r="V97" s="9" t="str">
        <f>IF(ISNUMBER(K97),K97,"$(P):"&amp;$S$1&amp;":"&amp;K97)</f>
        <v>$(P):RSCN:</v>
      </c>
      <c r="W97" s="9" t="str">
        <f>IF(ISNUMBER(L97),L97,"$(P):"&amp;$S$1&amp;":"&amp;L97)</f>
        <v>$(P):RSCN:</v>
      </c>
      <c r="X97" s="9" t="str">
        <f>IF(LEFT(I97)="g",IF(H97="real",y_pmacRascanGSVar,IF(H97="int",y_pmacRascanGSVar,"")),"")</f>
        <v/>
      </c>
      <c r="Y97" s="9" t="str">
        <f>SUBSTITUTE(SUBSTITUTE(SUBSTITUTE(SUBSTITUTE(SUBSTITUTE(SUBSTITUTE(SUBSTITUTE(X97,"~PVNAME",S97),"~EGU",J97),"~PREC",P97),"~VAR",E97),"~CANGET",V97),"~CANSET",W97),"~DESC",LEFT(G97,40))</f>
        <v/>
      </c>
      <c r="Z97" s="32" t="str">
        <f>IF(ISNUMBER($F97),SUBSTITUTE(SUBSTITUTE(SUBSTITUTE(SUBSTITUTE(SUBSTITUTE(SUBSTITUTE(SUBSTITUTE(SUBSTITUTE(y_QLabel &amp; y_QELabel &amp; IF($I97="gsu",y_QELineEdit,""),"~PVNAME",$S97),"~EGU",$J97),"~PREC",$P97),"~VAR",$E97),"~CANGET",$V97),"~CANSET",$W97),"~ROW",$F97),"~NAME",$D97),"")</f>
        <v/>
      </c>
      <c r="AA97" s="9" t="e">
        <f>VLOOKUP(H97,y_EPICS_Formats,2,FALSE)</f>
        <v>#N/A</v>
      </c>
      <c r="AB97" s="9" t="str">
        <f>IF(LEFT(I97)="g",y_Prefix&amp;S97&amp;" = ","")</f>
        <v/>
      </c>
      <c r="AC97" s="9" t="str">
        <f>IFERROR(";"&amp;G97&amp;"["&amp;J97&amp;"]"&amp;I97&amp;CHAR(10)&amp;B97 &amp;CHAR(9)&amp;U97&amp;CHAR(9)&amp;E97 &amp;CHAR(9),";;Error!")</f>
        <v xml:space="preserve">;[]
;	HLMM	x	</v>
      </c>
      <c r="AD97" s="9" t="str">
        <f>IF(IFERROR(Q97&gt;0,FALSE),SUBSTITUTE(SUBSTITUTE(SUBSTITUTE(y_archiverXML,"~PVNAME",S97&amp;IF(LEN(X97)&lt;1,"",":RBV")),"~PREFIX",y_Prefix),"~PERIOD",Q97),"")</f>
        <v xml:space="preserve">      &lt;channel&gt;
         &lt;name&gt;SR05ID01FST01:HLMM.HLMM&lt;/name&gt;
         &lt;period&gt;30&lt;/period&gt;
         &lt;monitor/&gt;
      &lt;/channel&gt;</v>
      </c>
      <c r="AE97" s="20" t="str">
        <f>IF(OR(LEFT($I97)="e",LEFT($I97)="g"),AE$1-LEN(S97),"")</f>
        <v/>
      </c>
      <c r="AF97" s="20" t="str">
        <f>IF(OR(LEFT($I97)="e",LEFT($I97)="g"),AF$1-LEN(T97),"")</f>
        <v/>
      </c>
      <c r="AG97" s="20" t="str">
        <f>IF(OR(LEFT($I97)="e",LEFT($I97)="g"),AG$1-LEN(U97),"")</f>
        <v/>
      </c>
      <c r="AH97" s="20" t="str">
        <f>IF(OR(LEFT($I97)="e",LEFT($I97)="g"),AH$1-LEN(V97),"")</f>
        <v/>
      </c>
      <c r="AI97" s="2" t="str">
        <f>IF(ISNUMBER(E97),"0"&amp;LEFT(D97,2)&amp;TEXT(E97,"#.0000"),E97)</f>
        <v>x</v>
      </c>
    </row>
    <row r="98" spans="1:35" x14ac:dyDescent="0.3">
      <c r="A98" s="6" t="str">
        <f>IF(T98&lt;&gt;U98,"&lt;FIND TYPE=ASC&gt;"&amp;R98&amp;"&lt;/FIND&gt;&lt;REPLACE TYPE=ASC&gt;"&amp;S98&amp;"&lt;/REPLACE&gt;"&amp;CHAR(10)&amp;"&lt;FIND TYPE=ASC&gt;"&amp;T98&amp;"&lt;/FIND&gt;&lt;REPLACE TYPE=ASC&gt;"&amp;U98&amp;"&lt;/REPLACE&gt;"&amp;CHAR(10)&amp;"&lt;FIND TYPE=ASC&gt;"&amp;C98&amp;"&lt;/FIND&gt;&lt;REPLACE TYPE=ASC&gt;"&amp;D98&amp;"&lt;/REPLACE&gt;",".")</f>
        <v>.</v>
      </c>
      <c r="B98" s="14" t="s">
        <v>165</v>
      </c>
      <c r="C98" s="28" t="s">
        <v>544</v>
      </c>
      <c r="D98" s="2" t="s">
        <v>544</v>
      </c>
      <c r="E98" s="2" t="s">
        <v>164</v>
      </c>
      <c r="Q98" s="2">
        <v>30</v>
      </c>
      <c r="R98" s="17" t="str">
        <f>UPPER(B98&amp;"."&amp;C98)</f>
        <v>;.HLMM</v>
      </c>
      <c r="S98" s="9" t="str">
        <f>UPPER(C98&amp;"."&amp;D98)</f>
        <v>HLMM.HLMM</v>
      </c>
      <c r="T98" s="17" t="str">
        <f>SUBSTITUTE(C98,"_","")</f>
        <v>HLMM</v>
      </c>
      <c r="U98" s="9" t="str">
        <f>SUBSTITUTE(D98,"_","")&amp;IF(RIGHT(I98)="u","U","")</f>
        <v>HLMM</v>
      </c>
      <c r="V98" s="9" t="str">
        <f>IF(ISNUMBER(K98),K98,"$(P):"&amp;$S$1&amp;":"&amp;K98)</f>
        <v>$(P):RSCN:</v>
      </c>
      <c r="W98" s="9" t="str">
        <f>IF(ISNUMBER(L98),L98,"$(P):"&amp;$S$1&amp;":"&amp;L98)</f>
        <v>$(P):RSCN:</v>
      </c>
      <c r="X98" s="9" t="str">
        <f>IF(LEFT(I98)="g",IF(H98="real",y_pmacRascanGSVar,IF(H98="int",y_pmacRascanGSVar,"")),"")</f>
        <v/>
      </c>
      <c r="Y98" s="9" t="str">
        <f>SUBSTITUTE(SUBSTITUTE(SUBSTITUTE(SUBSTITUTE(SUBSTITUTE(SUBSTITUTE(SUBSTITUTE(X98,"~PVNAME",S98),"~EGU",J98),"~PREC",P98),"~VAR",E98),"~CANGET",V98),"~CANSET",W98),"~DESC",LEFT(G98,40))</f>
        <v/>
      </c>
      <c r="Z98" s="32" t="str">
        <f>IF(ISNUMBER($F98),SUBSTITUTE(SUBSTITUTE(SUBSTITUTE(SUBSTITUTE(SUBSTITUTE(SUBSTITUTE(SUBSTITUTE(SUBSTITUTE(y_QLabel &amp; y_QELabel &amp; IF($I98="gsu",y_QELineEdit,""),"~PVNAME",$S98),"~EGU",$J98),"~PREC",$P98),"~VAR",$E98),"~CANGET",$V98),"~CANSET",$W98),"~ROW",$F98),"~NAME",$D98),"")</f>
        <v/>
      </c>
      <c r="AA98" s="9" t="e">
        <f>VLOOKUP(H98,y_EPICS_Formats,2,FALSE)</f>
        <v>#N/A</v>
      </c>
      <c r="AB98" s="9" t="str">
        <f>IF(LEFT(I98)="g",y_Prefix&amp;S98&amp;" = ","")</f>
        <v/>
      </c>
      <c r="AC98" s="9" t="str">
        <f>IFERROR(";"&amp;G98&amp;"["&amp;J98&amp;"]"&amp;I98&amp;CHAR(10)&amp;B98 &amp;CHAR(9)&amp;U98&amp;CHAR(9)&amp;E98 &amp;CHAR(9),";;Error!")</f>
        <v xml:space="preserve">;[]
;	HLMM	x	</v>
      </c>
      <c r="AD98" s="9" t="str">
        <f>IF(IFERROR(Q98&gt;0,FALSE),SUBSTITUTE(SUBSTITUTE(SUBSTITUTE(y_archiverXML,"~PVNAME",S98&amp;IF(LEN(X98)&lt;1,"",":RBV")),"~PREFIX",y_Prefix),"~PERIOD",Q98),"")</f>
        <v xml:space="preserve">      &lt;channel&gt;
         &lt;name&gt;SR05ID01FST01:HLMM.HLMM&lt;/name&gt;
         &lt;period&gt;30&lt;/period&gt;
         &lt;monitor/&gt;
      &lt;/channel&gt;</v>
      </c>
      <c r="AE98" s="20" t="str">
        <f>IF(OR(LEFT($I98)="e",LEFT($I98)="g"),AE$1-LEN(S98),"")</f>
        <v/>
      </c>
      <c r="AF98" s="20" t="str">
        <f>IF(OR(LEFT($I98)="e",LEFT($I98)="g"),AF$1-LEN(T98),"")</f>
        <v/>
      </c>
      <c r="AG98" s="20" t="str">
        <f>IF(OR(LEFT($I98)="e",LEFT($I98)="g"),AG$1-LEN(U98),"")</f>
        <v/>
      </c>
      <c r="AH98" s="20" t="str">
        <f>IF(OR(LEFT($I98)="e",LEFT($I98)="g"),AH$1-LEN(V98),"")</f>
        <v/>
      </c>
      <c r="AI98" s="2" t="str">
        <f>IF(ISNUMBER(E98),"0"&amp;LEFT(D98,2)&amp;TEXT(E98,"#.0000"),E98)</f>
        <v>x</v>
      </c>
    </row>
    <row r="99" spans="1:35" x14ac:dyDescent="0.3">
      <c r="A99" s="6" t="str">
        <f>IF(T99&lt;&gt;U99,"&lt;FIND TYPE=ASC&gt;"&amp;R99&amp;"&lt;/FIND&gt;&lt;REPLACE TYPE=ASC&gt;"&amp;S99&amp;"&lt;/REPLACE&gt;"&amp;CHAR(10)&amp;"&lt;FIND TYPE=ASC&gt;"&amp;T99&amp;"&lt;/FIND&gt;&lt;REPLACE TYPE=ASC&gt;"&amp;U99&amp;"&lt;/REPLACE&gt;"&amp;CHAR(10)&amp;"&lt;FIND TYPE=ASC&gt;"&amp;C99&amp;"&lt;/FIND&gt;&lt;REPLACE TYPE=ASC&gt;"&amp;D99&amp;"&lt;/REPLACE&gt;",".")</f>
        <v>.</v>
      </c>
      <c r="B99" s="14" t="s">
        <v>165</v>
      </c>
      <c r="C99" s="28" t="s">
        <v>544</v>
      </c>
      <c r="D99" s="2" t="s">
        <v>544</v>
      </c>
      <c r="E99" s="2" t="s">
        <v>164</v>
      </c>
      <c r="Q99" s="2">
        <v>30</v>
      </c>
      <c r="R99" s="17" t="str">
        <f>UPPER(B99&amp;"."&amp;C99)</f>
        <v>;.HLMM</v>
      </c>
      <c r="S99" s="9" t="str">
        <f>UPPER(C99&amp;"."&amp;D99)</f>
        <v>HLMM.HLMM</v>
      </c>
      <c r="T99" s="17" t="str">
        <f>SUBSTITUTE(C99,"_","")</f>
        <v>HLMM</v>
      </c>
      <c r="U99" s="9" t="str">
        <f>SUBSTITUTE(D99,"_","")&amp;IF(RIGHT(I99)="u","U","")</f>
        <v>HLMM</v>
      </c>
      <c r="V99" s="9" t="str">
        <f>IF(ISNUMBER(K99),K99,"$(P):"&amp;$S$1&amp;":"&amp;K99)</f>
        <v>$(P):RSCN:</v>
      </c>
      <c r="W99" s="9" t="str">
        <f>IF(ISNUMBER(L99),L99,"$(P):"&amp;$S$1&amp;":"&amp;L99)</f>
        <v>$(P):RSCN:</v>
      </c>
      <c r="X99" s="9" t="str">
        <f>IF(LEFT(I99)="g",IF(H99="real",y_pmacRascanGSVar,IF(H99="int",y_pmacRascanGSVar,"")),"")</f>
        <v/>
      </c>
      <c r="Y99" s="9" t="str">
        <f>SUBSTITUTE(SUBSTITUTE(SUBSTITUTE(SUBSTITUTE(SUBSTITUTE(SUBSTITUTE(SUBSTITUTE(X99,"~PVNAME",S99),"~EGU",J99),"~PREC",P99),"~VAR",E99),"~CANGET",V99),"~CANSET",W99),"~DESC",LEFT(G99,40))</f>
        <v/>
      </c>
      <c r="Z99" s="32" t="str">
        <f>IF(ISNUMBER($F99),SUBSTITUTE(SUBSTITUTE(SUBSTITUTE(SUBSTITUTE(SUBSTITUTE(SUBSTITUTE(SUBSTITUTE(SUBSTITUTE(y_QLabel &amp; y_QELabel &amp; IF($I99="gsu",y_QELineEdit,""),"~PVNAME",$S99),"~EGU",$J99),"~PREC",$P99),"~VAR",$E99),"~CANGET",$V99),"~CANSET",$W99),"~ROW",$F99),"~NAME",$D99),"")</f>
        <v/>
      </c>
      <c r="AA99" s="9" t="e">
        <f>VLOOKUP(H99,y_EPICS_Formats,2,FALSE)</f>
        <v>#N/A</v>
      </c>
      <c r="AB99" s="9" t="str">
        <f>IF(LEFT(I99)="g",y_Prefix&amp;S99&amp;" = ","")</f>
        <v/>
      </c>
      <c r="AC99" s="9" t="str">
        <f>IFERROR(";"&amp;G99&amp;"["&amp;J99&amp;"]"&amp;I99&amp;CHAR(10)&amp;B99 &amp;CHAR(9)&amp;U99&amp;CHAR(9)&amp;E99 &amp;CHAR(9),";;Error!")</f>
        <v xml:space="preserve">;[]
;	HLMM	x	</v>
      </c>
      <c r="AD99" s="9" t="str">
        <f>IF(IFERROR(Q99&gt;0,FALSE),SUBSTITUTE(SUBSTITUTE(SUBSTITUTE(y_archiverXML,"~PVNAME",S99&amp;IF(LEN(X99)&lt;1,"",":RBV")),"~PREFIX",y_Prefix),"~PERIOD",Q99),"")</f>
        <v xml:space="preserve">      &lt;channel&gt;
         &lt;name&gt;SR05ID01FST01:HLMM.HLMM&lt;/name&gt;
         &lt;period&gt;30&lt;/period&gt;
         &lt;monitor/&gt;
      &lt;/channel&gt;</v>
      </c>
      <c r="AE99" s="20" t="str">
        <f>IF(OR(LEFT($I99)="e",LEFT($I99)="g"),AE$1-LEN(S99),"")</f>
        <v/>
      </c>
      <c r="AF99" s="20" t="str">
        <f>IF(OR(LEFT($I99)="e",LEFT($I99)="g"),AF$1-LEN(T99),"")</f>
        <v/>
      </c>
      <c r="AG99" s="20" t="str">
        <f>IF(OR(LEFT($I99)="e",LEFT($I99)="g"),AG$1-LEN(U99),"")</f>
        <v/>
      </c>
      <c r="AH99" s="20" t="str">
        <f>IF(OR(LEFT($I99)="e",LEFT($I99)="g"),AH$1-LEN(V99),"")</f>
        <v/>
      </c>
      <c r="AI99" s="2" t="str">
        <f>IF(ISNUMBER(E99),"0"&amp;LEFT(D99,2)&amp;TEXT(E99,"#.0000"),E99)</f>
        <v>x</v>
      </c>
    </row>
    <row r="100" spans="1:35" x14ac:dyDescent="0.3">
      <c r="A100" s="6" t="str">
        <f>IF(T100&lt;&gt;U100,"&lt;FIND TYPE=ASC&gt;"&amp;R100&amp;"&lt;/FIND&gt;&lt;REPLACE TYPE=ASC&gt;"&amp;S100&amp;"&lt;/REPLACE&gt;"&amp;CHAR(10)&amp;"&lt;FIND TYPE=ASC&gt;"&amp;T100&amp;"&lt;/FIND&gt;&lt;REPLACE TYPE=ASC&gt;"&amp;U100&amp;"&lt;/REPLACE&gt;"&amp;CHAR(10)&amp;"&lt;FIND TYPE=ASC&gt;"&amp;C100&amp;"&lt;/FIND&gt;&lt;REPLACE TYPE=ASC&gt;"&amp;D100&amp;"&lt;/REPLACE&gt;",".")</f>
        <v>.</v>
      </c>
      <c r="B100" s="14" t="s">
        <v>165</v>
      </c>
      <c r="C100" s="28" t="s">
        <v>543</v>
      </c>
      <c r="D100" s="2" t="s">
        <v>543</v>
      </c>
      <c r="E100" s="2" t="s">
        <v>164</v>
      </c>
      <c r="Q100" s="2">
        <v>30</v>
      </c>
      <c r="R100" s="17" t="str">
        <f>UPPER(B100&amp;"."&amp;C100)</f>
        <v>;.LLMM</v>
      </c>
      <c r="S100" s="9" t="str">
        <f>UPPER(C100&amp;"."&amp;D100)</f>
        <v>LLMM.LLMM</v>
      </c>
      <c r="T100" s="17" t="str">
        <f>SUBSTITUTE(C100,"_","")</f>
        <v>LLMM</v>
      </c>
      <c r="U100" s="9" t="str">
        <f>SUBSTITUTE(D100,"_","")&amp;IF(RIGHT(I100)="u","U","")</f>
        <v>LLMM</v>
      </c>
      <c r="V100" s="9" t="str">
        <f>IF(ISNUMBER(K100),K100,"$(P):"&amp;$S$1&amp;":"&amp;K100)</f>
        <v>$(P):RSCN:</v>
      </c>
      <c r="W100" s="9" t="str">
        <f>IF(ISNUMBER(L100),L100,"$(P):"&amp;$S$1&amp;":"&amp;L100)</f>
        <v>$(P):RSCN:</v>
      </c>
      <c r="X100" s="9" t="str">
        <f>IF(LEFT(I100)="g",IF(H100="real",y_pmacRascanGSVar,IF(H100="int",y_pmacRascanGSVar,"")),"")</f>
        <v/>
      </c>
      <c r="Y100" s="9" t="str">
        <f>SUBSTITUTE(SUBSTITUTE(SUBSTITUTE(SUBSTITUTE(SUBSTITUTE(SUBSTITUTE(SUBSTITUTE(X100,"~PVNAME",S100),"~EGU",J100),"~PREC",P100),"~VAR",E100),"~CANGET",V100),"~CANSET",W100),"~DESC",LEFT(G100,40))</f>
        <v/>
      </c>
      <c r="Z100" s="32" t="str">
        <f>IF(ISNUMBER($F100),SUBSTITUTE(SUBSTITUTE(SUBSTITUTE(SUBSTITUTE(SUBSTITUTE(SUBSTITUTE(SUBSTITUTE(SUBSTITUTE(y_QLabel &amp; y_QELabel &amp; IF($I100="gsu",y_QELineEdit,""),"~PVNAME",$S100),"~EGU",$J100),"~PREC",$P100),"~VAR",$E100),"~CANGET",$V100),"~CANSET",$W100),"~ROW",$F100),"~NAME",$D100),"")</f>
        <v/>
      </c>
      <c r="AA100" s="9" t="e">
        <f>VLOOKUP(H100,y_EPICS_Formats,2,FALSE)</f>
        <v>#N/A</v>
      </c>
      <c r="AB100" s="9" t="str">
        <f>IF(LEFT(I100)="g",y_Prefix&amp;S100&amp;" = ","")</f>
        <v/>
      </c>
      <c r="AC100" s="9" t="str">
        <f>IFERROR(";"&amp;G100&amp;"["&amp;J100&amp;"]"&amp;I100&amp;CHAR(10)&amp;B100 &amp;CHAR(9)&amp;U100&amp;CHAR(9)&amp;E100 &amp;CHAR(9),";;Error!")</f>
        <v xml:space="preserve">;[]
;	LLMM	x	</v>
      </c>
      <c r="AD100" s="9" t="str">
        <f>IF(IFERROR(Q100&gt;0,FALSE),SUBSTITUTE(SUBSTITUTE(SUBSTITUTE(y_archiverXML,"~PVNAME",S100&amp;IF(LEN(X100)&lt;1,"",":RBV")),"~PREFIX",y_Prefix),"~PERIOD",Q100),"")</f>
        <v xml:space="preserve">      &lt;channel&gt;
         &lt;name&gt;SR05ID01FST01:LLMM.LLMM&lt;/name&gt;
         &lt;period&gt;30&lt;/period&gt;
         &lt;monitor/&gt;
      &lt;/channel&gt;</v>
      </c>
      <c r="AE100" s="20" t="str">
        <f>IF(OR(LEFT($I100)="e",LEFT($I100)="g"),AE$1-LEN(S100),"")</f>
        <v/>
      </c>
      <c r="AF100" s="20" t="str">
        <f>IF(OR(LEFT($I100)="e",LEFT($I100)="g"),AF$1-LEN(T100),"")</f>
        <v/>
      </c>
      <c r="AG100" s="20" t="str">
        <f>IF(OR(LEFT($I100)="e",LEFT($I100)="g"),AG$1-LEN(U100),"")</f>
        <v/>
      </c>
      <c r="AH100" s="20" t="str">
        <f>IF(OR(LEFT($I100)="e",LEFT($I100)="g"),AH$1-LEN(V100),"")</f>
        <v/>
      </c>
      <c r="AI100" s="2" t="str">
        <f>IF(ISNUMBER(E100),"0"&amp;LEFT(D100,2)&amp;TEXT(E100,"#.0000"),E100)</f>
        <v>x</v>
      </c>
    </row>
    <row r="101" spans="1:35" x14ac:dyDescent="0.3">
      <c r="A101" s="6" t="str">
        <f>IF(T101&lt;&gt;U101,"&lt;FIND TYPE=ASC&gt;"&amp;R101&amp;"&lt;/FIND&gt;&lt;REPLACE TYPE=ASC&gt;"&amp;S101&amp;"&lt;/REPLACE&gt;"&amp;CHAR(10)&amp;"&lt;FIND TYPE=ASC&gt;"&amp;T101&amp;"&lt;/FIND&gt;&lt;REPLACE TYPE=ASC&gt;"&amp;U101&amp;"&lt;/REPLACE&gt;"&amp;CHAR(10)&amp;"&lt;FIND TYPE=ASC&gt;"&amp;C101&amp;"&lt;/FIND&gt;&lt;REPLACE TYPE=ASC&gt;"&amp;D101&amp;"&lt;/REPLACE&gt;",".")</f>
        <v>.</v>
      </c>
      <c r="B101" s="14" t="s">
        <v>165</v>
      </c>
      <c r="C101" s="28" t="s">
        <v>543</v>
      </c>
      <c r="D101" s="2" t="s">
        <v>543</v>
      </c>
      <c r="E101" s="2" t="s">
        <v>164</v>
      </c>
      <c r="Q101" s="2">
        <v>30</v>
      </c>
      <c r="R101" s="17" t="str">
        <f>UPPER(B101&amp;"."&amp;C101)</f>
        <v>;.LLMM</v>
      </c>
      <c r="S101" s="9" t="str">
        <f>UPPER(C101&amp;"."&amp;D101)</f>
        <v>LLMM.LLMM</v>
      </c>
      <c r="T101" s="17" t="str">
        <f>SUBSTITUTE(C101,"_","")</f>
        <v>LLMM</v>
      </c>
      <c r="U101" s="9" t="str">
        <f>SUBSTITUTE(D101,"_","")&amp;IF(RIGHT(I101)="u","U","")</f>
        <v>LLMM</v>
      </c>
      <c r="V101" s="9" t="str">
        <f>IF(ISNUMBER(K101),K101,"$(P):"&amp;$S$1&amp;":"&amp;K101)</f>
        <v>$(P):RSCN:</v>
      </c>
      <c r="W101" s="9" t="str">
        <f>IF(ISNUMBER(L101),L101,"$(P):"&amp;$S$1&amp;":"&amp;L101)</f>
        <v>$(P):RSCN:</v>
      </c>
      <c r="X101" s="9" t="str">
        <f>IF(LEFT(I101)="g",IF(H101="real",y_pmacRascanGSVar,IF(H101="int",y_pmacRascanGSVar,"")),"")</f>
        <v/>
      </c>
      <c r="Y101" s="9" t="str">
        <f>SUBSTITUTE(SUBSTITUTE(SUBSTITUTE(SUBSTITUTE(SUBSTITUTE(SUBSTITUTE(SUBSTITUTE(X101,"~PVNAME",S101),"~EGU",J101),"~PREC",P101),"~VAR",E101),"~CANGET",V101),"~CANSET",W101),"~DESC",LEFT(G101,40))</f>
        <v/>
      </c>
      <c r="Z101" s="32" t="str">
        <f>IF(ISNUMBER($F101),SUBSTITUTE(SUBSTITUTE(SUBSTITUTE(SUBSTITUTE(SUBSTITUTE(SUBSTITUTE(SUBSTITUTE(SUBSTITUTE(y_QLabel &amp; y_QELabel &amp; IF($I101="gsu",y_QELineEdit,""),"~PVNAME",$S101),"~EGU",$J101),"~PREC",$P101),"~VAR",$E101),"~CANGET",$V101),"~CANSET",$W101),"~ROW",$F101),"~NAME",$D101),"")</f>
        <v/>
      </c>
      <c r="AA101" s="9" t="e">
        <f>VLOOKUP(H101,y_EPICS_Formats,2,FALSE)</f>
        <v>#N/A</v>
      </c>
      <c r="AB101" s="9" t="str">
        <f>IF(LEFT(I101)="g",y_Prefix&amp;S101&amp;" = ","")</f>
        <v/>
      </c>
      <c r="AC101" s="9" t="str">
        <f>IFERROR(";"&amp;G101&amp;"["&amp;J101&amp;"]"&amp;I101&amp;CHAR(10)&amp;B101 &amp;CHAR(9)&amp;U101&amp;CHAR(9)&amp;E101 &amp;CHAR(9),";;Error!")</f>
        <v xml:space="preserve">;[]
;	LLMM	x	</v>
      </c>
      <c r="AD101" s="9" t="str">
        <f>IF(IFERROR(Q101&gt;0,FALSE),SUBSTITUTE(SUBSTITUTE(SUBSTITUTE(y_archiverXML,"~PVNAME",S101&amp;IF(LEN(X101)&lt;1,"",":RBV")),"~PREFIX",y_Prefix),"~PERIOD",Q101),"")</f>
        <v xml:space="preserve">      &lt;channel&gt;
         &lt;name&gt;SR05ID01FST01:LLMM.LLMM&lt;/name&gt;
         &lt;period&gt;30&lt;/period&gt;
         &lt;monitor/&gt;
      &lt;/channel&gt;</v>
      </c>
      <c r="AE101" s="20" t="str">
        <f>IF(OR(LEFT($I101)="e",LEFT($I101)="g"),AE$1-LEN(S101),"")</f>
        <v/>
      </c>
      <c r="AF101" s="20" t="str">
        <f>IF(OR(LEFT($I101)="e",LEFT($I101)="g"),AF$1-LEN(T101),"")</f>
        <v/>
      </c>
      <c r="AG101" s="20" t="str">
        <f>IF(OR(LEFT($I101)="e",LEFT($I101)="g"),AG$1-LEN(U101),"")</f>
        <v/>
      </c>
      <c r="AH101" s="20" t="str">
        <f>IF(OR(LEFT($I101)="e",LEFT($I101)="g"),AH$1-LEN(V101),"")</f>
        <v/>
      </c>
      <c r="AI101" s="2" t="str">
        <f>IF(ISNUMBER(E101),"0"&amp;LEFT(D101,2)&amp;TEXT(E101,"#.0000"),E101)</f>
        <v>x</v>
      </c>
    </row>
    <row r="102" spans="1:35" x14ac:dyDescent="0.3">
      <c r="A102" s="6" t="str">
        <f>IF(T102&lt;&gt;U102,"&lt;FIND TYPE=ASC&gt;"&amp;R102&amp;"&lt;/FIND&gt;&lt;REPLACE TYPE=ASC&gt;"&amp;S102&amp;"&lt;/REPLACE&gt;"&amp;CHAR(10)&amp;"&lt;FIND TYPE=ASC&gt;"&amp;T102&amp;"&lt;/FIND&gt;&lt;REPLACE TYPE=ASC&gt;"&amp;U102&amp;"&lt;/REPLACE&gt;"&amp;CHAR(10)&amp;"&lt;FIND TYPE=ASC&gt;"&amp;C102&amp;"&lt;/FIND&gt;&lt;REPLACE TYPE=ASC&gt;"&amp;D102&amp;"&lt;/REPLACE&gt;",".")</f>
        <v>.</v>
      </c>
      <c r="B102" s="14" t="s">
        <v>165</v>
      </c>
      <c r="C102" s="28" t="s">
        <v>543</v>
      </c>
      <c r="D102" s="2" t="s">
        <v>543</v>
      </c>
      <c r="E102" s="2" t="s">
        <v>164</v>
      </c>
      <c r="Q102" s="2">
        <v>30</v>
      </c>
      <c r="R102" s="17" t="str">
        <f>UPPER(B102&amp;"."&amp;C102)</f>
        <v>;.LLMM</v>
      </c>
      <c r="S102" s="9" t="str">
        <f>UPPER(C102&amp;"."&amp;D102)</f>
        <v>LLMM.LLMM</v>
      </c>
      <c r="T102" s="17" t="str">
        <f>SUBSTITUTE(C102,"_","")</f>
        <v>LLMM</v>
      </c>
      <c r="U102" s="9" t="str">
        <f>SUBSTITUTE(D102,"_","")&amp;IF(RIGHT(I102)="u","U","")</f>
        <v>LLMM</v>
      </c>
      <c r="V102" s="9" t="str">
        <f>IF(ISNUMBER(K102),K102,"$(P):"&amp;$S$1&amp;":"&amp;K102)</f>
        <v>$(P):RSCN:</v>
      </c>
      <c r="W102" s="9" t="str">
        <f>IF(ISNUMBER(L102),L102,"$(P):"&amp;$S$1&amp;":"&amp;L102)</f>
        <v>$(P):RSCN:</v>
      </c>
      <c r="X102" s="9" t="str">
        <f>IF(LEFT(I102)="g",IF(H102="real",y_pmacRascanGSVar,IF(H102="int",y_pmacRascanGSVar,"")),"")</f>
        <v/>
      </c>
      <c r="Y102" s="9" t="str">
        <f>SUBSTITUTE(SUBSTITUTE(SUBSTITUTE(SUBSTITUTE(SUBSTITUTE(SUBSTITUTE(SUBSTITUTE(X102,"~PVNAME",S102),"~EGU",J102),"~PREC",P102),"~VAR",E102),"~CANGET",V102),"~CANSET",W102),"~DESC",LEFT(G102,40))</f>
        <v/>
      </c>
      <c r="Z102" s="32" t="str">
        <f>IF(ISNUMBER($F102),SUBSTITUTE(SUBSTITUTE(SUBSTITUTE(SUBSTITUTE(SUBSTITUTE(SUBSTITUTE(SUBSTITUTE(SUBSTITUTE(y_QLabel &amp; y_QELabel &amp; IF($I102="gsu",y_QELineEdit,""),"~PVNAME",$S102),"~EGU",$J102),"~PREC",$P102),"~VAR",$E102),"~CANGET",$V102),"~CANSET",$W102),"~ROW",$F102),"~NAME",$D102),"")</f>
        <v/>
      </c>
      <c r="AA102" s="9" t="e">
        <f>VLOOKUP(H102,y_EPICS_Formats,2,FALSE)</f>
        <v>#N/A</v>
      </c>
      <c r="AB102" s="9" t="str">
        <f>IF(LEFT(I102)="g",y_Prefix&amp;S102&amp;" = ","")</f>
        <v/>
      </c>
      <c r="AC102" s="9" t="str">
        <f>IFERROR(";"&amp;G102&amp;"["&amp;J102&amp;"]"&amp;I102&amp;CHAR(10)&amp;B102 &amp;CHAR(9)&amp;U102&amp;CHAR(9)&amp;E102 &amp;CHAR(9),";;Error!")</f>
        <v xml:space="preserve">;[]
;	LLMM	x	</v>
      </c>
      <c r="AD102" s="9" t="str">
        <f>IF(IFERROR(Q102&gt;0,FALSE),SUBSTITUTE(SUBSTITUTE(SUBSTITUTE(y_archiverXML,"~PVNAME",S102&amp;IF(LEN(X102)&lt;1,"",":RBV")),"~PREFIX",y_Prefix),"~PERIOD",Q102),"")</f>
        <v xml:space="preserve">      &lt;channel&gt;
         &lt;name&gt;SR05ID01FST01:LLMM.LLMM&lt;/name&gt;
         &lt;period&gt;30&lt;/period&gt;
         &lt;monitor/&gt;
      &lt;/channel&gt;</v>
      </c>
      <c r="AE102" s="20" t="str">
        <f>IF(OR(LEFT($I102)="e",LEFT($I102)="g"),AE$1-LEN(S102),"")</f>
        <v/>
      </c>
      <c r="AF102" s="20" t="str">
        <f>IF(OR(LEFT($I102)="e",LEFT($I102)="g"),AF$1-LEN(T102),"")</f>
        <v/>
      </c>
      <c r="AG102" s="20" t="str">
        <f>IF(OR(LEFT($I102)="e",LEFT($I102)="g"),AG$1-LEN(U102),"")</f>
        <v/>
      </c>
      <c r="AH102" s="20" t="str">
        <f>IF(OR(LEFT($I102)="e",LEFT($I102)="g"),AH$1-LEN(V102),"")</f>
        <v/>
      </c>
      <c r="AI102" s="2" t="str">
        <f>IF(ISNUMBER(E102),"0"&amp;LEFT(D102,2)&amp;TEXT(E102,"#.0000"),E102)</f>
        <v>x</v>
      </c>
    </row>
    <row r="103" spans="1:35" x14ac:dyDescent="0.3">
      <c r="A103" s="6" t="str">
        <f>IF(T103&lt;&gt;U103,"&lt;FIND TYPE=ASC&gt;"&amp;R103&amp;"&lt;/FIND&gt;&lt;REPLACE TYPE=ASC&gt;"&amp;S103&amp;"&lt;/REPLACE&gt;"&amp;CHAR(10)&amp;"&lt;FIND TYPE=ASC&gt;"&amp;T103&amp;"&lt;/FIND&gt;&lt;REPLACE TYPE=ASC&gt;"&amp;U103&amp;"&lt;/REPLACE&gt;"&amp;CHAR(10)&amp;"&lt;FIND TYPE=ASC&gt;"&amp;C103&amp;"&lt;/FIND&gt;&lt;REPLACE TYPE=ASC&gt;"&amp;D103&amp;"&lt;/REPLACE&gt;",".")</f>
        <v>.</v>
      </c>
      <c r="B103" s="14" t="s">
        <v>165</v>
      </c>
      <c r="C103" s="28" t="s">
        <v>543</v>
      </c>
      <c r="D103" s="2" t="s">
        <v>543</v>
      </c>
      <c r="E103" s="2" t="s">
        <v>164</v>
      </c>
      <c r="Q103" s="2">
        <v>30</v>
      </c>
      <c r="R103" s="17" t="str">
        <f>UPPER(B103&amp;"."&amp;C103)</f>
        <v>;.LLMM</v>
      </c>
      <c r="S103" s="9" t="str">
        <f>UPPER(C103&amp;"."&amp;D103)</f>
        <v>LLMM.LLMM</v>
      </c>
      <c r="T103" s="17" t="str">
        <f>SUBSTITUTE(C103,"_","")</f>
        <v>LLMM</v>
      </c>
      <c r="U103" s="9" t="str">
        <f>SUBSTITUTE(D103,"_","")&amp;IF(RIGHT(I103)="u","U","")</f>
        <v>LLMM</v>
      </c>
      <c r="V103" s="9" t="str">
        <f>IF(ISNUMBER(K103),K103,"$(P):"&amp;$S$1&amp;":"&amp;K103)</f>
        <v>$(P):RSCN:</v>
      </c>
      <c r="W103" s="9" t="str">
        <f>IF(ISNUMBER(L103),L103,"$(P):"&amp;$S$1&amp;":"&amp;L103)</f>
        <v>$(P):RSCN:</v>
      </c>
      <c r="X103" s="9" t="str">
        <f>IF(LEFT(I103)="g",IF(H103="real",y_pmacRascanGSVar,IF(H103="int",y_pmacRascanGSVar,"")),"")</f>
        <v/>
      </c>
      <c r="Y103" s="9" t="str">
        <f>SUBSTITUTE(SUBSTITUTE(SUBSTITUTE(SUBSTITUTE(SUBSTITUTE(SUBSTITUTE(SUBSTITUTE(X103,"~PVNAME",S103),"~EGU",J103),"~PREC",P103),"~VAR",E103),"~CANGET",V103),"~CANSET",W103),"~DESC",LEFT(G103,40))</f>
        <v/>
      </c>
      <c r="Z103" s="32" t="str">
        <f>IF(ISNUMBER($F103),SUBSTITUTE(SUBSTITUTE(SUBSTITUTE(SUBSTITUTE(SUBSTITUTE(SUBSTITUTE(SUBSTITUTE(SUBSTITUTE(y_QLabel &amp; y_QELabel &amp; IF($I103="gsu",y_QELineEdit,""),"~PVNAME",$S103),"~EGU",$J103),"~PREC",$P103),"~VAR",$E103),"~CANGET",$V103),"~CANSET",$W103),"~ROW",$F103),"~NAME",$D103),"")</f>
        <v/>
      </c>
      <c r="AA103" s="9" t="e">
        <f>VLOOKUP(H103,y_EPICS_Formats,2,FALSE)</f>
        <v>#N/A</v>
      </c>
      <c r="AB103" s="9" t="str">
        <f>IF(LEFT(I103)="g",y_Prefix&amp;S103&amp;" = ","")</f>
        <v/>
      </c>
      <c r="AC103" s="9" t="str">
        <f>IFERROR(";"&amp;G103&amp;"["&amp;J103&amp;"]"&amp;I103&amp;CHAR(10)&amp;B103 &amp;CHAR(9)&amp;U103&amp;CHAR(9)&amp;E103 &amp;CHAR(9),";;Error!")</f>
        <v xml:space="preserve">;[]
;	LLMM	x	</v>
      </c>
      <c r="AD103" s="9" t="str">
        <f>IF(IFERROR(Q103&gt;0,FALSE),SUBSTITUTE(SUBSTITUTE(SUBSTITUTE(y_archiverXML,"~PVNAME",S103&amp;IF(LEN(X103)&lt;1,"",":RBV")),"~PREFIX",y_Prefix),"~PERIOD",Q103),"")</f>
        <v xml:space="preserve">      &lt;channel&gt;
         &lt;name&gt;SR05ID01FST01:LLMM.LLMM&lt;/name&gt;
         &lt;period&gt;30&lt;/period&gt;
         &lt;monitor/&gt;
      &lt;/channel&gt;</v>
      </c>
      <c r="AE103" s="20" t="str">
        <f>IF(OR(LEFT($I103)="e",LEFT($I103)="g"),AE$1-LEN(S103),"")</f>
        <v/>
      </c>
      <c r="AF103" s="20" t="str">
        <f>IF(OR(LEFT($I103)="e",LEFT($I103)="g"),AF$1-LEN(T103),"")</f>
        <v/>
      </c>
      <c r="AG103" s="20" t="str">
        <f>IF(OR(LEFT($I103)="e",LEFT($I103)="g"),AG$1-LEN(U103),"")</f>
        <v/>
      </c>
      <c r="AH103" s="20" t="str">
        <f>IF(OR(LEFT($I103)="e",LEFT($I103)="g"),AH$1-LEN(V103),"")</f>
        <v/>
      </c>
      <c r="AI103" s="2" t="str">
        <f>IF(ISNUMBER(E103),"0"&amp;LEFT(D103,2)&amp;TEXT(E103,"#.0000"),E103)</f>
        <v>x</v>
      </c>
    </row>
    <row r="104" spans="1:35" x14ac:dyDescent="0.3">
      <c r="A104" s="6" t="str">
        <f>IF(T104&lt;&gt;U104,"&lt;FIND TYPE=ASC&gt;"&amp;R104&amp;"&lt;/FIND&gt;&lt;REPLACE TYPE=ASC&gt;"&amp;S104&amp;"&lt;/REPLACE&gt;"&amp;CHAR(10)&amp;"&lt;FIND TYPE=ASC&gt;"&amp;T104&amp;"&lt;/FIND&gt;&lt;REPLACE TYPE=ASC&gt;"&amp;U104&amp;"&lt;/REPLACE&gt;"&amp;CHAR(10)&amp;"&lt;FIND TYPE=ASC&gt;"&amp;C104&amp;"&lt;/FIND&gt;&lt;REPLACE TYPE=ASC&gt;"&amp;D104&amp;"&lt;/REPLACE&gt;",".")</f>
        <v>.</v>
      </c>
      <c r="B104" s="14" t="s">
        <v>165</v>
      </c>
      <c r="C104" s="28" t="s">
        <v>152</v>
      </c>
      <c r="D104" s="2" t="s">
        <v>152</v>
      </c>
      <c r="E104" s="2" t="s">
        <v>164</v>
      </c>
      <c r="R104" s="17" t="str">
        <f>UPPER(B104&amp;"."&amp;C104)</f>
        <v>;.MRES</v>
      </c>
      <c r="S104" s="9" t="str">
        <f>UPPER(C104&amp;"."&amp;D104)</f>
        <v>MRES.MRES</v>
      </c>
      <c r="T104" s="17" t="str">
        <f>SUBSTITUTE(C104,"_","")</f>
        <v>MRES</v>
      </c>
      <c r="U104" s="9" t="str">
        <f>SUBSTITUTE(D104,"_","")&amp;IF(RIGHT(I104)="u","U","")</f>
        <v>MRES</v>
      </c>
      <c r="V104" s="9" t="str">
        <f>IF(ISNUMBER(K104),K104,"$(P):"&amp;$S$1&amp;":"&amp;K104)</f>
        <v>$(P):RSCN:</v>
      </c>
      <c r="W104" s="9" t="str">
        <f>IF(ISNUMBER(L104),L104,"$(P):"&amp;$S$1&amp;":"&amp;L104)</f>
        <v>$(P):RSCN:</v>
      </c>
      <c r="X104" s="9" t="str">
        <f>IF(LEFT(I104)="g",IF(H104="real",y_pmacRascanGSVar,IF(H104="int",y_pmacRascanGSVar,"")),"")</f>
        <v/>
      </c>
      <c r="Y104" s="9" t="str">
        <f>SUBSTITUTE(SUBSTITUTE(SUBSTITUTE(SUBSTITUTE(SUBSTITUTE(SUBSTITUTE(SUBSTITUTE(X104,"~PVNAME",S104),"~EGU",J104),"~PREC",P104),"~VAR",E104),"~CANGET",V104),"~CANSET",W104),"~DESC",LEFT(G104,40))</f>
        <v/>
      </c>
      <c r="Z104" s="32" t="str">
        <f>IF(ISNUMBER($F104),SUBSTITUTE(SUBSTITUTE(SUBSTITUTE(SUBSTITUTE(SUBSTITUTE(SUBSTITUTE(SUBSTITUTE(SUBSTITUTE(y_QLabel &amp; y_QELabel &amp; IF($I104="gsu",y_QELineEdit,""),"~PVNAME",$S104),"~EGU",$J104),"~PREC",$P104),"~VAR",$E104),"~CANGET",$V104),"~CANSET",$W104),"~ROW",$F104),"~NAME",$D104),"")</f>
        <v/>
      </c>
      <c r="AA104" s="9" t="e">
        <f>VLOOKUP(H104,y_EPICS_Formats,2,FALSE)</f>
        <v>#N/A</v>
      </c>
      <c r="AB104" s="9" t="str">
        <f>IF(LEFT(I104)="g",y_Prefix&amp;S104&amp;" = ","")</f>
        <v/>
      </c>
      <c r="AC104" s="9" t="str">
        <f>IFERROR(";"&amp;G104&amp;"["&amp;J104&amp;"]"&amp;I104&amp;CHAR(10)&amp;B104 &amp;CHAR(9)&amp;U104&amp;CHAR(9)&amp;E104 &amp;CHAR(9),";;Error!")</f>
        <v xml:space="preserve">;[]
;	MRES	x	</v>
      </c>
      <c r="AD104" s="9" t="str">
        <f>IF(IFERROR(Q104&gt;0,FALSE),SUBSTITUTE(SUBSTITUTE(SUBSTITUTE(y_archiverXML,"~PVNAME",S104&amp;IF(LEN(X104)&lt;1,"",":RBV")),"~PREFIX",y_Prefix),"~PERIOD",Q104),"")</f>
        <v/>
      </c>
      <c r="AE104" s="20" t="str">
        <f>IF(OR(LEFT($I104)="e",LEFT($I104)="g"),AE$1-LEN(S104),"")</f>
        <v/>
      </c>
      <c r="AF104" s="20" t="str">
        <f>IF(OR(LEFT($I104)="e",LEFT($I104)="g"),AF$1-LEN(T104),"")</f>
        <v/>
      </c>
      <c r="AG104" s="20" t="str">
        <f>IF(OR(LEFT($I104)="e",LEFT($I104)="g"),AG$1-LEN(U104),"")</f>
        <v/>
      </c>
      <c r="AH104" s="20" t="str">
        <f>IF(OR(LEFT($I104)="e",LEFT($I104)="g"),AH$1-LEN(V104),"")</f>
        <v/>
      </c>
      <c r="AI104" s="2" t="str">
        <f>IF(ISNUMBER(E104),"0"&amp;LEFT(D104,2)&amp;TEXT(E104,"#.0000"),E104)</f>
        <v>x</v>
      </c>
    </row>
    <row r="105" spans="1:35" ht="17.7" customHeight="1" x14ac:dyDescent="0.3">
      <c r="A105" s="6" t="str">
        <f>IF(T105&lt;&gt;U105,"&lt;FIND TYPE=ASC&gt;"&amp;R105&amp;"&lt;/FIND&gt;&lt;REPLACE TYPE=ASC&gt;"&amp;S105&amp;"&lt;/REPLACE&gt;"&amp;CHAR(10)&amp;"&lt;FIND TYPE=ASC&gt;"&amp;T105&amp;"&lt;/FIND&gt;&lt;REPLACE TYPE=ASC&gt;"&amp;U105&amp;"&lt;/REPLACE&gt;"&amp;CHAR(10)&amp;"&lt;FIND TYPE=ASC&gt;"&amp;C105&amp;"&lt;/FIND&gt;&lt;REPLACE TYPE=ASC&gt;"&amp;D105&amp;"&lt;/REPLACE&gt;",".")</f>
        <v>.</v>
      </c>
      <c r="B105" s="14" t="s">
        <v>165</v>
      </c>
      <c r="C105" s="28" t="s">
        <v>152</v>
      </c>
      <c r="D105" s="2" t="s">
        <v>152</v>
      </c>
      <c r="E105" s="2" t="s">
        <v>164</v>
      </c>
      <c r="R105" s="17" t="str">
        <f>UPPER(B105&amp;"."&amp;C105)</f>
        <v>;.MRES</v>
      </c>
      <c r="S105" s="9" t="str">
        <f>UPPER(C105&amp;"."&amp;D105)</f>
        <v>MRES.MRES</v>
      </c>
      <c r="T105" s="17" t="str">
        <f>SUBSTITUTE(C105,"_","")</f>
        <v>MRES</v>
      </c>
      <c r="U105" s="9" t="str">
        <f>SUBSTITUTE(D105,"_","")&amp;IF(RIGHT(I105)="u","U","")</f>
        <v>MRES</v>
      </c>
      <c r="V105" s="9" t="str">
        <f>IF(ISNUMBER(K105),K105,"$(P):"&amp;$S$1&amp;":"&amp;K105)</f>
        <v>$(P):RSCN:</v>
      </c>
      <c r="W105" s="9" t="str">
        <f>IF(ISNUMBER(L105),L105,"$(P):"&amp;$S$1&amp;":"&amp;L105)</f>
        <v>$(P):RSCN:</v>
      </c>
      <c r="X105" s="9" t="str">
        <f>IF(LEFT(I105)="g",IF(H105="real",y_pmacRascanGSVar,IF(H105="int",y_pmacRascanGSVar,"")),"")</f>
        <v/>
      </c>
      <c r="Y105" s="9" t="str">
        <f>SUBSTITUTE(SUBSTITUTE(SUBSTITUTE(SUBSTITUTE(SUBSTITUTE(SUBSTITUTE(SUBSTITUTE(X105,"~PVNAME",S105),"~EGU",J105),"~PREC",P105),"~VAR",E105),"~CANGET",V105),"~CANSET",W105),"~DESC",LEFT(G105,40))</f>
        <v/>
      </c>
      <c r="Z105" s="32" t="str">
        <f>IF(ISNUMBER($F105),SUBSTITUTE(SUBSTITUTE(SUBSTITUTE(SUBSTITUTE(SUBSTITUTE(SUBSTITUTE(SUBSTITUTE(SUBSTITUTE(y_QLabel &amp; y_QELabel &amp; IF($I105="gsu",y_QELineEdit,""),"~PVNAME",$S105),"~EGU",$J105),"~PREC",$P105),"~VAR",$E105),"~CANGET",$V105),"~CANSET",$W105),"~ROW",$F105),"~NAME",$D105),"")</f>
        <v/>
      </c>
      <c r="AA105" s="9" t="e">
        <f>VLOOKUP(H105,y_EPICS_Formats,2,FALSE)</f>
        <v>#N/A</v>
      </c>
      <c r="AB105" s="9" t="str">
        <f>IF(LEFT(I105)="g",y_Prefix&amp;S105&amp;" = ","")</f>
        <v/>
      </c>
      <c r="AC105" s="9" t="str">
        <f>IFERROR(";"&amp;G105&amp;"["&amp;J105&amp;"]"&amp;I105&amp;CHAR(10)&amp;B105 &amp;CHAR(9)&amp;U105&amp;CHAR(9)&amp;E105 &amp;CHAR(9),";;Error!")</f>
        <v xml:space="preserve">;[]
;	MRES	x	</v>
      </c>
      <c r="AD105" s="9" t="str">
        <f>IF(IFERROR(Q105&gt;0,FALSE),SUBSTITUTE(SUBSTITUTE(SUBSTITUTE(y_archiverXML,"~PVNAME",S105&amp;IF(LEN(X105)&lt;1,"",":RBV")),"~PREFIX",y_Prefix),"~PERIOD",Q105),"")</f>
        <v/>
      </c>
      <c r="AE105" s="20" t="str">
        <f>IF(OR(LEFT($I105)="e",LEFT($I105)="g"),AE$1-LEN(S105),"")</f>
        <v/>
      </c>
      <c r="AF105" s="20" t="str">
        <f>IF(OR(LEFT($I105)="e",LEFT($I105)="g"),AF$1-LEN(T105),"")</f>
        <v/>
      </c>
      <c r="AG105" s="20" t="str">
        <f>IF(OR(LEFT($I105)="e",LEFT($I105)="g"),AG$1-LEN(U105),"")</f>
        <v/>
      </c>
      <c r="AH105" s="20" t="str">
        <f>IF(OR(LEFT($I105)="e",LEFT($I105)="g"),AH$1-LEN(V105),"")</f>
        <v/>
      </c>
      <c r="AI105" s="2" t="str">
        <f>IF(ISNUMBER(E105),"0"&amp;LEFT(D105,2)&amp;TEXT(E105,"#.0000"),E105)</f>
        <v>x</v>
      </c>
    </row>
    <row r="106" spans="1:35" ht="17.7" customHeight="1" x14ac:dyDescent="0.3">
      <c r="A106" s="6" t="str">
        <f>IF(T106&lt;&gt;U106,"&lt;FIND TYPE=ASC&gt;"&amp;R106&amp;"&lt;/FIND&gt;&lt;REPLACE TYPE=ASC&gt;"&amp;S106&amp;"&lt;/REPLACE&gt;"&amp;CHAR(10)&amp;"&lt;FIND TYPE=ASC&gt;"&amp;T106&amp;"&lt;/FIND&gt;&lt;REPLACE TYPE=ASC&gt;"&amp;U106&amp;"&lt;/REPLACE&gt;"&amp;CHAR(10)&amp;"&lt;FIND TYPE=ASC&gt;"&amp;C106&amp;"&lt;/FIND&gt;&lt;REPLACE TYPE=ASC&gt;"&amp;D106&amp;"&lt;/REPLACE&gt;",".")</f>
        <v>.</v>
      </c>
      <c r="B106" s="14" t="s">
        <v>165</v>
      </c>
      <c r="C106" s="28" t="s">
        <v>152</v>
      </c>
      <c r="D106" s="2" t="s">
        <v>152</v>
      </c>
      <c r="E106" s="2" t="s">
        <v>164</v>
      </c>
      <c r="R106" s="17" t="str">
        <f>UPPER(B106&amp;"."&amp;C106)</f>
        <v>;.MRES</v>
      </c>
      <c r="S106" s="9" t="str">
        <f>UPPER(C106&amp;"."&amp;D106)</f>
        <v>MRES.MRES</v>
      </c>
      <c r="T106" s="17" t="str">
        <f>SUBSTITUTE(C106,"_","")</f>
        <v>MRES</v>
      </c>
      <c r="U106" s="9" t="str">
        <f>SUBSTITUTE(D106,"_","")&amp;IF(RIGHT(I106)="u","U","")</f>
        <v>MRES</v>
      </c>
      <c r="V106" s="9" t="str">
        <f>IF(ISNUMBER(K106),K106,"$(P):"&amp;$S$1&amp;":"&amp;K106)</f>
        <v>$(P):RSCN:</v>
      </c>
      <c r="W106" s="9" t="str">
        <f>IF(ISNUMBER(L106),L106,"$(P):"&amp;$S$1&amp;":"&amp;L106)</f>
        <v>$(P):RSCN:</v>
      </c>
      <c r="X106" s="9" t="str">
        <f>IF(LEFT(I106)="g",IF(H106="real",y_pmacRascanGSVar,IF(H106="int",y_pmacRascanGSVar,"")),"")</f>
        <v/>
      </c>
      <c r="Y106" s="9" t="str">
        <f>SUBSTITUTE(SUBSTITUTE(SUBSTITUTE(SUBSTITUTE(SUBSTITUTE(SUBSTITUTE(SUBSTITUTE(X106,"~PVNAME",S106),"~EGU",J106),"~PREC",P106),"~VAR",E106),"~CANGET",V106),"~CANSET",W106),"~DESC",LEFT(G106,40))</f>
        <v/>
      </c>
      <c r="Z106" s="32" t="str">
        <f>IF(ISNUMBER($F106),SUBSTITUTE(SUBSTITUTE(SUBSTITUTE(SUBSTITUTE(SUBSTITUTE(SUBSTITUTE(SUBSTITUTE(SUBSTITUTE(y_QLabel &amp; y_QELabel &amp; IF($I106="gsu",y_QELineEdit,""),"~PVNAME",$S106),"~EGU",$J106),"~PREC",$P106),"~VAR",$E106),"~CANGET",$V106),"~CANSET",$W106),"~ROW",$F106),"~NAME",$D106),"")</f>
        <v/>
      </c>
      <c r="AA106" s="9" t="e">
        <f>VLOOKUP(H106,y_EPICS_Formats,2,FALSE)</f>
        <v>#N/A</v>
      </c>
      <c r="AB106" s="9" t="str">
        <f>IF(LEFT(I106)="g",y_Prefix&amp;S106&amp;" = ","")</f>
        <v/>
      </c>
      <c r="AC106" s="9" t="str">
        <f>IFERROR(";"&amp;G106&amp;"["&amp;J106&amp;"]"&amp;I106&amp;CHAR(10)&amp;B106 &amp;CHAR(9)&amp;U106&amp;CHAR(9)&amp;E106 &amp;CHAR(9),";;Error!")</f>
        <v xml:space="preserve">;[]
;	MRES	x	</v>
      </c>
      <c r="AD106" s="9" t="str">
        <f>IF(IFERROR(Q106&gt;0,FALSE),SUBSTITUTE(SUBSTITUTE(SUBSTITUTE(y_archiverXML,"~PVNAME",S106&amp;IF(LEN(X106)&lt;1,"",":RBV")),"~PREFIX",y_Prefix),"~PERIOD",Q106),"")</f>
        <v/>
      </c>
      <c r="AE106" s="20" t="str">
        <f>IF(OR(LEFT($I106)="e",LEFT($I106)="g"),AE$1-LEN(S106),"")</f>
        <v/>
      </c>
      <c r="AF106" s="20" t="str">
        <f>IF(OR(LEFT($I106)="e",LEFT($I106)="g"),AF$1-LEN(T106),"")</f>
        <v/>
      </c>
      <c r="AG106" s="20" t="str">
        <f>IF(OR(LEFT($I106)="e",LEFT($I106)="g"),AG$1-LEN(U106),"")</f>
        <v/>
      </c>
      <c r="AH106" s="20" t="str">
        <f>IF(OR(LEFT($I106)="e",LEFT($I106)="g"),AH$1-LEN(V106),"")</f>
        <v/>
      </c>
      <c r="AI106" s="2" t="str">
        <f>IF(ISNUMBER(E106),"0"&amp;LEFT(D106,2)&amp;TEXT(E106,"#.0000"),E106)</f>
        <v>x</v>
      </c>
    </row>
    <row r="107" spans="1:35" ht="17.7" customHeight="1" x14ac:dyDescent="0.3">
      <c r="A107" s="6" t="str">
        <f>IF(T107&lt;&gt;U107,"&lt;FIND TYPE=ASC&gt;"&amp;R107&amp;"&lt;/FIND&gt;&lt;REPLACE TYPE=ASC&gt;"&amp;S107&amp;"&lt;/REPLACE&gt;"&amp;CHAR(10)&amp;"&lt;FIND TYPE=ASC&gt;"&amp;T107&amp;"&lt;/FIND&gt;&lt;REPLACE TYPE=ASC&gt;"&amp;U107&amp;"&lt;/REPLACE&gt;"&amp;CHAR(10)&amp;"&lt;FIND TYPE=ASC&gt;"&amp;C107&amp;"&lt;/FIND&gt;&lt;REPLACE TYPE=ASC&gt;"&amp;D107&amp;"&lt;/REPLACE&gt;",".")</f>
        <v>.</v>
      </c>
      <c r="B107" s="14" t="s">
        <v>165</v>
      </c>
      <c r="C107" s="28" t="s">
        <v>152</v>
      </c>
      <c r="D107" s="2" t="s">
        <v>152</v>
      </c>
      <c r="E107" s="2" t="s">
        <v>164</v>
      </c>
      <c r="R107" s="17" t="str">
        <f>UPPER(B107&amp;"."&amp;C107)</f>
        <v>;.MRES</v>
      </c>
      <c r="S107" s="9" t="str">
        <f>UPPER(C107&amp;"."&amp;D107)</f>
        <v>MRES.MRES</v>
      </c>
      <c r="T107" s="17" t="str">
        <f>SUBSTITUTE(C107,"_","")</f>
        <v>MRES</v>
      </c>
      <c r="U107" s="9" t="str">
        <f>SUBSTITUTE(D107,"_","")&amp;IF(RIGHT(I107)="u","U","")</f>
        <v>MRES</v>
      </c>
      <c r="V107" s="9" t="str">
        <f>IF(ISNUMBER(K107),K107,"$(P):"&amp;$S$1&amp;":"&amp;K107)</f>
        <v>$(P):RSCN:</v>
      </c>
      <c r="W107" s="9" t="str">
        <f>IF(ISNUMBER(L107),L107,"$(P):"&amp;$S$1&amp;":"&amp;L107)</f>
        <v>$(P):RSCN:</v>
      </c>
      <c r="X107" s="9" t="str">
        <f>IF(LEFT(I107)="g",IF(H107="real",y_pmacRascanGSVar,IF(H107="int",y_pmacRascanGSVar,"")),"")</f>
        <v/>
      </c>
      <c r="Y107" s="9" t="str">
        <f>SUBSTITUTE(SUBSTITUTE(SUBSTITUTE(SUBSTITUTE(SUBSTITUTE(SUBSTITUTE(SUBSTITUTE(X107,"~PVNAME",S107),"~EGU",J107),"~PREC",P107),"~VAR",E107),"~CANGET",V107),"~CANSET",W107),"~DESC",LEFT(G107,40))</f>
        <v/>
      </c>
      <c r="Z107" s="32" t="str">
        <f>IF(ISNUMBER($F107),SUBSTITUTE(SUBSTITUTE(SUBSTITUTE(SUBSTITUTE(SUBSTITUTE(SUBSTITUTE(SUBSTITUTE(SUBSTITUTE(y_QLabel &amp; y_QELabel &amp; IF($I107="gsu",y_QELineEdit,""),"~PVNAME",$S107),"~EGU",$J107),"~PREC",$P107),"~VAR",$E107),"~CANGET",$V107),"~CANSET",$W107),"~ROW",$F107),"~NAME",$D107),"")</f>
        <v/>
      </c>
      <c r="AA107" s="9" t="e">
        <f>VLOOKUP(H107,y_EPICS_Formats,2,FALSE)</f>
        <v>#N/A</v>
      </c>
      <c r="AB107" s="9" t="str">
        <f>IF(LEFT(I107)="g",y_Prefix&amp;S107&amp;" = ","")</f>
        <v/>
      </c>
      <c r="AC107" s="9" t="str">
        <f>IFERROR(";"&amp;G107&amp;"["&amp;J107&amp;"]"&amp;I107&amp;CHAR(10)&amp;B107 &amp;CHAR(9)&amp;U107&amp;CHAR(9)&amp;E107 &amp;CHAR(9),";;Error!")</f>
        <v xml:space="preserve">;[]
;	MRES	x	</v>
      </c>
      <c r="AD107" s="9" t="str">
        <f>IF(IFERROR(Q107&gt;0,FALSE),SUBSTITUTE(SUBSTITUTE(SUBSTITUTE(y_archiverXML,"~PVNAME",S107&amp;IF(LEN(X107)&lt;1,"",":RBV")),"~PREFIX",y_Prefix),"~PERIOD",Q107),"")</f>
        <v/>
      </c>
      <c r="AE107" s="20" t="str">
        <f>IF(OR(LEFT($I107)="e",LEFT($I107)="g"),AE$1-LEN(S107),"")</f>
        <v/>
      </c>
      <c r="AF107" s="20" t="str">
        <f>IF(OR(LEFT($I107)="e",LEFT($I107)="g"),AF$1-LEN(T107),"")</f>
        <v/>
      </c>
      <c r="AG107" s="20" t="str">
        <f>IF(OR(LEFT($I107)="e",LEFT($I107)="g"),AG$1-LEN(U107),"")</f>
        <v/>
      </c>
      <c r="AH107" s="20" t="str">
        <f>IF(OR(LEFT($I107)="e",LEFT($I107)="g"),AH$1-LEN(V107),"")</f>
        <v/>
      </c>
      <c r="AI107" s="2" t="str">
        <f>IF(ISNUMBER(E107),"0"&amp;LEFT(D107,2)&amp;TEXT(E107,"#.0000"),E107)</f>
        <v>x</v>
      </c>
    </row>
    <row r="108" spans="1:35" ht="17.7" customHeight="1" x14ac:dyDescent="0.3">
      <c r="A108" s="6" t="str">
        <f>IF(T108&lt;&gt;U108,"&lt;FIND TYPE=ASC&gt;"&amp;R108&amp;"&lt;/FIND&gt;&lt;REPLACE TYPE=ASC&gt;"&amp;S108&amp;"&lt;/REPLACE&gt;"&amp;CHAR(10)&amp;"&lt;FIND TYPE=ASC&gt;"&amp;T108&amp;"&lt;/FIND&gt;&lt;REPLACE TYPE=ASC&gt;"&amp;U108&amp;"&lt;/REPLACE&gt;"&amp;CHAR(10)&amp;"&lt;FIND TYPE=ASC&gt;"&amp;C108&amp;"&lt;/FIND&gt;&lt;REPLACE TYPE=ASC&gt;"&amp;D108&amp;"&lt;/REPLACE&gt;",".")</f>
        <v>.</v>
      </c>
      <c r="B108" s="14" t="s">
        <v>165</v>
      </c>
      <c r="C108" s="28" t="s">
        <v>150</v>
      </c>
      <c r="D108" s="2" t="s">
        <v>150</v>
      </c>
      <c r="E108" s="2" t="s">
        <v>164</v>
      </c>
      <c r="Q108" s="2">
        <v>30</v>
      </c>
      <c r="R108" s="17" t="str">
        <f>UPPER(B108&amp;"."&amp;C108)</f>
        <v>;.OFF</v>
      </c>
      <c r="S108" s="9" t="str">
        <f>UPPER(C108&amp;"."&amp;D108)</f>
        <v>OFF.OFF</v>
      </c>
      <c r="T108" s="17" t="str">
        <f>SUBSTITUTE(C108,"_","")</f>
        <v>OFF</v>
      </c>
      <c r="U108" s="9" t="str">
        <f>SUBSTITUTE(D108,"_","")&amp;IF(RIGHT(I108)="u","U","")</f>
        <v>OFF</v>
      </c>
      <c r="V108" s="9" t="str">
        <f>IF(ISNUMBER(K108),K108,"$(P):"&amp;$S$1&amp;":"&amp;K108)</f>
        <v>$(P):RSCN:</v>
      </c>
      <c r="W108" s="9" t="str">
        <f>IF(ISNUMBER(L108),L108,"$(P):"&amp;$S$1&amp;":"&amp;L108)</f>
        <v>$(P):RSCN:</v>
      </c>
      <c r="X108" s="9" t="str">
        <f>IF(LEFT(I108)="g",IF(H108="real",y_pmacRascanGSVar,IF(H108="int",y_pmacRascanGSVar,"")),"")</f>
        <v/>
      </c>
      <c r="Y108" s="9" t="str">
        <f>SUBSTITUTE(SUBSTITUTE(SUBSTITUTE(SUBSTITUTE(SUBSTITUTE(SUBSTITUTE(SUBSTITUTE(X108,"~PVNAME",S108),"~EGU",J108),"~PREC",P108),"~VAR",E108),"~CANGET",V108),"~CANSET",W108),"~DESC",LEFT(G108,40))</f>
        <v/>
      </c>
      <c r="Z108" s="32" t="str">
        <f>IF(ISNUMBER($F108),SUBSTITUTE(SUBSTITUTE(SUBSTITUTE(SUBSTITUTE(SUBSTITUTE(SUBSTITUTE(SUBSTITUTE(SUBSTITUTE(y_QLabel &amp; y_QELabel &amp; IF($I108="gsu",y_QELineEdit,""),"~PVNAME",$S108),"~EGU",$J108),"~PREC",$P108),"~VAR",$E108),"~CANGET",$V108),"~CANSET",$W108),"~ROW",$F108),"~NAME",$D108),"")</f>
        <v/>
      </c>
      <c r="AA108" s="9" t="e">
        <f>VLOOKUP(H108,y_EPICS_Formats,2,FALSE)</f>
        <v>#N/A</v>
      </c>
      <c r="AB108" s="9" t="str">
        <f>IF(LEFT(I108)="g",y_Prefix&amp;S108&amp;" = ","")</f>
        <v/>
      </c>
      <c r="AC108" s="9" t="str">
        <f>IFERROR(";"&amp;G108&amp;"["&amp;J108&amp;"]"&amp;I108&amp;CHAR(10)&amp;B108 &amp;CHAR(9)&amp;U108&amp;CHAR(9)&amp;E108 &amp;CHAR(9),";;Error!")</f>
        <v xml:space="preserve">;[]
;	OFF	x	</v>
      </c>
      <c r="AD108" s="9" t="str">
        <f>IF(IFERROR(Q108&gt;0,FALSE),SUBSTITUTE(SUBSTITUTE(SUBSTITUTE(y_archiverXML,"~PVNAME",S108&amp;IF(LEN(X108)&lt;1,"",":RBV")),"~PREFIX",y_Prefix),"~PERIOD",Q108),"")</f>
        <v xml:space="preserve">      &lt;channel&gt;
         &lt;name&gt;SR05ID01FST01:OFF.OFF&lt;/name&gt;
         &lt;period&gt;30&lt;/period&gt;
         &lt;monitor/&gt;
      &lt;/channel&gt;</v>
      </c>
      <c r="AE108" s="20" t="str">
        <f>IF(OR(LEFT($I108)="e",LEFT($I108)="g"),AE$1-LEN(S108),"")</f>
        <v/>
      </c>
      <c r="AF108" s="20" t="str">
        <f>IF(OR(LEFT($I108)="e",LEFT($I108)="g"),AF$1-LEN(T108),"")</f>
        <v/>
      </c>
      <c r="AG108" s="20" t="str">
        <f>IF(OR(LEFT($I108)="e",LEFT($I108)="g"),AG$1-LEN(U108),"")</f>
        <v/>
      </c>
      <c r="AH108" s="20" t="str">
        <f>IF(OR(LEFT($I108)="e",LEFT($I108)="g"),AH$1-LEN(V108),"")</f>
        <v/>
      </c>
      <c r="AI108" s="2" t="str">
        <f>IF(ISNUMBER(E108),"0"&amp;LEFT(D108,2)&amp;TEXT(E108,"#.0000"),E108)</f>
        <v>x</v>
      </c>
    </row>
    <row r="109" spans="1:35" x14ac:dyDescent="0.3">
      <c r="A109" s="6" t="str">
        <f>IF(T109&lt;&gt;U109,"&lt;FIND TYPE=ASC&gt;"&amp;R109&amp;"&lt;/FIND&gt;&lt;REPLACE TYPE=ASC&gt;"&amp;S109&amp;"&lt;/REPLACE&gt;"&amp;CHAR(10)&amp;"&lt;FIND TYPE=ASC&gt;"&amp;T109&amp;"&lt;/FIND&gt;&lt;REPLACE TYPE=ASC&gt;"&amp;U109&amp;"&lt;/REPLACE&gt;"&amp;CHAR(10)&amp;"&lt;FIND TYPE=ASC&gt;"&amp;C109&amp;"&lt;/FIND&gt;&lt;REPLACE TYPE=ASC&gt;"&amp;D109&amp;"&lt;/REPLACE&gt;",".")</f>
        <v>.</v>
      </c>
      <c r="B109" s="14" t="s">
        <v>165</v>
      </c>
      <c r="C109" s="28" t="s">
        <v>150</v>
      </c>
      <c r="D109" s="2" t="s">
        <v>150</v>
      </c>
      <c r="E109" s="2" t="s">
        <v>164</v>
      </c>
      <c r="Q109" s="2">
        <v>30</v>
      </c>
      <c r="R109" s="17" t="str">
        <f>UPPER(B109&amp;"."&amp;C109)</f>
        <v>;.OFF</v>
      </c>
      <c r="S109" s="9" t="str">
        <f>UPPER(C109&amp;"."&amp;D109)</f>
        <v>OFF.OFF</v>
      </c>
      <c r="T109" s="17" t="str">
        <f>SUBSTITUTE(C109,"_","")</f>
        <v>OFF</v>
      </c>
      <c r="U109" s="9" t="str">
        <f>SUBSTITUTE(D109,"_","")&amp;IF(RIGHT(I109)="u","U","")</f>
        <v>OFF</v>
      </c>
      <c r="V109" s="9" t="str">
        <f>IF(ISNUMBER(K109),K109,"$(P):"&amp;$S$1&amp;":"&amp;K109)</f>
        <v>$(P):RSCN:</v>
      </c>
      <c r="W109" s="9" t="str">
        <f>IF(ISNUMBER(L109),L109,"$(P):"&amp;$S$1&amp;":"&amp;L109)</f>
        <v>$(P):RSCN:</v>
      </c>
      <c r="X109" s="9" t="str">
        <f>IF(LEFT(I109)="g",IF(H109="real",y_pmacRascanGSVar,IF(H109="int",y_pmacRascanGSVar,"")),"")</f>
        <v/>
      </c>
      <c r="Y109" s="9" t="str">
        <f>SUBSTITUTE(SUBSTITUTE(SUBSTITUTE(SUBSTITUTE(SUBSTITUTE(SUBSTITUTE(SUBSTITUTE(X109,"~PVNAME",S109),"~EGU",J109),"~PREC",P109),"~VAR",E109),"~CANGET",V109),"~CANSET",W109),"~DESC",LEFT(G109,40))</f>
        <v/>
      </c>
      <c r="Z109" s="32" t="str">
        <f>IF(ISNUMBER($F109),SUBSTITUTE(SUBSTITUTE(SUBSTITUTE(SUBSTITUTE(SUBSTITUTE(SUBSTITUTE(SUBSTITUTE(SUBSTITUTE(y_QLabel &amp; y_QELabel &amp; IF($I109="gsu",y_QELineEdit,""),"~PVNAME",$S109),"~EGU",$J109),"~PREC",$P109),"~VAR",$E109),"~CANGET",$V109),"~CANSET",$W109),"~ROW",$F109),"~NAME",$D109),"")</f>
        <v/>
      </c>
      <c r="AA109" s="9" t="e">
        <f>VLOOKUP(H109,y_EPICS_Formats,2,FALSE)</f>
        <v>#N/A</v>
      </c>
      <c r="AB109" s="9" t="str">
        <f>IF(LEFT(I109)="g",y_Prefix&amp;S109&amp;" = ","")</f>
        <v/>
      </c>
      <c r="AC109" s="9" t="str">
        <f>IFERROR(";"&amp;G109&amp;"["&amp;J109&amp;"]"&amp;I109&amp;CHAR(10)&amp;B109 &amp;CHAR(9)&amp;U109&amp;CHAR(9)&amp;E109 &amp;CHAR(9),";;Error!")</f>
        <v xml:space="preserve">;[]
;	OFF	x	</v>
      </c>
      <c r="AD109" s="9" t="str">
        <f>IF(IFERROR(Q109&gt;0,FALSE),SUBSTITUTE(SUBSTITUTE(SUBSTITUTE(y_archiverXML,"~PVNAME",S109&amp;IF(LEN(X109)&lt;1,"",":RBV")),"~PREFIX",y_Prefix),"~PERIOD",Q109),"")</f>
        <v xml:space="preserve">      &lt;channel&gt;
         &lt;name&gt;SR05ID01FST01:OFF.OFF&lt;/name&gt;
         &lt;period&gt;30&lt;/period&gt;
         &lt;monitor/&gt;
      &lt;/channel&gt;</v>
      </c>
      <c r="AE109" s="20" t="str">
        <f>IF(OR(LEFT($I109)="e",LEFT($I109)="g"),AE$1-LEN(S109),"")</f>
        <v/>
      </c>
      <c r="AF109" s="20" t="str">
        <f>IF(OR(LEFT($I109)="e",LEFT($I109)="g"),AF$1-LEN(T109),"")</f>
        <v/>
      </c>
      <c r="AG109" s="20" t="str">
        <f>IF(OR(LEFT($I109)="e",LEFT($I109)="g"),AG$1-LEN(U109),"")</f>
        <v/>
      </c>
      <c r="AH109" s="20" t="str">
        <f>IF(OR(LEFT($I109)="e",LEFT($I109)="g"),AH$1-LEN(V109),"")</f>
        <v/>
      </c>
      <c r="AI109" s="2" t="str">
        <f>IF(ISNUMBER(E109),"0"&amp;LEFT(D109,2)&amp;TEXT(E109,"#.0000"),E109)</f>
        <v>x</v>
      </c>
    </row>
    <row r="110" spans="1:35" x14ac:dyDescent="0.3">
      <c r="A110" s="6" t="str">
        <f>IF(T110&lt;&gt;U110,"&lt;FIND TYPE=ASC&gt;"&amp;R110&amp;"&lt;/FIND&gt;&lt;REPLACE TYPE=ASC&gt;"&amp;S110&amp;"&lt;/REPLACE&gt;"&amp;CHAR(10)&amp;"&lt;FIND TYPE=ASC&gt;"&amp;T110&amp;"&lt;/FIND&gt;&lt;REPLACE TYPE=ASC&gt;"&amp;U110&amp;"&lt;/REPLACE&gt;"&amp;CHAR(10)&amp;"&lt;FIND TYPE=ASC&gt;"&amp;C110&amp;"&lt;/FIND&gt;&lt;REPLACE TYPE=ASC&gt;"&amp;D110&amp;"&lt;/REPLACE&gt;",".")</f>
        <v>.</v>
      </c>
      <c r="B110" s="14" t="s">
        <v>165</v>
      </c>
      <c r="C110" s="28" t="s">
        <v>150</v>
      </c>
      <c r="D110" s="2" t="s">
        <v>150</v>
      </c>
      <c r="E110" s="2" t="s">
        <v>164</v>
      </c>
      <c r="Q110" s="2">
        <v>30</v>
      </c>
      <c r="R110" s="17" t="str">
        <f>UPPER(B110&amp;"."&amp;C110)</f>
        <v>;.OFF</v>
      </c>
      <c r="S110" s="9" t="str">
        <f>UPPER(C110&amp;"."&amp;D110)</f>
        <v>OFF.OFF</v>
      </c>
      <c r="T110" s="17" t="str">
        <f>SUBSTITUTE(C110,"_","")</f>
        <v>OFF</v>
      </c>
      <c r="U110" s="9" t="str">
        <f>SUBSTITUTE(D110,"_","")&amp;IF(RIGHT(I110)="u","U","")</f>
        <v>OFF</v>
      </c>
      <c r="V110" s="9" t="str">
        <f>IF(ISNUMBER(K110),K110,"$(P):"&amp;$S$1&amp;":"&amp;K110)</f>
        <v>$(P):RSCN:</v>
      </c>
      <c r="W110" s="9" t="str">
        <f>IF(ISNUMBER(L110),L110,"$(P):"&amp;$S$1&amp;":"&amp;L110)</f>
        <v>$(P):RSCN:</v>
      </c>
      <c r="X110" s="9" t="str">
        <f>IF(LEFT(I110)="g",IF(H110="real",y_pmacRascanGSVar,IF(H110="int",y_pmacRascanGSVar,"")),"")</f>
        <v/>
      </c>
      <c r="Y110" s="9" t="str">
        <f>SUBSTITUTE(SUBSTITUTE(SUBSTITUTE(SUBSTITUTE(SUBSTITUTE(SUBSTITUTE(SUBSTITUTE(X110,"~PVNAME",S110),"~EGU",J110),"~PREC",P110),"~VAR",E110),"~CANGET",V110),"~CANSET",W110),"~DESC",LEFT(G110,40))</f>
        <v/>
      </c>
      <c r="Z110" s="32" t="str">
        <f>IF(ISNUMBER($F110),SUBSTITUTE(SUBSTITUTE(SUBSTITUTE(SUBSTITUTE(SUBSTITUTE(SUBSTITUTE(SUBSTITUTE(SUBSTITUTE(y_QLabel &amp; y_QELabel &amp; IF($I110="gsu",y_QELineEdit,""),"~PVNAME",$S110),"~EGU",$J110),"~PREC",$P110),"~VAR",$E110),"~CANGET",$V110),"~CANSET",$W110),"~ROW",$F110),"~NAME",$D110),"")</f>
        <v/>
      </c>
      <c r="AA110" s="9" t="e">
        <f>VLOOKUP(H110,y_EPICS_Formats,2,FALSE)</f>
        <v>#N/A</v>
      </c>
      <c r="AB110" s="9" t="str">
        <f>IF(LEFT(I110)="g",y_Prefix&amp;S110&amp;" = ","")</f>
        <v/>
      </c>
      <c r="AC110" s="9" t="str">
        <f>IFERROR(";"&amp;G110&amp;"["&amp;J110&amp;"]"&amp;I110&amp;CHAR(10)&amp;B110 &amp;CHAR(9)&amp;U110&amp;CHAR(9)&amp;E110 &amp;CHAR(9),";;Error!")</f>
        <v xml:space="preserve">;[]
;	OFF	x	</v>
      </c>
      <c r="AD110" s="9" t="str">
        <f>IF(IFERROR(Q110&gt;0,FALSE),SUBSTITUTE(SUBSTITUTE(SUBSTITUTE(y_archiverXML,"~PVNAME",S110&amp;IF(LEN(X110)&lt;1,"",":RBV")),"~PREFIX",y_Prefix),"~PERIOD",Q110),"")</f>
        <v xml:space="preserve">      &lt;channel&gt;
         &lt;name&gt;SR05ID01FST01:OFF.OFF&lt;/name&gt;
         &lt;period&gt;30&lt;/period&gt;
         &lt;monitor/&gt;
      &lt;/channel&gt;</v>
      </c>
      <c r="AE110" s="20" t="str">
        <f>IF(OR(LEFT($I110)="e",LEFT($I110)="g"),AE$1-LEN(S110),"")</f>
        <v/>
      </c>
      <c r="AF110" s="20" t="str">
        <f>IF(OR(LEFT($I110)="e",LEFT($I110)="g"),AF$1-LEN(T110),"")</f>
        <v/>
      </c>
      <c r="AG110" s="20" t="str">
        <f>IF(OR(LEFT($I110)="e",LEFT($I110)="g"),AG$1-LEN(U110),"")</f>
        <v/>
      </c>
      <c r="AH110" s="20" t="str">
        <f>IF(OR(LEFT($I110)="e",LEFT($I110)="g"),AH$1-LEN(V110),"")</f>
        <v/>
      </c>
      <c r="AI110" s="2" t="str">
        <f>IF(ISNUMBER(E110),"0"&amp;LEFT(D110,2)&amp;TEXT(E110,"#.0000"),E110)</f>
        <v>x</v>
      </c>
    </row>
    <row r="111" spans="1:35" x14ac:dyDescent="0.3">
      <c r="A111" s="6" t="str">
        <f>IF(T111&lt;&gt;U111,"&lt;FIND TYPE=ASC&gt;"&amp;R111&amp;"&lt;/FIND&gt;&lt;REPLACE TYPE=ASC&gt;"&amp;S111&amp;"&lt;/REPLACE&gt;"&amp;CHAR(10)&amp;"&lt;FIND TYPE=ASC&gt;"&amp;T111&amp;"&lt;/FIND&gt;&lt;REPLACE TYPE=ASC&gt;"&amp;U111&amp;"&lt;/REPLACE&gt;"&amp;CHAR(10)&amp;"&lt;FIND TYPE=ASC&gt;"&amp;C111&amp;"&lt;/FIND&gt;&lt;REPLACE TYPE=ASC&gt;"&amp;D111&amp;"&lt;/REPLACE&gt;",".")</f>
        <v>.</v>
      </c>
      <c r="B111" s="14" t="s">
        <v>165</v>
      </c>
      <c r="C111" s="28" t="s">
        <v>150</v>
      </c>
      <c r="D111" s="2" t="s">
        <v>150</v>
      </c>
      <c r="E111" s="2" t="s">
        <v>164</v>
      </c>
      <c r="Q111" s="2">
        <v>30</v>
      </c>
      <c r="R111" s="17" t="str">
        <f>UPPER(B111&amp;"."&amp;C111)</f>
        <v>;.OFF</v>
      </c>
      <c r="S111" s="9" t="str">
        <f>UPPER(C111&amp;"."&amp;D111)</f>
        <v>OFF.OFF</v>
      </c>
      <c r="T111" s="17" t="str">
        <f>SUBSTITUTE(C111,"_","")</f>
        <v>OFF</v>
      </c>
      <c r="U111" s="9" t="str">
        <f>SUBSTITUTE(D111,"_","")&amp;IF(RIGHT(I111)="u","U","")</f>
        <v>OFF</v>
      </c>
      <c r="V111" s="9" t="str">
        <f>IF(ISNUMBER(K111),K111,"$(P):"&amp;$S$1&amp;":"&amp;K111)</f>
        <v>$(P):RSCN:</v>
      </c>
      <c r="W111" s="9" t="str">
        <f>IF(ISNUMBER(L111),L111,"$(P):"&amp;$S$1&amp;":"&amp;L111)</f>
        <v>$(P):RSCN:</v>
      </c>
      <c r="X111" s="9" t="str">
        <f>IF(LEFT(I111)="g",IF(H111="real",y_pmacRascanGSVar,IF(H111="int",y_pmacRascanGSVar,"")),"")</f>
        <v/>
      </c>
      <c r="Y111" s="9" t="str">
        <f>SUBSTITUTE(SUBSTITUTE(SUBSTITUTE(SUBSTITUTE(SUBSTITUTE(SUBSTITUTE(SUBSTITUTE(X111,"~PVNAME",S111),"~EGU",J111),"~PREC",P111),"~VAR",E111),"~CANGET",V111),"~CANSET",W111),"~DESC",LEFT(G111,40))</f>
        <v/>
      </c>
      <c r="Z111" s="32" t="str">
        <f>IF(ISNUMBER($F111),SUBSTITUTE(SUBSTITUTE(SUBSTITUTE(SUBSTITUTE(SUBSTITUTE(SUBSTITUTE(SUBSTITUTE(SUBSTITUTE(y_QLabel &amp; y_QELabel &amp; IF($I111="gsu",y_QELineEdit,""),"~PVNAME",$S111),"~EGU",$J111),"~PREC",$P111),"~VAR",$E111),"~CANGET",$V111),"~CANSET",$W111),"~ROW",$F111),"~NAME",$D111),"")</f>
        <v/>
      </c>
      <c r="AA111" s="9" t="e">
        <f>VLOOKUP(H111,y_EPICS_Formats,2,FALSE)</f>
        <v>#N/A</v>
      </c>
      <c r="AB111" s="9" t="str">
        <f>IF(LEFT(I111)="g",y_Prefix&amp;S111&amp;" = ","")</f>
        <v/>
      </c>
      <c r="AC111" s="9" t="str">
        <f>IFERROR(";"&amp;G111&amp;"["&amp;J111&amp;"]"&amp;I111&amp;CHAR(10)&amp;B111 &amp;CHAR(9)&amp;U111&amp;CHAR(9)&amp;E111 &amp;CHAR(9),";;Error!")</f>
        <v xml:space="preserve">;[]
;	OFF	x	</v>
      </c>
      <c r="AD111" s="9" t="str">
        <f>IF(IFERROR(Q111&gt;0,FALSE),SUBSTITUTE(SUBSTITUTE(SUBSTITUTE(y_archiverXML,"~PVNAME",S111&amp;IF(LEN(X111)&lt;1,"",":RBV")),"~PREFIX",y_Prefix),"~PERIOD",Q111),"")</f>
        <v xml:space="preserve">      &lt;channel&gt;
         &lt;name&gt;SR05ID01FST01:OFF.OFF&lt;/name&gt;
         &lt;period&gt;30&lt;/period&gt;
         &lt;monitor/&gt;
      &lt;/channel&gt;</v>
      </c>
      <c r="AE111" s="20" t="str">
        <f>IF(OR(LEFT($I111)="e",LEFT($I111)="g"),AE$1-LEN(S111),"")</f>
        <v/>
      </c>
      <c r="AF111" s="20" t="str">
        <f>IF(OR(LEFT($I111)="e",LEFT($I111)="g"),AF$1-LEN(T111),"")</f>
        <v/>
      </c>
      <c r="AG111" s="20" t="str">
        <f>IF(OR(LEFT($I111)="e",LEFT($I111)="g"),AG$1-LEN(U111),"")</f>
        <v/>
      </c>
      <c r="AH111" s="20" t="str">
        <f>IF(OR(LEFT($I111)="e",LEFT($I111)="g"),AH$1-LEN(V111),"")</f>
        <v/>
      </c>
      <c r="AI111" s="2" t="str">
        <f>IF(ISNUMBER(E111),"0"&amp;LEFT(D111,2)&amp;TEXT(E111,"#.0000"),E111)</f>
        <v>x</v>
      </c>
    </row>
    <row r="112" spans="1:35" x14ac:dyDescent="0.3">
      <c r="A112" s="6" t="str">
        <f>IF(T112&lt;&gt;U112,"&lt;FIND TYPE=ASC&gt;"&amp;R112&amp;"&lt;/FIND&gt;&lt;REPLACE TYPE=ASC&gt;"&amp;S112&amp;"&lt;/REPLACE&gt;"&amp;CHAR(10)&amp;"&lt;FIND TYPE=ASC&gt;"&amp;T112&amp;"&lt;/FIND&gt;&lt;REPLACE TYPE=ASC&gt;"&amp;U112&amp;"&lt;/REPLACE&gt;"&amp;CHAR(10)&amp;"&lt;FIND TYPE=ASC&gt;"&amp;C112&amp;"&lt;/FIND&gt;&lt;REPLACE TYPE=ASC&gt;"&amp;D112&amp;"&lt;/REPLACE&gt;",".")</f>
        <v>.</v>
      </c>
      <c r="B112" s="14" t="s">
        <v>165</v>
      </c>
      <c r="C112" s="30" t="s">
        <v>131</v>
      </c>
      <c r="D112" s="7" t="s">
        <v>131</v>
      </c>
      <c r="E112" s="7" t="s">
        <v>164</v>
      </c>
      <c r="G112" s="8"/>
      <c r="H112" s="7"/>
      <c r="I112" s="7" t="s">
        <v>128</v>
      </c>
      <c r="J112" s="7"/>
      <c r="K112" s="7"/>
      <c r="L112" s="7"/>
      <c r="M112" s="7"/>
      <c r="N112" s="7"/>
      <c r="O112" s="7"/>
      <c r="P112" s="7"/>
      <c r="Q112" s="7"/>
      <c r="R112" s="17" t="str">
        <f>UPPER(R$1&amp;":"&amp;C112)</f>
        <v>RSCN:ST_ALWAYS</v>
      </c>
      <c r="S112" s="9" t="str">
        <f>UPPER(S$1&amp;":"&amp;D112)</f>
        <v>RSCN:ST_ALWAYS</v>
      </c>
      <c r="T112" s="17" t="str">
        <f>SUBSTITUTE(C112,"_","")</f>
        <v>stAlways</v>
      </c>
      <c r="U112" s="9" t="str">
        <f>SUBSTITUTE(D112,"_","")&amp;IF(RIGHT(I112)="u","U","")</f>
        <v>stAlways</v>
      </c>
      <c r="V112" s="9" t="str">
        <f>IF(ISNUMBER(K112),K112,"$(P):"&amp;$S$1&amp;":"&amp;K112)</f>
        <v>$(P):RSCN:</v>
      </c>
      <c r="W112" s="9" t="str">
        <f>IF(ISNUMBER(L112),L112,"$(P):"&amp;$S$1&amp;":"&amp;L112)</f>
        <v>$(P):RSCN:</v>
      </c>
      <c r="X112" s="9" t="str">
        <f>IF(LEFT(I112)="g",IF(H112="real",y_pmacRascanGSVar,IF(H112="int",y_pmacRascanGSVar,"")),"")</f>
        <v/>
      </c>
      <c r="Y112" s="9" t="str">
        <f>SUBSTITUTE(SUBSTITUTE(SUBSTITUTE(SUBSTITUTE(SUBSTITUTE(SUBSTITUTE(SUBSTITUTE(X112,"~PVNAME",S112),"~EGU",J112),"~PREC",P112),"~VAR",E112),"~CANGET",V112),"~CANSET",W112),"~DESC",LEFT(G112,40))</f>
        <v/>
      </c>
      <c r="Z112" s="32" t="str">
        <f>IF(ISNUMBER($F112),SUBSTITUTE(SUBSTITUTE(SUBSTITUTE(SUBSTITUTE(SUBSTITUTE(SUBSTITUTE(SUBSTITUTE(SUBSTITUTE(y_QLabel &amp; y_QELabel &amp; IF($I112="gsu",y_QELineEdit,""),"~PVNAME",$S112),"~EGU",$J112),"~PREC",$P112),"~VAR",$E112),"~CANGET",$V112),"~CANSET",$W112),"~ROW",$F112),"~NAME",$D112),"")</f>
        <v/>
      </c>
      <c r="AA112" s="9" t="e">
        <f>VLOOKUP(H112,y_EPICS_Formats,2,FALSE)</f>
        <v>#N/A</v>
      </c>
      <c r="AB112" s="9" t="str">
        <f>IF(LEFT(I112)="g",y_Prefix&amp;S112&amp;" = ","")</f>
        <v/>
      </c>
      <c r="AC112" s="9" t="str">
        <f>IFERROR(";"&amp;G112&amp;"["&amp;J112&amp;"]"&amp;I112&amp;CHAR(10)&amp;B112 &amp;CHAR(9)&amp;U112&amp;CHAR(9)&amp;E112 &amp;CHAR(9),";;Error!")</f>
        <v xml:space="preserve">;[]e
;	stAlways	x	</v>
      </c>
      <c r="AD112" s="9" t="str">
        <f>IF(IFERROR(Q112&gt;0,FALSE),SUBSTITUTE(SUBSTITUTE(SUBSTITUTE(y_archiverXML,"~PVNAME",S112&amp;IF(LEN(X112)&lt;1,"",":RBV")),"~PREFIX",y_Prefix),"~PERIOD",Q112),"")</f>
        <v/>
      </c>
      <c r="AE112" s="20">
        <f>IF(OR(LEFT($I112)="e",LEFT($I112)="g"),AE$1-LEN(S112),"")</f>
        <v>2</v>
      </c>
      <c r="AF112" s="20">
        <f>IF(OR(LEFT($I112)="e",LEFT($I112)="g"),AF$1-LEN(T112),"")</f>
        <v>8</v>
      </c>
      <c r="AG112" s="20">
        <f>IF(OR(LEFT($I112)="e",LEFT($I112)="g"),AG$1-LEN(U112),"")</f>
        <v>8</v>
      </c>
      <c r="AH112" s="20">
        <f>IF(OR(LEFT($I112)="e",LEFT($I112)="g"),AH$1-LEN(V112),"")</f>
        <v>30</v>
      </c>
      <c r="AI112" s="2" t="str">
        <f>IF(ISNUMBER(E112),"0"&amp;LEFT(D112,2)&amp;TEXT(E112,"#.0000"),E112)</f>
        <v>x</v>
      </c>
    </row>
    <row r="113" spans="1:35" x14ac:dyDescent="0.3">
      <c r="A113" s="6" t="str">
        <f>IF(T113&lt;&gt;U113,"&lt;FIND TYPE=ASC&gt;"&amp;R113&amp;"&lt;/FIND&gt;&lt;REPLACE TYPE=ASC&gt;"&amp;S113&amp;"&lt;/REPLACE&gt;"&amp;CHAR(10)&amp;"&lt;FIND TYPE=ASC&gt;"&amp;T113&amp;"&lt;/FIND&gt;&lt;REPLACE TYPE=ASC&gt;"&amp;U113&amp;"&lt;/REPLACE&gt;"&amp;CHAR(10)&amp;"&lt;FIND TYPE=ASC&gt;"&amp;C113&amp;"&lt;/FIND&gt;&lt;REPLACE TYPE=ASC&gt;"&amp;D113&amp;"&lt;/REPLACE&gt;",".")</f>
        <v>.</v>
      </c>
      <c r="B113" s="14" t="s">
        <v>165</v>
      </c>
      <c r="C113" s="30" t="s">
        <v>130</v>
      </c>
      <c r="D113" s="7" t="s">
        <v>130</v>
      </c>
      <c r="E113" s="7" t="s">
        <v>164</v>
      </c>
      <c r="G113" s="8" t="s">
        <v>132</v>
      </c>
      <c r="H113" s="7"/>
      <c r="I113" s="7" t="s">
        <v>128</v>
      </c>
      <c r="J113" s="7"/>
      <c r="K113" s="7"/>
      <c r="L113" s="7"/>
      <c r="M113" s="7"/>
      <c r="N113" s="7"/>
      <c r="O113" s="7"/>
      <c r="P113" s="7"/>
      <c r="Q113" s="7"/>
      <c r="R113" s="17" t="str">
        <f>UPPER(R$1&amp;":"&amp;C113)</f>
        <v>RSCN:ST_CSSETUP</v>
      </c>
      <c r="S113" s="9" t="str">
        <f>UPPER(S$1&amp;":"&amp;D113)</f>
        <v>RSCN:ST_CSSETUP</v>
      </c>
      <c r="T113" s="17" t="str">
        <f>SUBSTITUTE(C113,"_","")</f>
        <v>stCSSetup</v>
      </c>
      <c r="U113" s="9" t="str">
        <f>SUBSTITUTE(D113,"_","")&amp;IF(RIGHT(I113)="u","U","")</f>
        <v>stCSSetup</v>
      </c>
      <c r="V113" s="9" t="str">
        <f>IF(ISNUMBER(K113),K113,"$(P):"&amp;$S$1&amp;":"&amp;K113)</f>
        <v>$(P):RSCN:</v>
      </c>
      <c r="W113" s="9" t="str">
        <f>IF(ISNUMBER(L113),L113,"$(P):"&amp;$S$1&amp;":"&amp;L113)</f>
        <v>$(P):RSCN:</v>
      </c>
      <c r="X113" s="9" t="str">
        <f>IF(LEFT(I113)="g",IF(H113="real",y_pmacRascanGSVar,IF(H113="int",y_pmacRascanGSVar,"")),"")</f>
        <v/>
      </c>
      <c r="Y113" s="9" t="str">
        <f>SUBSTITUTE(SUBSTITUTE(SUBSTITUTE(SUBSTITUTE(SUBSTITUTE(SUBSTITUTE(SUBSTITUTE(X113,"~PVNAME",S113),"~EGU",J113),"~PREC",P113),"~VAR",E113),"~CANGET",V113),"~CANSET",W113),"~DESC",LEFT(G113,40))</f>
        <v/>
      </c>
      <c r="Z113" s="32" t="str">
        <f>IF(ISNUMBER($F113),SUBSTITUTE(SUBSTITUTE(SUBSTITUTE(SUBSTITUTE(SUBSTITUTE(SUBSTITUTE(SUBSTITUTE(SUBSTITUTE(y_QLabel &amp; y_QELabel &amp; IF($I113="gsu",y_QELineEdit,""),"~PVNAME",$S113),"~EGU",$J113),"~PREC",$P113),"~VAR",$E113),"~CANGET",$V113),"~CANSET",$W113),"~ROW",$F113),"~NAME",$D113),"")</f>
        <v/>
      </c>
      <c r="AA113" s="9" t="e">
        <f>VLOOKUP(H113,y_EPICS_Formats,2,FALSE)</f>
        <v>#N/A</v>
      </c>
      <c r="AB113" s="9" t="str">
        <f>IF(LEFT(I113)="g",y_Prefix&amp;S113&amp;" = ","")</f>
        <v/>
      </c>
      <c r="AC113" s="9" t="str">
        <f>IFERROR(";"&amp;G113&amp;"["&amp;J113&amp;"]"&amp;I113&amp;CHAR(10)&amp;B113 &amp;CHAR(9)&amp;U113&amp;CHAR(9)&amp;E113 &amp;CHAR(9),";;Error!")</f>
        <v xml:space="preserve">;State: coordinate system setup[]e
;	stCSSetup	x	</v>
      </c>
      <c r="AD113" s="9" t="str">
        <f>IF(IFERROR(Q113&gt;0,FALSE),SUBSTITUTE(SUBSTITUTE(SUBSTITUTE(y_archiverXML,"~PVNAME",S113&amp;IF(LEN(X113)&lt;1,"",":RBV")),"~PREFIX",y_Prefix),"~PERIOD",Q113),"")</f>
        <v/>
      </c>
      <c r="AE113" s="20">
        <f>IF(OR(LEFT($I113)="e",LEFT($I113)="g"),AE$1-LEN(S113),"")</f>
        <v>1</v>
      </c>
      <c r="AF113" s="20">
        <f>IF(OR(LEFT($I113)="e",LEFT($I113)="g"),AF$1-LEN(T113),"")</f>
        <v>7</v>
      </c>
      <c r="AG113" s="20">
        <f>IF(OR(LEFT($I113)="e",LEFT($I113)="g"),AG$1-LEN(U113),"")</f>
        <v>7</v>
      </c>
      <c r="AH113" s="20">
        <f>IF(OR(LEFT($I113)="e",LEFT($I113)="g"),AH$1-LEN(V113),"")</f>
        <v>30</v>
      </c>
      <c r="AI113" s="2" t="str">
        <f>IF(ISNUMBER(E113),"0"&amp;LEFT(D113,2)&amp;TEXT(E113,"#.0000"),E113)</f>
        <v>x</v>
      </c>
    </row>
    <row r="114" spans="1:35" x14ac:dyDescent="0.3">
      <c r="A114" s="6" t="str">
        <f>IF(T114&lt;&gt;U114,"&lt;FIND TYPE=ASC&gt;"&amp;R114&amp;"&lt;/FIND&gt;&lt;REPLACE TYPE=ASC&gt;"&amp;S114&amp;"&lt;/REPLACE&gt;"&amp;CHAR(10)&amp;"&lt;FIND TYPE=ASC&gt;"&amp;T114&amp;"&lt;/FIND&gt;&lt;REPLACE TYPE=ASC&gt;"&amp;U114&amp;"&lt;/REPLACE&gt;"&amp;CHAR(10)&amp;"&lt;FIND TYPE=ASC&gt;"&amp;C114&amp;"&lt;/FIND&gt;&lt;REPLACE TYPE=ASC&gt;"&amp;D114&amp;"&lt;/REPLACE&gt;",".")</f>
        <v>.</v>
      </c>
      <c r="B114" s="14" t="s">
        <v>165</v>
      </c>
      <c r="C114" s="30" t="s">
        <v>158</v>
      </c>
      <c r="D114" s="14" t="s">
        <v>158</v>
      </c>
      <c r="E114" s="14" t="s">
        <v>164</v>
      </c>
      <c r="G114" s="15"/>
      <c r="H114" s="14"/>
      <c r="I114" s="14" t="s">
        <v>128</v>
      </c>
      <c r="J114" s="14"/>
      <c r="K114" s="14"/>
      <c r="L114" s="14"/>
      <c r="M114" s="14"/>
      <c r="N114" s="14"/>
      <c r="O114" s="14"/>
      <c r="P114" s="14"/>
      <c r="Q114" s="7"/>
      <c r="R114" s="18" t="str">
        <f>UPPER(R$1&amp;":"&amp;C114)</f>
        <v>RSCN:ST_GLOBAL</v>
      </c>
      <c r="S114" s="16" t="str">
        <f>UPPER(S$1&amp;":"&amp;D114)</f>
        <v>RSCN:ST_GLOBAL</v>
      </c>
      <c r="T114" s="17" t="str">
        <f>SUBSTITUTE(C114,"_","")</f>
        <v>stGlobal</v>
      </c>
      <c r="U114" s="9" t="str">
        <f>SUBSTITUTE(D114,"_","")&amp;IF(RIGHT(I114)="u","U","")</f>
        <v>stGlobal</v>
      </c>
      <c r="V114" s="16" t="str">
        <f>IF(ISNUMBER(K114),K114,"$(P):"&amp;$S$1&amp;":"&amp;K114)</f>
        <v>$(P):RSCN:</v>
      </c>
      <c r="W114" s="16" t="str">
        <f>IF(ISNUMBER(L114),L114,"$(P):"&amp;$S$1&amp;":"&amp;L114)</f>
        <v>$(P):RSCN:</v>
      </c>
      <c r="X114" s="9" t="str">
        <f>IF(LEFT(I114)="g",IF(H114="real",y_pmacRascanGSVar,IF(H114="int",y_pmacRascanGSVar,"")),"")</f>
        <v/>
      </c>
      <c r="Y114" s="16" t="str">
        <f>SUBSTITUTE(SUBSTITUTE(SUBSTITUTE(SUBSTITUTE(SUBSTITUTE(SUBSTITUTE(SUBSTITUTE(X114,"~PVNAME",S114),"~EGU",J114),"~PREC",P114),"~VAR",E114),"~CANGET",V114),"~CANSET",W114),"~DESC",LEFT(G114,40))</f>
        <v/>
      </c>
      <c r="Z114" s="32" t="str">
        <f>IF(ISNUMBER($F114),SUBSTITUTE(SUBSTITUTE(SUBSTITUTE(SUBSTITUTE(SUBSTITUTE(SUBSTITUTE(SUBSTITUTE(SUBSTITUTE(y_QLabel &amp; y_QELabel &amp; IF($I114="gsu",y_QELineEdit,""),"~PVNAME",$S114),"~EGU",$J114),"~PREC",$P114),"~VAR",$E114),"~CANGET",$V114),"~CANSET",$W114),"~ROW",$F114),"~NAME",$D114),"")</f>
        <v/>
      </c>
      <c r="AA114" s="16" t="e">
        <f>VLOOKUP(H114,y_EPICS_Formats,2,FALSE)</f>
        <v>#N/A</v>
      </c>
      <c r="AB114" s="9" t="str">
        <f>IF(LEFT(I114)="g",y_Prefix&amp;S114&amp;" = ","")</f>
        <v/>
      </c>
      <c r="AC114" s="9" t="str">
        <f>IFERROR(";"&amp;G114&amp;"["&amp;J114&amp;"]"&amp;I114&amp;CHAR(10)&amp;B114 &amp;CHAR(9)&amp;U114&amp;CHAR(9)&amp;E114 &amp;CHAR(9),";;Error!")</f>
        <v xml:space="preserve">;[]e
;	stGlobal	x	</v>
      </c>
      <c r="AD114" s="9" t="str">
        <f>IF(IFERROR(Q114&gt;0,FALSE),SUBSTITUTE(SUBSTITUTE(SUBSTITUTE(y_archiverXML,"~PVNAME",S114&amp;IF(LEN(X114)&lt;1,"",":RBV")),"~PREFIX",y_Prefix),"~PERIOD",Q114),"")</f>
        <v/>
      </c>
      <c r="AE114" s="20">
        <f>IF(OR(LEFT($I114)="e",LEFT($I114)="g"),AE$1-LEN(S114),"")</f>
        <v>2</v>
      </c>
      <c r="AF114" s="20">
        <f>IF(OR(LEFT($I114)="e",LEFT($I114)="g"),AF$1-LEN(T114),"")</f>
        <v>8</v>
      </c>
      <c r="AG114" s="20">
        <f>IF(OR(LEFT($I114)="e",LEFT($I114)="g"),AG$1-LEN(U114),"")</f>
        <v>8</v>
      </c>
      <c r="AH114" s="20">
        <f>IF(OR(LEFT($I114)="e",LEFT($I114)="g"),AH$1-LEN(V114),"")</f>
        <v>30</v>
      </c>
      <c r="AI114" s="2" t="str">
        <f>IF(ISNUMBER(E114),"0"&amp;LEFT(D114,2)&amp;TEXT(E114,"#.0000"),E114)</f>
        <v>x</v>
      </c>
    </row>
    <row r="115" spans="1:35" x14ac:dyDescent="0.3">
      <c r="A115" s="6" t="str">
        <f>IF(T115&lt;&gt;U115,"&lt;FIND TYPE=ASC&gt;"&amp;R115&amp;"&lt;/FIND&gt;&lt;REPLACE TYPE=ASC&gt;"&amp;S115&amp;"&lt;/REPLACE&gt;"&amp;CHAR(10)&amp;"&lt;FIND TYPE=ASC&gt;"&amp;T115&amp;"&lt;/FIND&gt;&lt;REPLACE TYPE=ASC&gt;"&amp;U115&amp;"&lt;/REPLACE&gt;"&amp;CHAR(10)&amp;"&lt;FIND TYPE=ASC&gt;"&amp;C115&amp;"&lt;/FIND&gt;&lt;REPLACE TYPE=ASC&gt;"&amp;D115&amp;"&lt;/REPLACE&gt;",".")</f>
        <v>.</v>
      </c>
      <c r="B115" s="14" t="s">
        <v>165</v>
      </c>
      <c r="C115" s="30" t="s">
        <v>135</v>
      </c>
      <c r="D115" s="7" t="s">
        <v>135</v>
      </c>
      <c r="E115" s="7" t="s">
        <v>164</v>
      </c>
      <c r="G115" s="8"/>
      <c r="H115" s="7"/>
      <c r="I115" s="7" t="s">
        <v>128</v>
      </c>
      <c r="J115" s="7"/>
      <c r="K115" s="7"/>
      <c r="L115" s="7"/>
      <c r="M115" s="7"/>
      <c r="N115" s="7"/>
      <c r="O115" s="7"/>
      <c r="P115" s="7"/>
      <c r="Q115" s="7"/>
      <c r="R115" s="17" t="str">
        <f>UPPER(R$1&amp;":"&amp;C115)</f>
        <v>RSCN:ST_INPROG</v>
      </c>
      <c r="S115" s="9" t="str">
        <f>UPPER(S$1&amp;":"&amp;D115)</f>
        <v>RSCN:ST_INPROG</v>
      </c>
      <c r="T115" s="17" t="str">
        <f>SUBSTITUTE(C115,"_","")</f>
        <v>stInProg</v>
      </c>
      <c r="U115" s="9" t="str">
        <f>SUBSTITUTE(D115,"_","")&amp;IF(RIGHT(I115)="u","U","")</f>
        <v>stInProg</v>
      </c>
      <c r="V115" s="9" t="str">
        <f>IF(ISNUMBER(K115),K115,"$(P):"&amp;$S$1&amp;":"&amp;K115)</f>
        <v>$(P):RSCN:</v>
      </c>
      <c r="W115" s="9" t="str">
        <f>IF(ISNUMBER(L115),L115,"$(P):"&amp;$S$1&amp;":"&amp;L115)</f>
        <v>$(P):RSCN:</v>
      </c>
      <c r="X115" s="9" t="str">
        <f>IF(LEFT(I115)="g",IF(H115="real",y_pmacRascanGSVar,IF(H115="int",y_pmacRascanGSVar,"")),"")</f>
        <v/>
      </c>
      <c r="Y115" s="9" t="str">
        <f>SUBSTITUTE(SUBSTITUTE(SUBSTITUTE(SUBSTITUTE(SUBSTITUTE(SUBSTITUTE(SUBSTITUTE(X115,"~PVNAME",S115),"~EGU",J115),"~PREC",P115),"~VAR",E115),"~CANGET",V115),"~CANSET",W115),"~DESC",LEFT(G115,40))</f>
        <v/>
      </c>
      <c r="Z115" s="32" t="str">
        <f>IF(ISNUMBER($F115),SUBSTITUTE(SUBSTITUTE(SUBSTITUTE(SUBSTITUTE(SUBSTITUTE(SUBSTITUTE(SUBSTITUTE(SUBSTITUTE(y_QLabel &amp; y_QELabel &amp; IF($I115="gsu",y_QELineEdit,""),"~PVNAME",$S115),"~EGU",$J115),"~PREC",$P115),"~VAR",$E115),"~CANGET",$V115),"~CANSET",$W115),"~ROW",$F115),"~NAME",$D115),"")</f>
        <v/>
      </c>
      <c r="AA115" s="9" t="e">
        <f>VLOOKUP(H115,y_EPICS_Formats,2,FALSE)</f>
        <v>#N/A</v>
      </c>
      <c r="AB115" s="9" t="str">
        <f>IF(LEFT(I115)="g",y_Prefix&amp;S115&amp;" = ","")</f>
        <v/>
      </c>
      <c r="AC115" s="9" t="str">
        <f>IFERROR(";"&amp;G115&amp;"["&amp;J115&amp;"]"&amp;I115&amp;CHAR(10)&amp;B115 &amp;CHAR(9)&amp;U115&amp;CHAR(9)&amp;E115 &amp;CHAR(9),";;Error!")</f>
        <v xml:space="preserve">;[]e
;	stInProg	x	</v>
      </c>
      <c r="AD115" s="9" t="str">
        <f>IF(IFERROR(Q115&gt;0,FALSE),SUBSTITUTE(SUBSTITUTE(SUBSTITUTE(y_archiverXML,"~PVNAME",S115&amp;IF(LEN(X115)&lt;1,"",":RBV")),"~PREFIX",y_Prefix),"~PERIOD",Q115),"")</f>
        <v/>
      </c>
      <c r="AE115" s="20">
        <f>IF(OR(LEFT($I115)="e",LEFT($I115)="g"),AE$1-LEN(S115),"")</f>
        <v>2</v>
      </c>
      <c r="AF115" s="20">
        <f>IF(OR(LEFT($I115)="e",LEFT($I115)="g"),AF$1-LEN(T115),"")</f>
        <v>8</v>
      </c>
      <c r="AG115" s="20">
        <f>IF(OR(LEFT($I115)="e",LEFT($I115)="g"),AG$1-LEN(U115),"")</f>
        <v>8</v>
      </c>
      <c r="AH115" s="20">
        <f>IF(OR(LEFT($I115)="e",LEFT($I115)="g"),AH$1-LEN(V115),"")</f>
        <v>30</v>
      </c>
      <c r="AI115" s="2" t="str">
        <f>IF(ISNUMBER(E115),"0"&amp;LEFT(D115,2)&amp;TEXT(E115,"#.0000"),E115)</f>
        <v>x</v>
      </c>
    </row>
    <row r="116" spans="1:35" x14ac:dyDescent="0.3">
      <c r="A116" s="6" t="str">
        <f>IF(T116&lt;&gt;U116,"&lt;FIND TYPE=ASC&gt;"&amp;R116&amp;"&lt;/FIND&gt;&lt;REPLACE TYPE=ASC&gt;"&amp;S116&amp;"&lt;/REPLACE&gt;"&amp;CHAR(10)&amp;"&lt;FIND TYPE=ASC&gt;"&amp;T116&amp;"&lt;/FIND&gt;&lt;REPLACE TYPE=ASC&gt;"&amp;U116&amp;"&lt;/REPLACE&gt;"&amp;CHAR(10)&amp;"&lt;FIND TYPE=ASC&gt;"&amp;C116&amp;"&lt;/FIND&gt;&lt;REPLACE TYPE=ASC&gt;"&amp;D116&amp;"&lt;/REPLACE&gt;",".")</f>
        <v>.</v>
      </c>
      <c r="B116" s="14" t="s">
        <v>165</v>
      </c>
      <c r="C116" s="30" t="s">
        <v>134</v>
      </c>
      <c r="D116" s="7" t="s">
        <v>134</v>
      </c>
      <c r="E116" s="7" t="s">
        <v>164</v>
      </c>
      <c r="G116" s="8" t="s">
        <v>139</v>
      </c>
      <c r="H116" s="7"/>
      <c r="I116" s="7" t="s">
        <v>128</v>
      </c>
      <c r="J116" s="7"/>
      <c r="K116" s="7"/>
      <c r="L116" s="7"/>
      <c r="M116" s="7"/>
      <c r="N116" s="7"/>
      <c r="O116" s="7"/>
      <c r="P116" s="7"/>
      <c r="Q116" s="7"/>
      <c r="R116" s="17" t="str">
        <f>UPPER(R$1&amp;":"&amp;C116)</f>
        <v>RSCN:ST_MONITOR</v>
      </c>
      <c r="S116" s="9" t="str">
        <f>UPPER(S$1&amp;":"&amp;D116)</f>
        <v>RSCN:ST_MONITOR</v>
      </c>
      <c r="T116" s="17" t="str">
        <f>SUBSTITUTE(C116,"_","")</f>
        <v>stMonitor</v>
      </c>
      <c r="U116" s="9" t="str">
        <f>SUBSTITUTE(D116,"_","")&amp;IF(RIGHT(I116)="u","U","")</f>
        <v>stMonitor</v>
      </c>
      <c r="V116" s="9" t="str">
        <f>IF(ISNUMBER(K116),K116,"$(P):"&amp;$S$1&amp;":"&amp;K116)</f>
        <v>$(P):RSCN:</v>
      </c>
      <c r="W116" s="9" t="str">
        <f>IF(ISNUMBER(L116),L116,"$(P):"&amp;$S$1&amp;":"&amp;L116)</f>
        <v>$(P):RSCN:</v>
      </c>
      <c r="X116" s="9" t="str">
        <f>IF(LEFT(I116)="g",IF(H116="real",y_pmacRascanGSVar,IF(H116="int",y_pmacRascanGSVar,"")),"")</f>
        <v/>
      </c>
      <c r="Y116" s="9" t="str">
        <f>SUBSTITUTE(SUBSTITUTE(SUBSTITUTE(SUBSTITUTE(SUBSTITUTE(SUBSTITUTE(SUBSTITUTE(X116,"~PVNAME",S116),"~EGU",J116),"~PREC",P116),"~VAR",E116),"~CANGET",V116),"~CANSET",W116),"~DESC",LEFT(G116,40))</f>
        <v/>
      </c>
      <c r="Z116" s="32" t="str">
        <f>IF(ISNUMBER($F116),SUBSTITUTE(SUBSTITUTE(SUBSTITUTE(SUBSTITUTE(SUBSTITUTE(SUBSTITUTE(SUBSTITUTE(SUBSTITUTE(y_QLabel &amp; y_QELabel &amp; IF($I116="gsu",y_QELineEdit,""),"~PVNAME",$S116),"~EGU",$J116),"~PREC",$P116),"~VAR",$E116),"~CANGET",$V116),"~CANSET",$W116),"~ROW",$F116),"~NAME",$D116),"")</f>
        <v/>
      </c>
      <c r="AA116" s="9" t="e">
        <f>VLOOKUP(H116,y_EPICS_Formats,2,FALSE)</f>
        <v>#N/A</v>
      </c>
      <c r="AB116" s="9" t="str">
        <f>IF(LEFT(I116)="g",y_Prefix&amp;S116&amp;" = ","")</f>
        <v/>
      </c>
      <c r="AC116" s="9" t="str">
        <f>IFERROR(";"&amp;G116&amp;"["&amp;J116&amp;"]"&amp;I116&amp;CHAR(10)&amp;B116 &amp;CHAR(9)&amp;U116&amp;CHAR(9)&amp;E116 &amp;CHAR(9),";;Error!")</f>
        <v xml:space="preserve">;State: MONITOR[]e
;	stMonitor	x	</v>
      </c>
      <c r="AD116" s="9" t="str">
        <f>IF(IFERROR(Q116&gt;0,FALSE),SUBSTITUTE(SUBSTITUTE(SUBSTITUTE(y_archiverXML,"~PVNAME",S116&amp;IF(LEN(X116)&lt;1,"",":RBV")),"~PREFIX",y_Prefix),"~PERIOD",Q116),"")</f>
        <v/>
      </c>
      <c r="AE116" s="20">
        <f>IF(OR(LEFT($I116)="e",LEFT($I116)="g"),AE$1-LEN(S116),"")</f>
        <v>1</v>
      </c>
      <c r="AF116" s="20">
        <f>IF(OR(LEFT($I116)="e",LEFT($I116)="g"),AF$1-LEN(T116),"")</f>
        <v>7</v>
      </c>
      <c r="AG116" s="20">
        <f>IF(OR(LEFT($I116)="e",LEFT($I116)="g"),AG$1-LEN(U116),"")</f>
        <v>7</v>
      </c>
      <c r="AH116" s="20">
        <f>IF(OR(LEFT($I116)="e",LEFT($I116)="g"),AH$1-LEN(V116),"")</f>
        <v>30</v>
      </c>
      <c r="AI116" s="2" t="str">
        <f>IF(ISNUMBER(E116),"0"&amp;LEFT(D116,2)&amp;TEXT(E116,"#.0000"),E116)</f>
        <v>x</v>
      </c>
    </row>
    <row r="117" spans="1:35" x14ac:dyDescent="0.3">
      <c r="A117" s="6" t="str">
        <f>IF(T117&lt;&gt;U117,"&lt;FIND TYPE=ASC&gt;"&amp;R117&amp;"&lt;/FIND&gt;&lt;REPLACE TYPE=ASC&gt;"&amp;S117&amp;"&lt;/REPLACE&gt;"&amp;CHAR(10)&amp;"&lt;FIND TYPE=ASC&gt;"&amp;T117&amp;"&lt;/FIND&gt;&lt;REPLACE TYPE=ASC&gt;"&amp;U117&amp;"&lt;/REPLACE&gt;"&amp;CHAR(10)&amp;"&lt;FIND TYPE=ASC&gt;"&amp;C117&amp;"&lt;/FIND&gt;&lt;REPLACE TYPE=ASC&gt;"&amp;D117&amp;"&lt;/REPLACE&gt;",".")</f>
        <v>.</v>
      </c>
      <c r="B117" s="14" t="s">
        <v>165</v>
      </c>
      <c r="C117" s="30" t="s">
        <v>129</v>
      </c>
      <c r="D117" s="7" t="s">
        <v>129</v>
      </c>
      <c r="E117" s="7" t="s">
        <v>164</v>
      </c>
      <c r="G117" s="8"/>
      <c r="H117" s="7"/>
      <c r="I117" s="7" t="s">
        <v>128</v>
      </c>
      <c r="J117" s="7"/>
      <c r="K117" s="7"/>
      <c r="L117" s="7"/>
      <c r="M117" s="7"/>
      <c r="N117" s="7"/>
      <c r="O117" s="7"/>
      <c r="P117" s="7"/>
      <c r="Q117" s="7"/>
      <c r="R117" s="17" t="str">
        <f>UPPER(R$1&amp;":"&amp;C117)</f>
        <v>RSCN:ST_NEVER</v>
      </c>
      <c r="S117" s="9" t="str">
        <f>UPPER(S$1&amp;":"&amp;D117)</f>
        <v>RSCN:ST_NEVER</v>
      </c>
      <c r="T117" s="17" t="str">
        <f>SUBSTITUTE(C117,"_","")</f>
        <v>stNever</v>
      </c>
      <c r="U117" s="9" t="str">
        <f>SUBSTITUTE(D117,"_","")&amp;IF(RIGHT(I117)="u","U","")</f>
        <v>stNever</v>
      </c>
      <c r="V117" s="9" t="str">
        <f>IF(ISNUMBER(K117),K117,"$(P):"&amp;$S$1&amp;":"&amp;K117)</f>
        <v>$(P):RSCN:</v>
      </c>
      <c r="W117" s="9" t="str">
        <f>IF(ISNUMBER(L117),L117,"$(P):"&amp;$S$1&amp;":"&amp;L117)</f>
        <v>$(P):RSCN:</v>
      </c>
      <c r="X117" s="9" t="str">
        <f>IF(LEFT(I117)="g",IF(H117="real",y_pmacRascanGSVar,IF(H117="int",y_pmacRascanGSVar,"")),"")</f>
        <v/>
      </c>
      <c r="Y117" s="9" t="str">
        <f>SUBSTITUTE(SUBSTITUTE(SUBSTITUTE(SUBSTITUTE(SUBSTITUTE(SUBSTITUTE(SUBSTITUTE(X117,"~PVNAME",S117),"~EGU",J117),"~PREC",P117),"~VAR",E117),"~CANGET",V117),"~CANSET",W117),"~DESC",LEFT(G117,40))</f>
        <v/>
      </c>
      <c r="Z117" s="32" t="str">
        <f>IF(ISNUMBER($F117),SUBSTITUTE(SUBSTITUTE(SUBSTITUTE(SUBSTITUTE(SUBSTITUTE(SUBSTITUTE(SUBSTITUTE(SUBSTITUTE(y_QLabel &amp; y_QELabel &amp; IF($I117="gsu",y_QELineEdit,""),"~PVNAME",$S117),"~EGU",$J117),"~PREC",$P117),"~VAR",$E117),"~CANGET",$V117),"~CANSET",$W117),"~ROW",$F117),"~NAME",$D117),"")</f>
        <v/>
      </c>
      <c r="AA117" s="9" t="e">
        <f>VLOOKUP(H117,y_EPICS_Formats,2,FALSE)</f>
        <v>#N/A</v>
      </c>
      <c r="AB117" s="9" t="str">
        <f>IF(LEFT(I117)="g",y_Prefix&amp;S117&amp;" = ","")</f>
        <v/>
      </c>
      <c r="AC117" s="9" t="str">
        <f>IFERROR(";"&amp;G117&amp;"["&amp;J117&amp;"]"&amp;I117&amp;CHAR(10)&amp;B117 &amp;CHAR(9)&amp;U117&amp;CHAR(9)&amp;E117 &amp;CHAR(9),";;Error!")</f>
        <v xml:space="preserve">;[]e
;	stNever	x	</v>
      </c>
      <c r="AD117" s="9" t="str">
        <f>IF(IFERROR(Q117&gt;0,FALSE),SUBSTITUTE(SUBSTITUTE(SUBSTITUTE(y_archiverXML,"~PVNAME",S117&amp;IF(LEN(X117)&lt;1,"",":RBV")),"~PREFIX",y_Prefix),"~PERIOD",Q117),"")</f>
        <v/>
      </c>
      <c r="AE117" s="20">
        <f>IF(OR(LEFT($I117)="e",LEFT($I117)="g"),AE$1-LEN(S117),"")</f>
        <v>3</v>
      </c>
      <c r="AF117" s="20">
        <f>IF(OR(LEFT($I117)="e",LEFT($I117)="g"),AF$1-LEN(T117),"")</f>
        <v>9</v>
      </c>
      <c r="AG117" s="20">
        <f>IF(OR(LEFT($I117)="e",LEFT($I117)="g"),AG$1-LEN(U117),"")</f>
        <v>9</v>
      </c>
      <c r="AH117" s="20">
        <f>IF(OR(LEFT($I117)="e",LEFT($I117)="g"),AH$1-LEN(V117),"")</f>
        <v>30</v>
      </c>
      <c r="AI117" s="2" t="str">
        <f>IF(ISNUMBER(E117),"0"&amp;LEFT(D117,2)&amp;TEXT(E117,"#.0000"),E117)</f>
        <v>x</v>
      </c>
    </row>
    <row r="118" spans="1:35" x14ac:dyDescent="0.3">
      <c r="A118" s="6" t="str">
        <f>IF(T118&lt;&gt;U118,"&lt;FIND TYPE=ASC&gt;"&amp;R118&amp;"&lt;/FIND&gt;&lt;REPLACE TYPE=ASC&gt;"&amp;S118&amp;"&lt;/REPLACE&gt;"&amp;CHAR(10)&amp;"&lt;FIND TYPE=ASC&gt;"&amp;T118&amp;"&lt;/FIND&gt;&lt;REPLACE TYPE=ASC&gt;"&amp;U118&amp;"&lt;/REPLACE&gt;"&amp;CHAR(10)&amp;"&lt;FIND TYPE=ASC&gt;"&amp;C118&amp;"&lt;/FIND&gt;&lt;REPLACE TYPE=ASC&gt;"&amp;D118&amp;"&lt;/REPLACE&gt;",".")</f>
        <v>.</v>
      </c>
      <c r="B118" s="14" t="s">
        <v>165</v>
      </c>
      <c r="C118" s="30" t="s">
        <v>133</v>
      </c>
      <c r="D118" s="14" t="s">
        <v>133</v>
      </c>
      <c r="E118" s="14" t="s">
        <v>164</v>
      </c>
      <c r="G118" s="15"/>
      <c r="H118" s="14"/>
      <c r="I118" s="14" t="s">
        <v>128</v>
      </c>
      <c r="J118" s="14"/>
      <c r="K118" s="14"/>
      <c r="L118" s="14"/>
      <c r="M118" s="14"/>
      <c r="N118" s="14"/>
      <c r="O118" s="14"/>
      <c r="P118" s="14"/>
      <c r="Q118" s="7"/>
      <c r="R118" s="18" t="str">
        <f>UPPER(R$1&amp;":"&amp;C118)</f>
        <v>RSCN:ST_TRAJSET</v>
      </c>
      <c r="S118" s="16" t="str">
        <f>UPPER(S$1&amp;":"&amp;D118)</f>
        <v>RSCN:ST_TRAJSET</v>
      </c>
      <c r="T118" s="17" t="str">
        <f>SUBSTITUTE(C118,"_","")</f>
        <v>stTrajSet</v>
      </c>
      <c r="U118" s="9" t="str">
        <f>SUBSTITUTE(D118,"_","")&amp;IF(RIGHT(I118)="u","U","")</f>
        <v>stTrajSet</v>
      </c>
      <c r="V118" s="16" t="str">
        <f>IF(ISNUMBER(K118),K118,"$(P):"&amp;$S$1&amp;":"&amp;K118)</f>
        <v>$(P):RSCN:</v>
      </c>
      <c r="W118" s="16" t="str">
        <f>IF(ISNUMBER(L118),L118,"$(P):"&amp;$S$1&amp;":"&amp;L118)</f>
        <v>$(P):RSCN:</v>
      </c>
      <c r="X118" s="9" t="str">
        <f>IF(LEFT(I118)="g",IF(H118="real",y_pmacRascanGSVar,IF(H118="int",y_pmacRascanGSVar,"")),"")</f>
        <v/>
      </c>
      <c r="Y118" s="16" t="str">
        <f>SUBSTITUTE(SUBSTITUTE(SUBSTITUTE(SUBSTITUTE(SUBSTITUTE(SUBSTITUTE(SUBSTITUTE(X118,"~PVNAME",S118),"~EGU",J118),"~PREC",P118),"~VAR",E118),"~CANGET",V118),"~CANSET",W118),"~DESC",LEFT(G118,40))</f>
        <v/>
      </c>
      <c r="Z118" s="32" t="str">
        <f>IF(ISNUMBER($F118),SUBSTITUTE(SUBSTITUTE(SUBSTITUTE(SUBSTITUTE(SUBSTITUTE(SUBSTITUTE(SUBSTITUTE(SUBSTITUTE(y_QLabel &amp; y_QELabel &amp; IF($I118="gsu",y_QELineEdit,""),"~PVNAME",$S118),"~EGU",$J118),"~PREC",$P118),"~VAR",$E118),"~CANGET",$V118),"~CANSET",$W118),"~ROW",$F118),"~NAME",$D118),"")</f>
        <v/>
      </c>
      <c r="AA118" s="16" t="e">
        <f>VLOOKUP(H118,y_EPICS_Formats,2,FALSE)</f>
        <v>#N/A</v>
      </c>
      <c r="AB118" s="9" t="str">
        <f>IF(LEFT(I118)="g",y_Prefix&amp;S118&amp;" = ","")</f>
        <v/>
      </c>
      <c r="AC118" s="9" t="str">
        <f>IFERROR(";"&amp;G118&amp;"["&amp;J118&amp;"]"&amp;I118&amp;CHAR(10)&amp;B118 &amp;CHAR(9)&amp;U118&amp;CHAR(9)&amp;E118 &amp;CHAR(9),";;Error!")</f>
        <v xml:space="preserve">;[]e
;	stTrajSet	x	</v>
      </c>
      <c r="AD118" s="9" t="str">
        <f>IF(IFERROR(Q118&gt;0,FALSE),SUBSTITUTE(SUBSTITUTE(SUBSTITUTE(y_archiverXML,"~PVNAME",S118&amp;IF(LEN(X118)&lt;1,"",":RBV")),"~PREFIX",y_Prefix),"~PERIOD",Q118),"")</f>
        <v/>
      </c>
      <c r="AE118" s="20">
        <f>IF(OR(LEFT($I118)="e",LEFT($I118)="g"),AE$1-LEN(S118),"")</f>
        <v>1</v>
      </c>
      <c r="AF118" s="20">
        <f>IF(OR(LEFT($I118)="e",LEFT($I118)="g"),AF$1-LEN(T118),"")</f>
        <v>7</v>
      </c>
      <c r="AG118" s="20">
        <f>IF(OR(LEFT($I118)="e",LEFT($I118)="g"),AG$1-LEN(U118),"")</f>
        <v>7</v>
      </c>
      <c r="AH118" s="20">
        <f>IF(OR(LEFT($I118)="e",LEFT($I118)="g"),AH$1-LEN(V118),"")</f>
        <v>30</v>
      </c>
      <c r="AI118" s="2" t="str">
        <f>IF(ISNUMBER(E118),"0"&amp;LEFT(D118,2)&amp;TEXT(E118,"#.0000"),E118)</f>
        <v>x</v>
      </c>
    </row>
    <row r="119" spans="1:35" x14ac:dyDescent="0.3">
      <c r="A119" s="6" t="str">
        <f>IF(T119&lt;&gt;U119,"&lt;FIND TYPE=ASC&gt;"&amp;R119&amp;"&lt;/FIND&gt;&lt;REPLACE TYPE=ASC&gt;"&amp;S119&amp;"&lt;/REPLACE&gt;"&amp;CHAR(10)&amp;"&lt;FIND TYPE=ASC&gt;"&amp;T119&amp;"&lt;/FIND&gt;&lt;REPLACE TYPE=ASC&gt;"&amp;U119&amp;"&lt;/REPLACE&gt;"&amp;CHAR(10)&amp;"&lt;FIND TYPE=ASC&gt;"&amp;C119&amp;"&lt;/FIND&gt;&lt;REPLACE TYPE=ASC&gt;"&amp;D119&amp;"&lt;/REPLACE&gt;",".")</f>
        <v>.</v>
      </c>
      <c r="B119" s="14" t="s">
        <v>165</v>
      </c>
      <c r="E119" s="2" t="s">
        <v>164</v>
      </c>
      <c r="T119" s="17" t="str">
        <f>SUBSTITUTE(C119,"_","")</f>
        <v/>
      </c>
      <c r="U119" s="9" t="str">
        <f>SUBSTITUTE(D119,"_","")&amp;IF(RIGHT(I119)="u","U","")</f>
        <v/>
      </c>
      <c r="V119" s="9" t="str">
        <f>IF(ISNUMBER(K119),K119,"$(P):"&amp;$S$1&amp;":"&amp;K119)</f>
        <v>$(P):RSCN:</v>
      </c>
      <c r="W119" s="9" t="str">
        <f>IF(ISNUMBER(L119),L119,"$(P):"&amp;$S$1&amp;":"&amp;L119)</f>
        <v>$(P):RSCN:</v>
      </c>
      <c r="X119" s="9" t="str">
        <f>IF(LEFT(I119)="g",IF(H119="real",y_pmacRascanGSVar,IF(H119="int",y_pmacRascanGSVar,"")),"")</f>
        <v/>
      </c>
      <c r="Y119" s="9" t="str">
        <f>SUBSTITUTE(SUBSTITUTE(SUBSTITUTE(SUBSTITUTE(SUBSTITUTE(SUBSTITUTE(SUBSTITUTE(X119,"~PVNAME",S119),"~EGU",J119),"~PREC",P119),"~VAR",E119),"~CANGET",V119),"~CANSET",W119),"~DESC",LEFT(G119,40))</f>
        <v/>
      </c>
      <c r="Z119" s="32" t="str">
        <f>IF(ISNUMBER($F119),SUBSTITUTE(SUBSTITUTE(SUBSTITUTE(SUBSTITUTE(SUBSTITUTE(SUBSTITUTE(SUBSTITUTE(SUBSTITUTE(y_QLabel &amp; y_QELabel &amp; IF($I119="gsu",y_QELineEdit,""),"~PVNAME",$S119),"~EGU",$J119),"~PREC",$P119),"~VAR",$E119),"~CANGET",$V119),"~CANSET",$W119),"~ROW",$F119),"~NAME",$D119),"")</f>
        <v/>
      </c>
      <c r="AA119" s="9" t="e">
        <f>VLOOKUP(H119,y_EPICS_Formats,2,FALSE)</f>
        <v>#N/A</v>
      </c>
      <c r="AB119" s="9" t="str">
        <f>IF(LEFT(I119)="g",y_Prefix&amp;S119&amp;" = ","")</f>
        <v/>
      </c>
      <c r="AC119" s="9" t="str">
        <f>IFERROR(";"&amp;G119&amp;"["&amp;J119&amp;"]"&amp;I119&amp;CHAR(10)&amp;B119 &amp;CHAR(9)&amp;U119&amp;CHAR(9)&amp;E119 &amp;CHAR(9),";;Error!")</f>
        <v xml:space="preserve">;[]
;		x	</v>
      </c>
      <c r="AD119" s="9" t="str">
        <f>IF(IFERROR(Q119&gt;0,FALSE),SUBSTITUTE(SUBSTITUTE(SUBSTITUTE(y_archiverXML,"~PVNAME",S119&amp;IF(LEN(X119)&lt;1,"",":RBV")),"~PREFIX",y_Prefix),"~PERIOD",Q119),"")</f>
        <v/>
      </c>
      <c r="AE119" s="20" t="str">
        <f>IF(OR(LEFT($I119)="e",LEFT($I119)="g"),AE$1-LEN(S119),"")</f>
        <v/>
      </c>
      <c r="AF119" s="20" t="str">
        <f>IF(OR(LEFT($I119)="e",LEFT($I119)="g"),AF$1-LEN(T119),"")</f>
        <v/>
      </c>
      <c r="AG119" s="20" t="str">
        <f>IF(OR(LEFT($I119)="e",LEFT($I119)="g"),AG$1-LEN(U119),"")</f>
        <v/>
      </c>
      <c r="AH119" s="20" t="str">
        <f>IF(OR(LEFT($I119)="e",LEFT($I119)="g"),AH$1-LEN(V119),"")</f>
        <v/>
      </c>
      <c r="AI119" s="2" t="str">
        <f>IF(ISNUMBER(E119),"0"&amp;LEFT(D119,2)&amp;TEXT(E119,"#.0000"),E119)</f>
        <v>x</v>
      </c>
    </row>
    <row r="120" spans="1:35" x14ac:dyDescent="0.3">
      <c r="A120" s="6" t="str">
        <f>IF(T120&lt;&gt;U120,"&lt;FIND TYPE=ASC&gt;"&amp;R120&amp;"&lt;/FIND&gt;&lt;REPLACE TYPE=ASC&gt;"&amp;S120&amp;"&lt;/REPLACE&gt;"&amp;CHAR(10)&amp;"&lt;FIND TYPE=ASC&gt;"&amp;T120&amp;"&lt;/FIND&gt;&lt;REPLACE TYPE=ASC&gt;"&amp;U120&amp;"&lt;/REPLACE&gt;"&amp;CHAR(10)&amp;"&lt;FIND TYPE=ASC&gt;"&amp;C120&amp;"&lt;/FIND&gt;&lt;REPLACE TYPE=ASC&gt;"&amp;D120&amp;"&lt;/REPLACE&gt;",".")</f>
        <v>.</v>
      </c>
      <c r="B120" s="14" t="s">
        <v>165</v>
      </c>
      <c r="E120" s="2" t="s">
        <v>164</v>
      </c>
      <c r="T120" s="17" t="str">
        <f>SUBSTITUTE(C120,"_","")</f>
        <v/>
      </c>
      <c r="U120" s="9" t="str">
        <f>SUBSTITUTE(D120,"_","")&amp;IF(RIGHT(I120)="u","U","")</f>
        <v/>
      </c>
      <c r="V120" s="9" t="str">
        <f>IF(ISNUMBER(K120),K120,"$(P):"&amp;$S$1&amp;":"&amp;K120)</f>
        <v>$(P):RSCN:</v>
      </c>
      <c r="W120" s="9" t="str">
        <f>IF(ISNUMBER(L120),L120,"$(P):"&amp;$S$1&amp;":"&amp;L120)</f>
        <v>$(P):RSCN:</v>
      </c>
      <c r="X120" s="9" t="str">
        <f>IF(LEFT(I120)="g",IF(H120="real",y_pmacRascanGSVar,IF(H120="int",y_pmacRascanGSVar,"")),"")</f>
        <v/>
      </c>
      <c r="Y120" s="9" t="str">
        <f>SUBSTITUTE(SUBSTITUTE(SUBSTITUTE(SUBSTITUTE(SUBSTITUTE(SUBSTITUTE(SUBSTITUTE(X120,"~PVNAME",S120),"~EGU",J120),"~PREC",P120),"~VAR",E120),"~CANGET",V120),"~CANSET",W120),"~DESC",LEFT(G120,40))</f>
        <v/>
      </c>
      <c r="Z120" s="32" t="str">
        <f>IF(ISNUMBER($F120),SUBSTITUTE(SUBSTITUTE(SUBSTITUTE(SUBSTITUTE(SUBSTITUTE(SUBSTITUTE(SUBSTITUTE(SUBSTITUTE(y_QLabel &amp; y_QELabel &amp; IF($I120="gsu",y_QELineEdit,""),"~PVNAME",$S120),"~EGU",$J120),"~PREC",$P120),"~VAR",$E120),"~CANGET",$V120),"~CANSET",$W120),"~ROW",$F120),"~NAME",$D120),"")</f>
        <v/>
      </c>
      <c r="AA120" s="9" t="e">
        <f>VLOOKUP(H120,y_EPICS_Formats,2,FALSE)</f>
        <v>#N/A</v>
      </c>
      <c r="AB120" s="9" t="str">
        <f>IF(LEFT(I120)="g",y_Prefix&amp;S120&amp;" = ","")</f>
        <v/>
      </c>
      <c r="AC120" s="9" t="str">
        <f>IFERROR(";"&amp;G120&amp;"["&amp;J120&amp;"]"&amp;I120&amp;CHAR(10)&amp;B120 &amp;CHAR(9)&amp;U120&amp;CHAR(9)&amp;E120 &amp;CHAR(9),";;Error!")</f>
        <v xml:space="preserve">;[]
;		x	</v>
      </c>
      <c r="AD120" s="9" t="str">
        <f>IF(IFERROR(Q120&gt;0,FALSE),SUBSTITUTE(SUBSTITUTE(SUBSTITUTE(y_archiverXML,"~PVNAME",S120&amp;IF(LEN(X120)&lt;1,"",":RBV")),"~PREFIX",y_Prefix),"~PERIOD",Q120),"")</f>
        <v/>
      </c>
      <c r="AE120" s="20" t="str">
        <f>IF(OR(LEFT($I120)="e",LEFT($I120)="g"),AE$1-LEN(S120),"")</f>
        <v/>
      </c>
      <c r="AF120" s="20" t="str">
        <f>IF(OR(LEFT($I120)="e",LEFT($I120)="g"),AF$1-LEN(T120),"")</f>
        <v/>
      </c>
      <c r="AG120" s="20" t="str">
        <f>IF(OR(LEFT($I120)="e",LEFT($I120)="g"),AG$1-LEN(U120),"")</f>
        <v/>
      </c>
      <c r="AH120" s="20" t="str">
        <f>IF(OR(LEFT($I120)="e",LEFT($I120)="g"),AH$1-LEN(V120),"")</f>
        <v/>
      </c>
      <c r="AI120" s="2" t="str">
        <f>IF(ISNUMBER(E120),"0"&amp;LEFT(D120,2)&amp;TEXT(E120,"#.0000"),E120)</f>
        <v>x</v>
      </c>
    </row>
    <row r="121" spans="1:35" x14ac:dyDescent="0.3">
      <c r="A121" s="6" t="str">
        <f>IF(T121&lt;&gt;U121,"&lt;FIND TYPE=ASC&gt;"&amp;R121&amp;"&lt;/FIND&gt;&lt;REPLACE TYPE=ASC&gt;"&amp;S121&amp;"&lt;/REPLACE&gt;"&amp;CHAR(10)&amp;"&lt;FIND TYPE=ASC&gt;"&amp;T121&amp;"&lt;/FIND&gt;&lt;REPLACE TYPE=ASC&gt;"&amp;U121&amp;"&lt;/REPLACE&gt;"&amp;CHAR(10)&amp;"&lt;FIND TYPE=ASC&gt;"&amp;C121&amp;"&lt;/FIND&gt;&lt;REPLACE TYPE=ASC&gt;"&amp;D121&amp;"&lt;/REPLACE&gt;",".")</f>
        <v>.</v>
      </c>
      <c r="B121" s="14" t="s">
        <v>165</v>
      </c>
      <c r="E121" s="2" t="s">
        <v>164</v>
      </c>
      <c r="T121" s="17" t="str">
        <f>SUBSTITUTE(C121,"_","")</f>
        <v/>
      </c>
      <c r="U121" s="9" t="str">
        <f>SUBSTITUTE(D121,"_","")&amp;IF(RIGHT(I121)="u","U","")</f>
        <v/>
      </c>
      <c r="V121" s="9" t="str">
        <f>IF(ISNUMBER(K121),K121,"$(P):"&amp;$S$1&amp;":"&amp;K121)</f>
        <v>$(P):RSCN:</v>
      </c>
      <c r="W121" s="9" t="str">
        <f>IF(ISNUMBER(L121),L121,"$(P):"&amp;$S$1&amp;":"&amp;L121)</f>
        <v>$(P):RSCN:</v>
      </c>
      <c r="X121" s="9" t="str">
        <f>IF(LEFT(I121)="g",IF(H121="real",y_pmacRascanGSVar,IF(H121="int",y_pmacRascanGSVar,"")),"")</f>
        <v/>
      </c>
      <c r="Y121" s="9" t="str">
        <f>SUBSTITUTE(SUBSTITUTE(SUBSTITUTE(SUBSTITUTE(SUBSTITUTE(SUBSTITUTE(SUBSTITUTE(X121,"~PVNAME",S121),"~EGU",J121),"~PREC",P121),"~VAR",E121),"~CANGET",V121),"~CANSET",W121),"~DESC",LEFT(G121,40))</f>
        <v/>
      </c>
      <c r="Z121" s="32" t="str">
        <f>IF(ISNUMBER($F121),SUBSTITUTE(SUBSTITUTE(SUBSTITUTE(SUBSTITUTE(SUBSTITUTE(SUBSTITUTE(SUBSTITUTE(SUBSTITUTE(y_QLabel &amp; y_QELabel &amp; IF($I121="gsu",y_QELineEdit,""),"~PVNAME",$S121),"~EGU",$J121),"~PREC",$P121),"~VAR",$E121),"~CANGET",$V121),"~CANSET",$W121),"~ROW",$F121),"~NAME",$D121),"")</f>
        <v/>
      </c>
      <c r="AA121" s="9" t="e">
        <f>VLOOKUP(H121,y_EPICS_Formats,2,FALSE)</f>
        <v>#N/A</v>
      </c>
      <c r="AB121" s="9" t="str">
        <f>IF(LEFT(I121)="g",y_Prefix&amp;S121&amp;" = ","")</f>
        <v/>
      </c>
      <c r="AC121" s="9" t="str">
        <f>IFERROR(";"&amp;G121&amp;"["&amp;J121&amp;"]"&amp;I121&amp;CHAR(10)&amp;B121 &amp;CHAR(9)&amp;U121&amp;CHAR(9)&amp;E121 &amp;CHAR(9),";;Error!")</f>
        <v xml:space="preserve">;[]
;		x	</v>
      </c>
      <c r="AD121" s="9" t="str">
        <f>IF(IFERROR(Q121&gt;0,FALSE),SUBSTITUTE(SUBSTITUTE(SUBSTITUTE(y_archiverXML,"~PVNAME",S121&amp;IF(LEN(X121)&lt;1,"",":RBV")),"~PREFIX",y_Prefix),"~PERIOD",Q121),"")</f>
        <v/>
      </c>
      <c r="AE121" s="20" t="str">
        <f>IF(OR(LEFT($I121)="e",LEFT($I121)="g"),AE$1-LEN(S121),"")</f>
        <v/>
      </c>
      <c r="AF121" s="20" t="str">
        <f>IF(OR(LEFT($I121)="e",LEFT($I121)="g"),AF$1-LEN(T121),"")</f>
        <v/>
      </c>
      <c r="AG121" s="20" t="str">
        <f>IF(OR(LEFT($I121)="e",LEFT($I121)="g"),AG$1-LEN(U121),"")</f>
        <v/>
      </c>
      <c r="AH121" s="20" t="str">
        <f>IF(OR(LEFT($I121)="e",LEFT($I121)="g"),AH$1-LEN(V121),"")</f>
        <v/>
      </c>
      <c r="AI121" s="2" t="str">
        <f>IF(ISNUMBER(E121),"0"&amp;LEFT(D121,2)&amp;TEXT(E121,"#.0000"),E121)</f>
        <v>x</v>
      </c>
    </row>
    <row r="122" spans="1:35" x14ac:dyDescent="0.3">
      <c r="A122" s="6" t="str">
        <f>IF(T122&lt;&gt;U122,"&lt;FIND TYPE=ASC&gt;"&amp;R122&amp;"&lt;/FIND&gt;&lt;REPLACE TYPE=ASC&gt;"&amp;S122&amp;"&lt;/REPLACE&gt;"&amp;CHAR(10)&amp;"&lt;FIND TYPE=ASC&gt;"&amp;T122&amp;"&lt;/FIND&gt;&lt;REPLACE TYPE=ASC&gt;"&amp;U122&amp;"&lt;/REPLACE&gt;"&amp;CHAR(10)&amp;"&lt;FIND TYPE=ASC&gt;"&amp;C122&amp;"&lt;/FIND&gt;&lt;REPLACE TYPE=ASC&gt;"&amp;D122&amp;"&lt;/REPLACE&gt;",".")</f>
        <v>.</v>
      </c>
      <c r="B122" s="14" t="s">
        <v>165</v>
      </c>
      <c r="E122" s="2" t="s">
        <v>164</v>
      </c>
      <c r="T122" s="17" t="str">
        <f>SUBSTITUTE(C122,"_","")</f>
        <v/>
      </c>
      <c r="U122" s="9" t="str">
        <f>SUBSTITUTE(D122,"_","")&amp;IF(RIGHT(I122)="u","U","")</f>
        <v/>
      </c>
      <c r="V122" s="9" t="str">
        <f>IF(ISNUMBER(K122),K122,"$(P):"&amp;$S$1&amp;":"&amp;K122)</f>
        <v>$(P):RSCN:</v>
      </c>
      <c r="W122" s="9" t="str">
        <f>IF(ISNUMBER(L122),L122,"$(P):"&amp;$S$1&amp;":"&amp;L122)</f>
        <v>$(P):RSCN:</v>
      </c>
      <c r="X122" s="9" t="str">
        <f>IF(LEFT(I122)="g",IF(H122="real",y_pmacRascanGSVar,IF(H122="int",y_pmacRascanGSVar,"")),"")</f>
        <v/>
      </c>
      <c r="Y122" s="9" t="str">
        <f>SUBSTITUTE(SUBSTITUTE(SUBSTITUTE(SUBSTITUTE(SUBSTITUTE(SUBSTITUTE(SUBSTITUTE(X122,"~PVNAME",S122),"~EGU",J122),"~PREC",P122),"~VAR",E122),"~CANGET",V122),"~CANSET",W122),"~DESC",LEFT(G122,40))</f>
        <v/>
      </c>
      <c r="Z122" s="32" t="str">
        <f>IF(ISNUMBER($F122),SUBSTITUTE(SUBSTITUTE(SUBSTITUTE(SUBSTITUTE(SUBSTITUTE(SUBSTITUTE(SUBSTITUTE(SUBSTITUTE(y_QLabel &amp; y_QELabel &amp; IF($I122="gsu",y_QELineEdit,""),"~PVNAME",$S122),"~EGU",$J122),"~PREC",$P122),"~VAR",$E122),"~CANGET",$V122),"~CANSET",$W122),"~ROW",$F122),"~NAME",$D122),"")</f>
        <v/>
      </c>
      <c r="AA122" s="9" t="e">
        <f>VLOOKUP(H122,y_EPICS_Formats,2,FALSE)</f>
        <v>#N/A</v>
      </c>
      <c r="AB122" s="9" t="str">
        <f>IF(LEFT(I122)="g",y_Prefix&amp;S122&amp;" = ","")</f>
        <v/>
      </c>
      <c r="AC122" s="9" t="str">
        <f>IFERROR(";"&amp;G122&amp;"["&amp;J122&amp;"]"&amp;I122&amp;CHAR(10)&amp;B122 &amp;CHAR(9)&amp;U122&amp;CHAR(9)&amp;E122 &amp;CHAR(9),";;Error!")</f>
        <v xml:space="preserve">;[]
;		x	</v>
      </c>
      <c r="AD122" s="9" t="str">
        <f>IF(IFERROR(Q122&gt;0,FALSE),SUBSTITUTE(SUBSTITUTE(SUBSTITUTE(y_archiverXML,"~PVNAME",S122&amp;IF(LEN(X122)&lt;1,"",":RBV")),"~PREFIX",y_Prefix),"~PERIOD",Q122),"")</f>
        <v/>
      </c>
      <c r="AE122" s="20" t="str">
        <f>IF(OR(LEFT($I122)="e",LEFT($I122)="g"),AE$1-LEN(S122),"")</f>
        <v/>
      </c>
      <c r="AF122" s="20" t="str">
        <f>IF(OR(LEFT($I122)="e",LEFT($I122)="g"),AF$1-LEN(T122),"")</f>
        <v/>
      </c>
      <c r="AG122" s="20" t="str">
        <f>IF(OR(LEFT($I122)="e",LEFT($I122)="g"),AG$1-LEN(U122),"")</f>
        <v/>
      </c>
      <c r="AH122" s="20" t="str">
        <f>IF(OR(LEFT($I122)="e",LEFT($I122)="g"),AH$1-LEN(V122),"")</f>
        <v/>
      </c>
      <c r="AI122" s="2" t="str">
        <f>IF(ISNUMBER(E122),"0"&amp;LEFT(D122,2)&amp;TEXT(E122,"#.0000"),E122)</f>
        <v>x</v>
      </c>
    </row>
    <row r="123" spans="1:35" x14ac:dyDescent="0.3">
      <c r="A123" s="6" t="str">
        <f>IF(T123&lt;&gt;U123,"&lt;FIND TYPE=ASC&gt;"&amp;R123&amp;"&lt;/FIND&gt;&lt;REPLACE TYPE=ASC&gt;"&amp;S123&amp;"&lt;/REPLACE&gt;"&amp;CHAR(10)&amp;"&lt;FIND TYPE=ASC&gt;"&amp;T123&amp;"&lt;/FIND&gt;&lt;REPLACE TYPE=ASC&gt;"&amp;U123&amp;"&lt;/REPLACE&gt;"&amp;CHAR(10)&amp;"&lt;FIND TYPE=ASC&gt;"&amp;C123&amp;"&lt;/FIND&gt;&lt;REPLACE TYPE=ASC&gt;"&amp;D123&amp;"&lt;/REPLACE&gt;",".")</f>
        <v>.</v>
      </c>
      <c r="B123" s="14" t="s">
        <v>165</v>
      </c>
      <c r="E123" s="2" t="s">
        <v>164</v>
      </c>
      <c r="T123" s="17" t="str">
        <f>SUBSTITUTE(C123,"_","")</f>
        <v/>
      </c>
      <c r="U123" s="9" t="str">
        <f>SUBSTITUTE(D123,"_","")&amp;IF(RIGHT(I123)="u","U","")</f>
        <v/>
      </c>
      <c r="V123" s="9" t="str">
        <f>IF(ISNUMBER(K123),K123,"$(P):"&amp;$S$1&amp;":"&amp;K123)</f>
        <v>$(P):RSCN:</v>
      </c>
      <c r="W123" s="9" t="str">
        <f>IF(ISNUMBER(L123),L123,"$(P):"&amp;$S$1&amp;":"&amp;L123)</f>
        <v>$(P):RSCN:</v>
      </c>
      <c r="X123" s="9" t="str">
        <f>IF(LEFT(I123)="g",IF(H123="real",y_pmacRascanGSVar,IF(H123="int",y_pmacRascanGSVar,"")),"")</f>
        <v/>
      </c>
      <c r="Y123" s="9" t="str">
        <f>SUBSTITUTE(SUBSTITUTE(SUBSTITUTE(SUBSTITUTE(SUBSTITUTE(SUBSTITUTE(SUBSTITUTE(X123,"~PVNAME",S123),"~EGU",J123),"~PREC",P123),"~VAR",E123),"~CANGET",V123),"~CANSET",W123),"~DESC",LEFT(G123,40))</f>
        <v/>
      </c>
      <c r="Z123" s="32" t="str">
        <f>IF(ISNUMBER($F123),SUBSTITUTE(SUBSTITUTE(SUBSTITUTE(SUBSTITUTE(SUBSTITUTE(SUBSTITUTE(SUBSTITUTE(SUBSTITUTE(y_QLabel &amp; y_QELabel &amp; IF($I123="gsu",y_QELineEdit,""),"~PVNAME",$S123),"~EGU",$J123),"~PREC",$P123),"~VAR",$E123),"~CANGET",$V123),"~CANSET",$W123),"~ROW",$F123),"~NAME",$D123),"")</f>
        <v/>
      </c>
      <c r="AA123" s="9" t="e">
        <f>VLOOKUP(H123,y_EPICS_Formats,2,FALSE)</f>
        <v>#N/A</v>
      </c>
      <c r="AB123" s="9" t="str">
        <f>IF(LEFT(I123)="g",y_Prefix&amp;S123&amp;" = ","")</f>
        <v/>
      </c>
      <c r="AC123" s="9" t="str">
        <f>IFERROR(";"&amp;G123&amp;"["&amp;J123&amp;"]"&amp;I123&amp;CHAR(10)&amp;B123 &amp;CHAR(9)&amp;U123&amp;CHAR(9)&amp;E123 &amp;CHAR(9),";;Error!")</f>
        <v xml:space="preserve">;[]
;		x	</v>
      </c>
      <c r="AD123" s="9" t="str">
        <f>IF(IFERROR(Q123&gt;0,FALSE),SUBSTITUTE(SUBSTITUTE(SUBSTITUTE(y_archiverXML,"~PVNAME",S123&amp;IF(LEN(X123)&lt;1,"",":RBV")),"~PREFIX",y_Prefix),"~PERIOD",Q123),"")</f>
        <v/>
      </c>
      <c r="AE123" s="20" t="str">
        <f>IF(OR(LEFT($I123)="e",LEFT($I123)="g"),AE$1-LEN(S123),"")</f>
        <v/>
      </c>
      <c r="AF123" s="20" t="str">
        <f>IF(OR(LEFT($I123)="e",LEFT($I123)="g"),AF$1-LEN(T123),"")</f>
        <v/>
      </c>
      <c r="AG123" s="20" t="str">
        <f>IF(OR(LEFT($I123)="e",LEFT($I123)="g"),AG$1-LEN(U123),"")</f>
        <v/>
      </c>
      <c r="AH123" s="20" t="str">
        <f>IF(OR(LEFT($I123)="e",LEFT($I123)="g"),AH$1-LEN(V123),"")</f>
        <v/>
      </c>
      <c r="AI123" s="2" t="str">
        <f>IF(ISNUMBER(E123),"0"&amp;LEFT(D123,2)&amp;TEXT(E123,"#.0000"),E123)</f>
        <v>x</v>
      </c>
    </row>
    <row r="124" spans="1:35" x14ac:dyDescent="0.3">
      <c r="A124" s="6" t="str">
        <f>IF(T124&lt;&gt;U124,"&lt;FIND TYPE=ASC&gt;"&amp;R124&amp;"&lt;/FIND&gt;&lt;REPLACE TYPE=ASC&gt;"&amp;S124&amp;"&lt;/REPLACE&gt;"&amp;CHAR(10)&amp;"&lt;FIND TYPE=ASC&gt;"&amp;T124&amp;"&lt;/FIND&gt;&lt;REPLACE TYPE=ASC&gt;"&amp;U124&amp;"&lt;/REPLACE&gt;"&amp;CHAR(10)&amp;"&lt;FIND TYPE=ASC&gt;"&amp;C124&amp;"&lt;/FIND&gt;&lt;REPLACE TYPE=ASC&gt;"&amp;D124&amp;"&lt;/REPLACE&gt;",".")</f>
        <v>.</v>
      </c>
      <c r="B124" s="14" t="s">
        <v>165</v>
      </c>
      <c r="C124" s="31"/>
      <c r="D124" s="10"/>
      <c r="E124" s="10" t="s">
        <v>164</v>
      </c>
      <c r="F124" s="11"/>
      <c r="G124" s="12"/>
      <c r="H124" s="10"/>
      <c r="I124" s="10"/>
      <c r="J124" s="10"/>
      <c r="K124" s="10"/>
      <c r="L124" s="10"/>
      <c r="M124" s="10"/>
      <c r="N124" s="10"/>
      <c r="O124" s="10"/>
      <c r="P124" s="10"/>
      <c r="Q124" s="10"/>
      <c r="R124" s="19"/>
      <c r="S124" s="13"/>
      <c r="T124" s="17" t="str">
        <f>SUBSTITUTE(C124,"_","")</f>
        <v/>
      </c>
      <c r="U124" s="9" t="str">
        <f>SUBSTITUTE(D124,"_","")&amp;IF(RIGHT(I124)="u","U","")</f>
        <v/>
      </c>
      <c r="V124" s="13" t="str">
        <f>IF(ISNUMBER(K124),K124,"$(P):"&amp;$S$1&amp;":"&amp;K124)</f>
        <v>$(P):RSCN:</v>
      </c>
      <c r="W124" s="13" t="str">
        <f>IF(ISNUMBER(L124),L124,"$(P):"&amp;$S$1&amp;":"&amp;L124)</f>
        <v>$(P):RSCN:</v>
      </c>
      <c r="X124" s="9" t="str">
        <f>IF(LEFT(I124)="g",IF(H124="real",y_pmacRascanGSVar,IF(H124="int",y_pmacRascanGSVar,"")),"")</f>
        <v/>
      </c>
      <c r="Y124" s="13" t="str">
        <f>SUBSTITUTE(SUBSTITUTE(SUBSTITUTE(SUBSTITUTE(SUBSTITUTE(SUBSTITUTE(SUBSTITUTE(X124,"~PVNAME",S124),"~EGU",J124),"~PREC",P124),"~VAR",E124),"~CANGET",V124),"~CANSET",W124),"~DESC",LEFT(G124,40))</f>
        <v/>
      </c>
      <c r="Z124" s="32" t="str">
        <f>IF(ISNUMBER($F124),SUBSTITUTE(SUBSTITUTE(SUBSTITUTE(SUBSTITUTE(SUBSTITUTE(SUBSTITUTE(SUBSTITUTE(SUBSTITUTE(y_QLabel &amp; y_QELabel &amp; IF($I124="gsu",y_QELineEdit,""),"~PVNAME",$S124),"~EGU",$J124),"~PREC",$P124),"~VAR",$E124),"~CANGET",$V124),"~CANSET",$W124),"~ROW",$F124),"~NAME",$D124),"")</f>
        <v/>
      </c>
      <c r="AA124" s="13" t="e">
        <f>VLOOKUP(H124,y_EPICS_Formats,2,FALSE)</f>
        <v>#N/A</v>
      </c>
      <c r="AB124" s="9" t="str">
        <f>IF(LEFT(I124)="g",y_Prefix&amp;S124&amp;" = ","")</f>
        <v/>
      </c>
      <c r="AC124" s="9" t="str">
        <f>IFERROR(";"&amp;G124&amp;"["&amp;J124&amp;"]"&amp;I124&amp;CHAR(10)&amp;B124 &amp;CHAR(9)&amp;U124&amp;CHAR(9)&amp;E124 &amp;CHAR(9),";;Error!")</f>
        <v xml:space="preserve">;[]
;		x	</v>
      </c>
      <c r="AD124" s="9" t="str">
        <f>IF(IFERROR(Q124&gt;0,FALSE),SUBSTITUTE(SUBSTITUTE(SUBSTITUTE(y_archiverXML,"~PVNAME",S124&amp;IF(LEN(X124)&lt;1,"",":RBV")),"~PREFIX",y_Prefix),"~PERIOD",Q124),"")</f>
        <v/>
      </c>
      <c r="AE124" s="20" t="str">
        <f>IF(OR(LEFT($I124)="e",LEFT($I124)="g"),AE$1-LEN(S124),"")</f>
        <v/>
      </c>
      <c r="AF124" s="20" t="str">
        <f>IF(OR(LEFT($I124)="e",LEFT($I124)="g"),AF$1-LEN(T124),"")</f>
        <v/>
      </c>
      <c r="AG124" s="20" t="str">
        <f>IF(OR(LEFT($I124)="e",LEFT($I124)="g"),AG$1-LEN(U124),"")</f>
        <v/>
      </c>
      <c r="AH124" s="20" t="str">
        <f>IF(OR(LEFT($I124)="e",LEFT($I124)="g"),AH$1-LEN(V124),"")</f>
        <v/>
      </c>
      <c r="AI124" s="2" t="str">
        <f>IF(ISNUMBER(E124),"0"&amp;LEFT(D124,2)&amp;TEXT(E124,"#.0000"),E124)</f>
        <v>x</v>
      </c>
    </row>
    <row r="125" spans="1:35" x14ac:dyDescent="0.3">
      <c r="A125" s="6" t="str">
        <f>IF(T125&lt;&gt;U125,"&lt;FIND TYPE=ASC&gt;"&amp;R125&amp;"&lt;/FIND&gt;&lt;REPLACE TYPE=ASC&gt;"&amp;S125&amp;"&lt;/REPLACE&gt;"&amp;CHAR(10)&amp;"&lt;FIND TYPE=ASC&gt;"&amp;T125&amp;"&lt;/FIND&gt;&lt;REPLACE TYPE=ASC&gt;"&amp;U125&amp;"&lt;/REPLACE&gt;"&amp;CHAR(10)&amp;"&lt;FIND TYPE=ASC&gt;"&amp;C125&amp;"&lt;/FIND&gt;&lt;REPLACE TYPE=ASC&gt;"&amp;D125&amp;"&lt;/REPLACE&gt;",".")</f>
        <v>.</v>
      </c>
      <c r="B125" s="7" t="s">
        <v>38</v>
      </c>
      <c r="C125" s="30" t="s">
        <v>570</v>
      </c>
      <c r="D125" s="7" t="s">
        <v>570</v>
      </c>
      <c r="E125" s="7" t="s">
        <v>55</v>
      </c>
      <c r="G125" s="8"/>
      <c r="H125" s="7"/>
      <c r="I125" s="7"/>
      <c r="J125" s="7"/>
      <c r="K125" s="7"/>
      <c r="L125" s="7"/>
      <c r="M125" s="7"/>
      <c r="N125" s="7"/>
      <c r="O125" s="7"/>
      <c r="P125" s="7"/>
      <c r="Q125" s="7"/>
      <c r="R125" s="17" t="str">
        <f>UPPER(R$1&amp;":"&amp;C125)</f>
        <v>RSCN:D1_SPANOBS</v>
      </c>
      <c r="S125" s="9" t="str">
        <f>UPPER(S$1&amp;":"&amp;D125)</f>
        <v>RSCN:D1_SPANOBS</v>
      </c>
      <c r="T125" s="17" t="str">
        <f>SUBSTITUTE(C125,"_","")</f>
        <v>d1SpanOBS</v>
      </c>
      <c r="U125" s="9" t="str">
        <f>SUBSTITUTE(D125,"_","")&amp;IF(RIGHT(I125)="u","U","")</f>
        <v>d1SpanOBS</v>
      </c>
      <c r="V125" s="9" t="str">
        <f>IF(ISNUMBER(K125),K125,"$(P):"&amp;$S$1&amp;":"&amp;K125)</f>
        <v>$(P):RSCN:</v>
      </c>
      <c r="W125" s="9" t="str">
        <f>IF(ISNUMBER(L125),L125,"$(P):"&amp;$S$1&amp;":"&amp;L125)</f>
        <v>$(P):RSCN:</v>
      </c>
      <c r="X125" s="9" t="str">
        <f>IF(LEFT(I125)="g",IF(H125="real",y_pmacRascanGSVar,IF(H125="int",y_pmacRascanGSVar,"")),"")</f>
        <v/>
      </c>
      <c r="Y125" s="9" t="str">
        <f>SUBSTITUTE(SUBSTITUTE(SUBSTITUTE(SUBSTITUTE(SUBSTITUTE(SUBSTITUTE(SUBSTITUTE(X125,"~PVNAME",S125),"~EGU",J125),"~PREC",P125),"~VAR",E125),"~CANGET",V125),"~CANSET",W125),"~DESC",LEFT(G125,40))</f>
        <v/>
      </c>
      <c r="Z125" s="32" t="str">
        <f>IF(ISNUMBER($F125),SUBSTITUTE(SUBSTITUTE(SUBSTITUTE(SUBSTITUTE(SUBSTITUTE(SUBSTITUTE(SUBSTITUTE(SUBSTITUTE(y_QLabel &amp; y_QELabel &amp; IF($I125="gsu",y_QELineEdit,""),"~PVNAME",$S125),"~EGU",$J125),"~PREC",$P125),"~VAR",$E125),"~CANGET",$V125),"~CANSET",$W125),"~ROW",$F125),"~NAME",$D125),"")</f>
        <v/>
      </c>
      <c r="AA125" s="9" t="e">
        <f>VLOOKUP(H125,y_EPICS_Formats,2,FALSE)</f>
        <v>#N/A</v>
      </c>
      <c r="AB125" s="9" t="str">
        <f>IF(LEFT(I125)="g",y_Prefix&amp;S125&amp;" = ","")</f>
        <v/>
      </c>
      <c r="AC125" s="9" t="str">
        <f>IFERROR(";"&amp;G125&amp;"["&amp;J125&amp;"]"&amp;I125&amp;CHAR(10)&amp;B125 &amp;CHAR(9)&amp;U125&amp;CHAR(9)&amp;E125 &amp;CHAR(9),";;Error!")</f>
        <v xml:space="preserve">;[]
#define	d1SpanOBS	none	</v>
      </c>
      <c r="AD125" s="9" t="str">
        <f>IF(IFERROR(Q125&gt;0,FALSE),SUBSTITUTE(SUBSTITUTE(SUBSTITUTE(y_archiverXML,"~PVNAME",S125&amp;IF(LEN(X125)&lt;1,"",":RBV")),"~PREFIX",y_Prefix),"~PERIOD",Q125),"")</f>
        <v/>
      </c>
      <c r="AE125" s="20" t="str">
        <f>IF(OR(LEFT($I125)="e",LEFT($I125)="g"),AE$1-LEN(S125),"")</f>
        <v/>
      </c>
      <c r="AF125" s="20" t="str">
        <f>IF(OR(LEFT($I125)="e",LEFT($I125)="g"),AF$1-LEN(T125),"")</f>
        <v/>
      </c>
      <c r="AG125" s="20" t="str">
        <f>IF(OR(LEFT($I125)="e",LEFT($I125)="g"),AG$1-LEN(U125),"")</f>
        <v/>
      </c>
      <c r="AH125" s="20" t="str">
        <f>IF(OR(LEFT($I125)="e",LEFT($I125)="g"),AH$1-LEN(V125),"")</f>
        <v/>
      </c>
      <c r="AI125" s="2" t="str">
        <f>IF(ISNUMBER(E125),"0"&amp;LEFT(D125,2)&amp;TEXT(E125,"#.0000"),E125)</f>
        <v>none</v>
      </c>
    </row>
    <row r="126" spans="1:35" x14ac:dyDescent="0.3">
      <c r="A126" s="6" t="str">
        <f>IF(T126&lt;&gt;U126,"&lt;FIND TYPE=ASC&gt;"&amp;R126&amp;"&lt;/FIND&gt;&lt;REPLACE TYPE=ASC&gt;"&amp;S126&amp;"&lt;/REPLACE&gt;"&amp;CHAR(10)&amp;"&lt;FIND TYPE=ASC&gt;"&amp;T126&amp;"&lt;/FIND&gt;&lt;REPLACE TYPE=ASC&gt;"&amp;U126&amp;"&lt;/REPLACE&gt;"&amp;CHAR(10)&amp;"&lt;FIND TYPE=ASC&gt;"&amp;C126&amp;"&lt;/FIND&gt;&lt;REPLACE TYPE=ASC&gt;"&amp;D126&amp;"&lt;/REPLACE&gt;",".")</f>
        <v>.</v>
      </c>
      <c r="B126" s="7" t="s">
        <v>38</v>
      </c>
      <c r="C126" s="30" t="s">
        <v>602</v>
      </c>
      <c r="D126" s="7" t="s">
        <v>602</v>
      </c>
      <c r="E126" s="7" t="s">
        <v>55</v>
      </c>
      <c r="G126" s="8" t="s">
        <v>603</v>
      </c>
      <c r="H126" s="7" t="s">
        <v>43</v>
      </c>
      <c r="I126" s="7" t="s">
        <v>639</v>
      </c>
      <c r="J126" s="7" t="s">
        <v>171</v>
      </c>
      <c r="K126" s="7" t="s">
        <v>138</v>
      </c>
      <c r="L126" s="7" t="s">
        <v>137</v>
      </c>
      <c r="M126" s="7"/>
      <c r="N126" s="7">
        <v>-9999999</v>
      </c>
      <c r="O126" s="7">
        <v>9999999</v>
      </c>
      <c r="P126" s="7">
        <v>3</v>
      </c>
      <c r="Q126" s="7">
        <v>30</v>
      </c>
      <c r="R126" s="17" t="str">
        <f>UPPER(R$1&amp;":"&amp;C126)</f>
        <v>RSCN:V1_TOLRATIO</v>
      </c>
      <c r="S126" s="9" t="str">
        <f>UPPER(S$1&amp;":"&amp;D126)</f>
        <v>RSCN:V1_TOLRATIO</v>
      </c>
      <c r="T126" s="17" t="str">
        <f>SUBSTITUTE(C126,"_","")</f>
        <v>v1TolRatio</v>
      </c>
      <c r="U126" s="9" t="str">
        <f>SUBSTITUTE(D126,"_","")&amp;IF(RIGHT(I126)="u","U","")</f>
        <v>v1TolRatio</v>
      </c>
      <c r="V126" s="9" t="str">
        <f>IF(ISNUMBER(K126),K126,"$(P):"&amp;$S$1&amp;":"&amp;K126)</f>
        <v>$(P):RSCN:ST_MONITOR</v>
      </c>
      <c r="W126" s="9" t="str">
        <f>IF(ISNUMBER(L126),L126,"$(P):"&amp;$S$1&amp;":"&amp;L126)</f>
        <v>$(P):RSCN:ST_TRAJSET</v>
      </c>
      <c r="X126" s="9" t="str">
        <f>IF(LEFT(I126)="g",IF(H126="real",y_pmacRascanGSVar,IF(H126="int",y_pmacRascanGSVar,"")),"")</f>
        <v/>
      </c>
      <c r="Y126" s="9" t="str">
        <f>SUBSTITUTE(SUBSTITUTE(SUBSTITUTE(SUBSTITUTE(SUBSTITUTE(SUBSTITUTE(SUBSTITUTE(X126,"~PVNAME",S126),"~EGU",J126),"~PREC",P126),"~VAR",E126),"~CANGET",V126),"~CANSET",W126),"~DESC",LEFT(G126,40))</f>
        <v/>
      </c>
      <c r="Z126" s="32" t="str">
        <f>IF(ISNUMBER($F126),SUBSTITUTE(SUBSTITUTE(SUBSTITUTE(SUBSTITUTE(SUBSTITUTE(SUBSTITUTE(SUBSTITUTE(SUBSTITUTE(y_QLabel &amp; y_QELabel &amp; IF($I126="gsu",y_QELineEdit,""),"~PVNAME",$S126),"~EGU",$J126),"~PREC",$P126),"~VAR",$E126),"~CANGET",$V126),"~CANSET",$W126),"~ROW",$F126),"~NAME",$D126),"")</f>
        <v/>
      </c>
      <c r="AA126" s="9" t="str">
        <f>VLOOKUP(H126,y_EPICS_Formats,2,FALSE)</f>
        <v>%f</v>
      </c>
      <c r="AB126" s="9" t="str">
        <f>IF(LEFT(I126)="g",y_Prefix&amp;S126&amp;" = ","")</f>
        <v/>
      </c>
      <c r="AC126" s="9" t="str">
        <f>IFERROR(";"&amp;G126&amp;"["&amp;J126&amp;"]"&amp;I126&amp;CHAR(10)&amp;B126 &amp;CHAR(9)&amp;U126&amp;CHAR(9)&amp;E126 &amp;CHAR(9),";;Error!")</f>
        <v xml:space="preserve">;Fly axis line scan velocity tolerance ratio[EGU/s]n
#define	v1TolRatio	none	</v>
      </c>
      <c r="AD126" s="9" t="str">
        <f>IF(IFERROR(Q126&gt;0,FALSE),SUBSTITUTE(SUBSTITUTE(SUBSTITUTE(y_archiverXML,"~PVNAME",S126&amp;IF(LEN(X126)&lt;1,"",":RBV")),"~PREFIX",y_Prefix),"~PERIOD",Q126),"")</f>
        <v xml:space="preserve">      &lt;channel&gt;
         &lt;name&gt;SR05ID01FST01:RSCN:V1_TOLRATIO&lt;/name&gt;
         &lt;period&gt;30&lt;/period&gt;
         &lt;monitor/&gt;
      &lt;/channel&gt;</v>
      </c>
      <c r="AE126" s="20" t="str">
        <f>IF(OR(LEFT($I126)="e",LEFT($I126)="g"),AE$1-LEN(S126),"")</f>
        <v/>
      </c>
      <c r="AF126" s="20" t="str">
        <f>IF(OR(LEFT($I126)="e",LEFT($I126)="g"),AF$1-LEN(T126),"")</f>
        <v/>
      </c>
      <c r="AG126" s="20" t="str">
        <f>IF(OR(LEFT($I126)="e",LEFT($I126)="g"),AG$1-LEN(U126),"")</f>
        <v/>
      </c>
      <c r="AH126" s="20" t="str">
        <f>IF(OR(LEFT($I126)="e",LEFT($I126)="g"),AH$1-LEN(V126),"")</f>
        <v/>
      </c>
      <c r="AI126" s="2" t="str">
        <f>IF(ISNUMBER(E126),"0"&amp;LEFT(D126,2)&amp;TEXT(E126,"#.0000"),E126)</f>
        <v>none</v>
      </c>
    </row>
  </sheetData>
  <sheetProtection deleteColumns="0" deleteRows="0" sort="0" autoFilter="0"/>
  <autoFilter ref="A3:AI126">
    <sortState ref="A4:AI126">
      <sortCondition ref="E3:E126"/>
    </sortState>
  </autoFilter>
  <sortState ref="B7:O16">
    <sortCondition ref="E7:E16"/>
  </sortState>
  <dataConsolidate function="varp"/>
  <customSheetViews>
    <customSheetView guid="{2E790F67-B1CF-4589-8EE3-FDE1E951836B}" scale="85" showAutoFilter="1">
      <pane xSplit="4" ySplit="3" topLeftCell="E49" activePane="bottomRight" state="frozen"/>
      <selection pane="bottomRight" activeCell="C72" sqref="C72"/>
      <pageMargins left="0.7" right="0.7" top="0.75" bottom="0.75" header="0.3" footer="0.3"/>
      <pageSetup paperSize="9" orientation="portrait" r:id="rId1"/>
      <autoFilter ref="A3:AD90">
        <sortState ref="A4:AD93">
          <sortCondition ref="E3:E93"/>
        </sortState>
      </autoFilter>
    </customSheetView>
  </customSheetViews>
  <pageMargins left="0.7" right="0.7" top="0.75" bottom="0.75" header="0.3" footer="0.3"/>
  <pageSetup paperSize="9" orientation="portrait" r:id="rId2"/>
  <drawing r:id="rId3"/>
  <legacyDrawing r:id="rId4"/>
  <controls>
    <mc:AlternateContent xmlns:mc="http://schemas.openxmlformats.org/markup-compatibility/2006">
      <mc:Choice Requires="x14">
        <control shapeId="3080" r:id="rId5" name="L_ExportArchiverXML">
          <controlPr defaultSize="0" autoFill="0" autoLine="0" r:id="rId6">
            <anchor moveWithCells="1">
              <from>
                <xdr:col>29</xdr:col>
                <xdr:colOff>120770</xdr:colOff>
                <xdr:row>2</xdr:row>
                <xdr:rowOff>25879</xdr:rowOff>
              </from>
              <to>
                <xdr:col>29</xdr:col>
                <xdr:colOff>552091</xdr:colOff>
                <xdr:row>2</xdr:row>
                <xdr:rowOff>388189</xdr:rowOff>
              </to>
            </anchor>
          </controlPr>
        </control>
      </mc:Choice>
      <mc:Fallback>
        <control shapeId="3080" r:id="rId5" name="L_ExportArchiverXML"/>
      </mc:Fallback>
    </mc:AlternateContent>
    <mc:AlternateContent xmlns:mc="http://schemas.openxmlformats.org/markup-compatibility/2006">
      <mc:Choice Requires="x14">
        <control shapeId="3079" r:id="rId7" name="L_ExportEPICS">
          <controlPr defaultSize="0" autoFill="0" autoLine="0" r:id="rId8">
            <anchor moveWithCells="1">
              <from>
                <xdr:col>24</xdr:col>
                <xdr:colOff>51758</xdr:colOff>
                <xdr:row>2</xdr:row>
                <xdr:rowOff>25879</xdr:rowOff>
              </from>
              <to>
                <xdr:col>24</xdr:col>
                <xdr:colOff>483079</xdr:colOff>
                <xdr:row>2</xdr:row>
                <xdr:rowOff>388189</xdr:rowOff>
              </to>
            </anchor>
          </controlPr>
        </control>
      </mc:Choice>
      <mc:Fallback>
        <control shapeId="3079" r:id="rId7" name="L_ExportEPICS"/>
      </mc:Fallback>
    </mc:AlternateContent>
    <mc:AlternateContent xmlns:mc="http://schemas.openxmlformats.org/markup-compatibility/2006">
      <mc:Choice Requires="x14">
        <control shapeId="3077" r:id="rId9" name="L_ExportPMAC">
          <controlPr defaultSize="0" autoFill="0" autoLine="0" r:id="rId10">
            <anchor moveWithCells="1">
              <from>
                <xdr:col>28</xdr:col>
                <xdr:colOff>77638</xdr:colOff>
                <xdr:row>2</xdr:row>
                <xdr:rowOff>25879</xdr:rowOff>
              </from>
              <to>
                <xdr:col>28</xdr:col>
                <xdr:colOff>508958</xdr:colOff>
                <xdr:row>2</xdr:row>
                <xdr:rowOff>388189</xdr:rowOff>
              </to>
            </anchor>
          </controlPr>
        </control>
      </mc:Choice>
      <mc:Fallback>
        <control shapeId="3077" r:id="rId9" name="L_ExportPMAC"/>
      </mc:Fallback>
    </mc:AlternateContent>
    <mc:AlternateContent xmlns:mc="http://schemas.openxmlformats.org/markup-compatibility/2006">
      <mc:Choice Requires="x14">
        <control shapeId="3081" r:id="rId11" name="L_ExportFindReplace">
          <controlPr defaultSize="0" autoFill="0" autoLine="0" r:id="rId12">
            <anchor moveWithCells="1">
              <from>
                <xdr:col>0</xdr:col>
                <xdr:colOff>8626</xdr:colOff>
                <xdr:row>2</xdr:row>
                <xdr:rowOff>86264</xdr:rowOff>
              </from>
              <to>
                <xdr:col>1</xdr:col>
                <xdr:colOff>69011</xdr:colOff>
                <xdr:row>2</xdr:row>
                <xdr:rowOff>448574</xdr:rowOff>
              </to>
            </anchor>
          </controlPr>
        </control>
      </mc:Choice>
      <mc:Fallback>
        <control shapeId="3081" r:id="rId11" name="L_ExportFindReplac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1">
    <tabColor theme="5" tint="0.39997558519241921"/>
  </sheetPr>
  <dimension ref="A2:G14"/>
  <sheetViews>
    <sheetView workbookViewId="0">
      <selection activeCell="G11" sqref="G11"/>
    </sheetView>
  </sheetViews>
  <sheetFormatPr defaultRowHeight="14.3" x14ac:dyDescent="0.25"/>
  <cols>
    <col min="1" max="4" width="7.375" customWidth="1"/>
    <col min="7" max="8" width="97" customWidth="1"/>
  </cols>
  <sheetData>
    <row r="2" spans="1:7" ht="14.95" x14ac:dyDescent="0.25">
      <c r="A2" t="s">
        <v>50</v>
      </c>
      <c r="B2" t="s">
        <v>51</v>
      </c>
      <c r="C2" t="s">
        <v>28</v>
      </c>
      <c r="D2" t="s">
        <v>52</v>
      </c>
    </row>
    <row r="3" spans="1:7" ht="14.95" x14ac:dyDescent="0.25">
      <c r="A3" t="s">
        <v>30</v>
      </c>
      <c r="B3" t="s">
        <v>53</v>
      </c>
      <c r="C3" t="s">
        <v>39</v>
      </c>
      <c r="D3">
        <f>2^47</f>
        <v>140737488355328</v>
      </c>
    </row>
    <row r="4" spans="1:7" ht="14.95" x14ac:dyDescent="0.25">
      <c r="A4" t="s">
        <v>41</v>
      </c>
      <c r="B4" t="s">
        <v>54</v>
      </c>
      <c r="C4" t="s">
        <v>46</v>
      </c>
    </row>
    <row r="5" spans="1:7" ht="14.95" x14ac:dyDescent="0.25">
      <c r="A5" t="s">
        <v>55</v>
      </c>
      <c r="B5" t="str">
        <f>""</f>
        <v/>
      </c>
      <c r="C5" t="s">
        <v>42</v>
      </c>
    </row>
    <row r="6" spans="1:7" ht="14.95" x14ac:dyDescent="0.25">
      <c r="A6" t="s">
        <v>43</v>
      </c>
      <c r="B6" t="s">
        <v>56</v>
      </c>
    </row>
    <row r="7" spans="1:7" ht="14.95" x14ac:dyDescent="0.25">
      <c r="A7" t="s">
        <v>57</v>
      </c>
      <c r="B7" t="s">
        <v>53</v>
      </c>
    </row>
    <row r="9" spans="1:7" ht="165.1" x14ac:dyDescent="0.25">
      <c r="G9" s="1" t="s">
        <v>122</v>
      </c>
    </row>
    <row r="10" spans="1:7" ht="271.05" x14ac:dyDescent="0.25">
      <c r="G10" s="1" t="s">
        <v>67</v>
      </c>
    </row>
    <row r="11" spans="1:7" ht="99.85" x14ac:dyDescent="0.25">
      <c r="G11" s="1" t="s">
        <v>65</v>
      </c>
    </row>
    <row r="12" spans="1:7" ht="99.85" x14ac:dyDescent="0.25">
      <c r="G12" s="1" t="s">
        <v>66</v>
      </c>
    </row>
    <row r="13" spans="1:7" ht="71.349999999999994" x14ac:dyDescent="0.25">
      <c r="G13" s="1" t="s">
        <v>149</v>
      </c>
    </row>
    <row r="14" spans="1:7" x14ac:dyDescent="0.25">
      <c r="G14" s="1"/>
    </row>
  </sheetData>
  <autoFilter ref="A2:B7">
    <sortState ref="A3:B7">
      <sortCondition ref="A2:A7"/>
    </sortState>
  </autoFilter>
  <customSheetViews>
    <customSheetView guid="{2E790F67-B1CF-4589-8EE3-FDE1E951836B}" showAutoFilter="1" topLeftCell="A10">
      <selection activeCell="G13" sqref="G13"/>
      <pageMargins left="0.7" right="0.7" top="0.75" bottom="0.75" header="0.3" footer="0.3"/>
      <pageSetup paperSize="9" orientation="portrait" r:id="rId1"/>
      <autoFilter ref="A2:B7">
        <sortState ref="A3:B7">
          <sortCondition ref="A2:A7"/>
        </sortState>
      </autoFilter>
    </customSheetView>
  </customSheetViews>
  <pageMargins left="0.7" right="0.7" top="0.75" bottom="0.75" header="0.3" footer="0.3"/>
  <pageSetup paperSize="9" orientation="portrait"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D7:H18"/>
  <sheetViews>
    <sheetView workbookViewId="0">
      <selection activeCell="D51" sqref="D51"/>
    </sheetView>
  </sheetViews>
  <sheetFormatPr defaultRowHeight="14.3" x14ac:dyDescent="0.25"/>
  <cols>
    <col min="4" max="4" width="25.75" customWidth="1"/>
    <col min="5" max="7" width="43.125" customWidth="1"/>
  </cols>
  <sheetData>
    <row r="7" spans="4:8" x14ac:dyDescent="0.25">
      <c r="F7" t="s">
        <v>7</v>
      </c>
      <c r="H7" t="s">
        <v>1</v>
      </c>
    </row>
    <row r="8" spans="4:8" x14ac:dyDescent="0.25">
      <c r="D8" t="s">
        <v>5</v>
      </c>
      <c r="E8" t="s">
        <v>2</v>
      </c>
    </row>
    <row r="9" spans="4:8" x14ac:dyDescent="0.25">
      <c r="D9" t="s">
        <v>0</v>
      </c>
      <c r="E9" t="s">
        <v>3</v>
      </c>
      <c r="H9" t="s">
        <v>6</v>
      </c>
    </row>
    <row r="10" spans="4:8" x14ac:dyDescent="0.25">
      <c r="D10" t="s">
        <v>4</v>
      </c>
      <c r="H10" t="s">
        <v>6</v>
      </c>
    </row>
    <row r="17" spans="4:4" x14ac:dyDescent="0.25">
      <c r="D17">
        <f>0.00000003/0.3</f>
        <v>9.9999999999999995E-8</v>
      </c>
    </row>
    <row r="18" spans="4:4" x14ac:dyDescent="0.25">
      <c r="D18">
        <f>0.00000015/0.3</f>
        <v>4.9999999999999998E-7</v>
      </c>
    </row>
  </sheetData>
  <customSheetViews>
    <customSheetView guid="{2E790F67-B1CF-4589-8EE3-FDE1E951836B}">
      <selection activeCell="D51" sqref="D51"/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I22"/>
  <sheetViews>
    <sheetView workbookViewId="0">
      <selection activeCell="I22" sqref="I22"/>
    </sheetView>
  </sheetViews>
  <sheetFormatPr defaultRowHeight="14.3" x14ac:dyDescent="0.25"/>
  <cols>
    <col min="4" max="4" width="29.75" customWidth="1"/>
    <col min="5" max="5" width="34.375" customWidth="1"/>
    <col min="8" max="8" width="69.375" bestFit="1" customWidth="1"/>
    <col min="9" max="9" width="24" customWidth="1"/>
  </cols>
  <sheetData>
    <row r="1" spans="1:9" ht="14.95" x14ac:dyDescent="0.25">
      <c r="A1" t="s">
        <v>15</v>
      </c>
      <c r="B1">
        <v>30</v>
      </c>
      <c r="C1" t="s">
        <v>16</v>
      </c>
    </row>
    <row r="2" spans="1:9" ht="14.95" x14ac:dyDescent="0.25">
      <c r="A2" t="s">
        <v>17</v>
      </c>
      <c r="B2">
        <v>360</v>
      </c>
      <c r="C2" t="s">
        <v>18</v>
      </c>
    </row>
    <row r="6" spans="1:9" ht="14.3" customHeight="1" x14ac:dyDescent="0.25"/>
    <row r="7" spans="1:9" ht="14.95" x14ac:dyDescent="0.25">
      <c r="D7" t="s">
        <v>14</v>
      </c>
      <c r="E7" t="s">
        <v>12</v>
      </c>
      <c r="F7" t="s">
        <v>13</v>
      </c>
      <c r="H7" t="s">
        <v>19</v>
      </c>
      <c r="I7" t="s">
        <v>20</v>
      </c>
    </row>
    <row r="8" spans="1:9" ht="14.95" x14ac:dyDescent="0.25">
      <c r="D8" t="s">
        <v>8</v>
      </c>
      <c r="E8" t="e">
        <f>COS(k_Yth/180*PI())</f>
        <v>#NAME?</v>
      </c>
      <c r="H8" t="str">
        <f xml:space="preserve"> $D8&amp;"_Pinv_egu = "&amp;IF(ISNUMBER(E8),$D8&amp;"_"&amp;E$7&amp;"0_egu+"&amp;E$7&amp;"_Pcmd_egu*"&amp;E8,"") &amp; IF(ISNUMBER(F8)," + "&amp;$D8&amp;"_"&amp;F$7&amp;"0_egu+"&amp;F$7&amp;"_Pcmd_egu*"&amp;F8,"")</f>
        <v xml:space="preserve">m1_Pinv_egu = </v>
      </c>
      <c r="I8" t="str">
        <f t="shared" ref="I8:I9" si="0">E$7&amp;"_rbv_egu = "&amp;IF(ISNUMBER(E8),"("&amp;D8&amp;"_Prbv_egu-"&amp;D8&amp;"_"&amp;E$7&amp;"0_egu)/"&amp;E8,"")&amp;IF(ISNUMBER(F8)," + ("&amp;D8&amp;"_Prbv_egu-"&amp;D8&amp;"_"&amp;F$7&amp;"0_egu)/"&amp;F8,"")</f>
        <v xml:space="preserve">X_rbv_egu = </v>
      </c>
    </row>
    <row r="9" spans="1:9" ht="14.95" x14ac:dyDescent="0.25">
      <c r="D9" t="s">
        <v>9</v>
      </c>
      <c r="F9">
        <v>10000</v>
      </c>
      <c r="H9" t="str">
        <f t="shared" ref="H9:H11" si="1" xml:space="preserve"> $D9&amp;"_Pinv_egu = "&amp;IF(ISNUMBER(E9),$D9&amp;"_"&amp;E$7&amp;"0_egu+"&amp;E$7&amp;"_Pcmd_egu*"&amp;E9,"") &amp; IF(ISNUMBER(F9)," + "&amp;$D9&amp;"_"&amp;F$7&amp;"0_egu+"&amp;F$7&amp;"_Pcmd_egu*"&amp;F9,"")</f>
        <v>m2_Pinv_egu =  + m2_Y0_egu+Y_Pcmd_egu*10000</v>
      </c>
      <c r="I9" t="str">
        <f t="shared" si="0"/>
        <v>X_rbv_egu =  + (m2_Prbv_egu-m2_Y0_egu)/10000</v>
      </c>
    </row>
    <row r="10" spans="1:9" ht="14.95" x14ac:dyDescent="0.25">
      <c r="D10" t="s">
        <v>10</v>
      </c>
      <c r="E10" t="e">
        <f>-SIN(k_Yth/180*PI())</f>
        <v>#NAME?</v>
      </c>
      <c r="F10">
        <v>3</v>
      </c>
      <c r="H10" t="str">
        <f t="shared" si="1"/>
        <v>m3_Pinv_egu =  + m3_Y0_egu+Y_Pcmd_egu*3</v>
      </c>
      <c r="I10" t="str">
        <f>E$7&amp;"_rbv_egu = "&amp;IF(ISNUMBER(E10),"("&amp;D10&amp;"_Prbv_egu-"&amp;D10&amp;"_"&amp;E$7&amp;"0_egu)/"&amp;E10,"")&amp;IF(ISNUMBER(F10)," + ("&amp;D10&amp;"_Prbv_egu-"&amp;D10&amp;"_"&amp;F$7&amp;"0_egu)/"&amp;F10,"")</f>
        <v>X_rbv_egu =  + (m3_Prbv_egu-m3_Y0_egu)/3</v>
      </c>
    </row>
    <row r="11" spans="1:9" ht="14.95" x14ac:dyDescent="0.25">
      <c r="D11" t="s">
        <v>11</v>
      </c>
      <c r="F11">
        <v>20</v>
      </c>
      <c r="H11" t="str">
        <f t="shared" si="1"/>
        <v>m4_Pinv_egu =  + m4_Y0_egu+Y_Pcmd_egu*20</v>
      </c>
      <c r="I11" t="str">
        <f t="shared" ref="I11" si="2">E$7&amp;"_rbv_egu = "&amp;IF(ISNUMBER(E11),"("&amp;D11&amp;"_Prbv_egu-"&amp;D11&amp;"_"&amp;E$7&amp;"0_egu)/"&amp;E11,"")&amp;IF(ISNUMBER(F11)," + ("&amp;D11&amp;"_Prbv_egu-"&amp;D11&amp;"_"&amp;F$7&amp;"0_egu)/"&amp;F11,"")</f>
        <v>X_rbv_egu =  + (m4_Prbv_egu-m4_Y0_egu)/20</v>
      </c>
    </row>
    <row r="18" spans="4:9" x14ac:dyDescent="0.25">
      <c r="D18" t="s">
        <v>14</v>
      </c>
      <c r="E18" t="s">
        <v>12</v>
      </c>
      <c r="F18" t="s">
        <v>13</v>
      </c>
      <c r="H18" t="s">
        <v>19</v>
      </c>
      <c r="I18" t="s">
        <v>20</v>
      </c>
    </row>
    <row r="19" spans="4:9" x14ac:dyDescent="0.25">
      <c r="D19" t="s">
        <v>8</v>
      </c>
      <c r="E19" t="s">
        <v>23</v>
      </c>
      <c r="H19" t="str">
        <f xml:space="preserve"> $D19&amp;"_Pinv_egu = "&amp;$D19&amp;"_X0_egu+"&amp;SUBSTITUTE(SUBSTITUTE(E19,"YY","Y_Pcmd_egu"),"XX","X_Pcmd_egu")</f>
        <v>m1_Pinv_egu = m1_X0_egu+X_Pcmd_egu*cos(Yth)+Y_Pcmd_egu</v>
      </c>
      <c r="I19" t="str">
        <f t="shared" ref="I19:I20" si="3">E$7&amp;"_rbv_egu = "&amp;IF(ISNUMBER(E19),"("&amp;D19&amp;"_Prbv_egu-"&amp;D19&amp;"_"&amp;E$7&amp;"0_egu)/"&amp;E19,"")&amp;IF(ISNUMBER(F19)," + ("&amp;D19&amp;"_Prbv_egu-"&amp;D19&amp;"_"&amp;F$7&amp;"0_egu)/"&amp;F19,"")</f>
        <v xml:space="preserve">X_rbv_egu = </v>
      </c>
    </row>
    <row r="20" spans="4:9" x14ac:dyDescent="0.25">
      <c r="D20" t="s">
        <v>9</v>
      </c>
      <c r="E20" t="s">
        <v>21</v>
      </c>
      <c r="F20">
        <v>10000</v>
      </c>
      <c r="H20" t="str">
        <f t="shared" ref="H20:H22" si="4" xml:space="preserve"> $D20&amp;"_Pinv_egu = "&amp;$D20&amp;"_X0_egu+"&amp;SUBSTITUTE(SUBSTITUTE(E20,"YY","Y_Pcmd_egu"),"XX","X_Pcmd_egu")</f>
        <v>m2_Pinv_egu = m2_X0_egu+10000*Y_Pcmd_egu</v>
      </c>
      <c r="I20" t="str">
        <f t="shared" si="3"/>
        <v>X_rbv_egu =  + (m2_Prbv_egu-m2_Y0_egu)/10000</v>
      </c>
    </row>
    <row r="21" spans="4:9" x14ac:dyDescent="0.25">
      <c r="D21" t="s">
        <v>10</v>
      </c>
      <c r="E21" t="s">
        <v>22</v>
      </c>
      <c r="F21">
        <v>3</v>
      </c>
      <c r="H21" t="str">
        <f t="shared" si="4"/>
        <v>m3_Pinv_egu = m3_X0_egu+X_Pcmd_egu*-sin(Yth)</v>
      </c>
      <c r="I21" t="str">
        <f>E$7&amp;"_rbv_egu = "&amp;IF(ISNUMBER(E21),"("&amp;D21&amp;"_Prbv_egu-"&amp;D21&amp;"_"&amp;E$7&amp;"0_egu)/"&amp;E21,"")&amp;IF(ISNUMBER(F21)," + ("&amp;D21&amp;"_Prbv_egu-"&amp;D21&amp;"_"&amp;F$7&amp;"0_egu)/"&amp;F21,"")</f>
        <v>X_rbv_egu =  + (m3_Prbv_egu-m3_Y0_egu)/3</v>
      </c>
    </row>
    <row r="22" spans="4:9" x14ac:dyDescent="0.25">
      <c r="D22" t="s">
        <v>11</v>
      </c>
      <c r="F22">
        <v>20</v>
      </c>
      <c r="H22" t="str">
        <f t="shared" si="4"/>
        <v>m4_Pinv_egu = m4_X0_egu+</v>
      </c>
      <c r="I22" t="str">
        <f t="shared" ref="I22" si="5">E$7&amp;"_rbv_egu = "&amp;IF(ISNUMBER(E22),"("&amp;D22&amp;"_Prbv_egu-"&amp;D22&amp;"_"&amp;E$7&amp;"0_egu)/"&amp;E22,"")&amp;IF(ISNUMBER(F22)," + ("&amp;D22&amp;"_Prbv_egu-"&amp;D22&amp;"_"&amp;F$7&amp;"0_egu)/"&amp;F22,"")</f>
        <v>X_rbv_egu =  + (m4_Prbv_egu-m4_Y0_egu)/20</v>
      </c>
    </row>
  </sheetData>
  <customSheetViews>
    <customSheetView guid="{2E790F67-B1CF-4589-8EE3-FDE1E951836B}">
      <selection activeCell="C21" sqref="C21"/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L144"/>
  <sheetViews>
    <sheetView workbookViewId="0">
      <selection activeCell="A2" sqref="A2"/>
    </sheetView>
  </sheetViews>
  <sheetFormatPr defaultRowHeight="14.3" x14ac:dyDescent="0.25"/>
  <cols>
    <col min="1" max="1" width="34.625" bestFit="1" customWidth="1"/>
    <col min="2" max="2" width="6" bestFit="1" customWidth="1"/>
    <col min="3" max="3" width="22.25" bestFit="1" customWidth="1"/>
    <col min="4" max="4" width="16.375" bestFit="1" customWidth="1"/>
    <col min="5" max="5" width="21.5" bestFit="1" customWidth="1"/>
    <col min="6" max="6" width="6" bestFit="1" customWidth="1"/>
    <col min="7" max="7" width="8.875" bestFit="1" customWidth="1"/>
    <col min="8" max="8" width="4.75" bestFit="1" customWidth="1"/>
    <col min="9" max="9" width="6.25" bestFit="1" customWidth="1"/>
    <col min="10" max="10" width="6.5" bestFit="1" customWidth="1"/>
    <col min="11" max="11" width="6.375" bestFit="1" customWidth="1"/>
    <col min="12" max="12" width="76.875" bestFit="1" customWidth="1"/>
    <col min="13" max="13" width="18" customWidth="1"/>
  </cols>
  <sheetData>
    <row r="1" spans="1:12" x14ac:dyDescent="0.25">
      <c r="A1" t="s">
        <v>477</v>
      </c>
    </row>
    <row r="2" spans="1:12" x14ac:dyDescent="0.25">
      <c r="A2" t="s">
        <v>178</v>
      </c>
      <c r="B2" t="s">
        <v>179</v>
      </c>
      <c r="C2" t="s">
        <v>180</v>
      </c>
      <c r="D2" t="s">
        <v>181</v>
      </c>
      <c r="E2" t="s">
        <v>182</v>
      </c>
      <c r="F2" t="s">
        <v>183</v>
      </c>
      <c r="G2" t="s">
        <v>184</v>
      </c>
      <c r="H2" t="s">
        <v>185</v>
      </c>
      <c r="I2" t="s">
        <v>186</v>
      </c>
      <c r="J2" t="s">
        <v>187</v>
      </c>
      <c r="K2" t="s">
        <v>188</v>
      </c>
      <c r="L2" t="s">
        <v>189</v>
      </c>
    </row>
    <row r="3" spans="1:12" x14ac:dyDescent="0.25">
      <c r="A3" t="s">
        <v>190</v>
      </c>
      <c r="B3" t="s">
        <v>191</v>
      </c>
      <c r="C3" t="s">
        <v>192</v>
      </c>
      <c r="D3" t="s">
        <v>193</v>
      </c>
      <c r="E3" t="s">
        <v>194</v>
      </c>
      <c r="F3" t="s">
        <v>195</v>
      </c>
      <c r="G3" t="s">
        <v>196</v>
      </c>
      <c r="H3" t="s">
        <v>197</v>
      </c>
      <c r="I3" t="s">
        <v>198</v>
      </c>
      <c r="J3" t="s">
        <v>199</v>
      </c>
      <c r="K3" t="s">
        <v>200</v>
      </c>
      <c r="L3" t="s">
        <v>201</v>
      </c>
    </row>
    <row r="4" spans="1:12" x14ac:dyDescent="0.25">
      <c r="A4" t="s">
        <v>202</v>
      </c>
      <c r="B4" t="s">
        <v>191</v>
      </c>
      <c r="C4" t="s">
        <v>203</v>
      </c>
      <c r="D4" t="s">
        <v>203</v>
      </c>
      <c r="E4" t="s">
        <v>204</v>
      </c>
      <c r="F4" t="s">
        <v>195</v>
      </c>
      <c r="G4" t="s">
        <v>196</v>
      </c>
      <c r="H4" t="s">
        <v>197</v>
      </c>
      <c r="I4" t="s">
        <v>198</v>
      </c>
      <c r="J4" t="s">
        <v>199</v>
      </c>
      <c r="K4" t="s">
        <v>200</v>
      </c>
      <c r="L4" t="s">
        <v>205</v>
      </c>
    </row>
    <row r="5" spans="1:12" x14ac:dyDescent="0.25">
      <c r="A5" t="s">
        <v>206</v>
      </c>
      <c r="B5" t="s">
        <v>207</v>
      </c>
      <c r="C5">
        <v>3512</v>
      </c>
      <c r="D5">
        <v>2048</v>
      </c>
      <c r="E5" t="s">
        <v>208</v>
      </c>
      <c r="F5">
        <v>0</v>
      </c>
      <c r="G5">
        <v>4095</v>
      </c>
      <c r="H5">
        <v>1</v>
      </c>
      <c r="I5" t="s">
        <v>198</v>
      </c>
      <c r="J5" t="s">
        <v>199</v>
      </c>
      <c r="K5" t="s">
        <v>200</v>
      </c>
    </row>
    <row r="6" spans="1:12" x14ac:dyDescent="0.25">
      <c r="A6" t="s">
        <v>209</v>
      </c>
      <c r="B6" t="s">
        <v>207</v>
      </c>
      <c r="C6">
        <v>2048</v>
      </c>
      <c r="D6">
        <v>2048</v>
      </c>
      <c r="E6" t="s">
        <v>210</v>
      </c>
      <c r="F6">
        <v>0</v>
      </c>
      <c r="G6">
        <v>4095</v>
      </c>
      <c r="H6">
        <v>1</v>
      </c>
      <c r="I6" t="s">
        <v>198</v>
      </c>
      <c r="J6" t="s">
        <v>199</v>
      </c>
      <c r="K6" t="s">
        <v>200</v>
      </c>
    </row>
    <row r="7" spans="1:12" x14ac:dyDescent="0.25">
      <c r="A7" t="s">
        <v>211</v>
      </c>
      <c r="B7" t="s">
        <v>191</v>
      </c>
      <c r="C7" t="s">
        <v>212</v>
      </c>
      <c r="D7" t="s">
        <v>212</v>
      </c>
      <c r="E7" t="s">
        <v>213</v>
      </c>
      <c r="F7" t="s">
        <v>195</v>
      </c>
      <c r="G7" t="s">
        <v>196</v>
      </c>
      <c r="H7" t="s">
        <v>197</v>
      </c>
      <c r="I7" t="s">
        <v>198</v>
      </c>
      <c r="J7" t="s">
        <v>199</v>
      </c>
      <c r="K7" t="s">
        <v>200</v>
      </c>
      <c r="L7" t="s">
        <v>214</v>
      </c>
    </row>
    <row r="8" spans="1:12" x14ac:dyDescent="0.25">
      <c r="A8" t="s">
        <v>215</v>
      </c>
      <c r="B8" t="s">
        <v>216</v>
      </c>
      <c r="C8" t="s">
        <v>217</v>
      </c>
      <c r="D8" t="s">
        <v>217</v>
      </c>
      <c r="E8" t="s">
        <v>218</v>
      </c>
      <c r="F8" t="s">
        <v>195</v>
      </c>
      <c r="G8" t="s">
        <v>196</v>
      </c>
      <c r="H8" t="s">
        <v>197</v>
      </c>
      <c r="I8" t="s">
        <v>198</v>
      </c>
      <c r="J8" t="s">
        <v>199</v>
      </c>
      <c r="K8" t="s">
        <v>200</v>
      </c>
    </row>
    <row r="9" spans="1:12" x14ac:dyDescent="0.25">
      <c r="A9" t="s">
        <v>219</v>
      </c>
      <c r="B9" t="s">
        <v>41</v>
      </c>
      <c r="C9">
        <v>250</v>
      </c>
      <c r="D9" t="s">
        <v>220</v>
      </c>
      <c r="E9" t="s">
        <v>221</v>
      </c>
      <c r="F9">
        <v>0</v>
      </c>
      <c r="G9">
        <v>400</v>
      </c>
      <c r="H9" t="s">
        <v>197</v>
      </c>
      <c r="I9" t="s">
        <v>222</v>
      </c>
      <c r="J9" t="s">
        <v>223</v>
      </c>
      <c r="K9" t="s">
        <v>224</v>
      </c>
    </row>
    <row r="10" spans="1:12" x14ac:dyDescent="0.25">
      <c r="A10" t="s">
        <v>225</v>
      </c>
      <c r="B10" t="s">
        <v>191</v>
      </c>
      <c r="C10" t="s">
        <v>226</v>
      </c>
      <c r="D10" t="s">
        <v>226</v>
      </c>
      <c r="E10" t="s">
        <v>227</v>
      </c>
      <c r="F10" t="s">
        <v>195</v>
      </c>
      <c r="G10" t="s">
        <v>196</v>
      </c>
      <c r="H10" t="s">
        <v>197</v>
      </c>
      <c r="I10" t="s">
        <v>198</v>
      </c>
      <c r="J10" t="s">
        <v>199</v>
      </c>
      <c r="K10" t="s">
        <v>200</v>
      </c>
      <c r="L10" t="s">
        <v>228</v>
      </c>
    </row>
    <row r="11" spans="1:12" x14ac:dyDescent="0.25">
      <c r="A11" t="s">
        <v>229</v>
      </c>
      <c r="B11" t="s">
        <v>207</v>
      </c>
      <c r="C11">
        <v>3.2478332999999998E-2</v>
      </c>
      <c r="D11">
        <v>0</v>
      </c>
      <c r="E11" t="s">
        <v>230</v>
      </c>
      <c r="F11">
        <v>-1</v>
      </c>
      <c r="G11">
        <v>1</v>
      </c>
      <c r="H11">
        <v>0.1</v>
      </c>
      <c r="I11" t="s">
        <v>198</v>
      </c>
      <c r="J11" t="s">
        <v>199</v>
      </c>
      <c r="K11" t="s">
        <v>224</v>
      </c>
    </row>
    <row r="12" spans="1:12" x14ac:dyDescent="0.25">
      <c r="A12" t="s">
        <v>231</v>
      </c>
      <c r="B12" t="s">
        <v>191</v>
      </c>
      <c r="C12" t="s">
        <v>232</v>
      </c>
      <c r="D12" t="s">
        <v>232</v>
      </c>
      <c r="E12" t="s">
        <v>233</v>
      </c>
      <c r="F12" t="s">
        <v>195</v>
      </c>
      <c r="G12" t="s">
        <v>196</v>
      </c>
      <c r="H12" t="s">
        <v>197</v>
      </c>
      <c r="I12" t="s">
        <v>198</v>
      </c>
      <c r="J12" t="s">
        <v>199</v>
      </c>
      <c r="K12" t="s">
        <v>224</v>
      </c>
      <c r="L12" t="s">
        <v>234</v>
      </c>
    </row>
    <row r="13" spans="1:12" x14ac:dyDescent="0.25">
      <c r="A13" t="s">
        <v>235</v>
      </c>
      <c r="B13" t="s">
        <v>216</v>
      </c>
      <c r="C13" t="s">
        <v>236</v>
      </c>
      <c r="D13" t="s">
        <v>236</v>
      </c>
      <c r="E13" t="s">
        <v>237</v>
      </c>
      <c r="F13" t="s">
        <v>195</v>
      </c>
      <c r="G13" t="s">
        <v>196</v>
      </c>
      <c r="H13" t="s">
        <v>197</v>
      </c>
      <c r="I13" t="s">
        <v>198</v>
      </c>
      <c r="J13" t="s">
        <v>199</v>
      </c>
      <c r="K13" t="s">
        <v>224</v>
      </c>
    </row>
    <row r="14" spans="1:12" x14ac:dyDescent="0.25">
      <c r="A14" t="s">
        <v>238</v>
      </c>
      <c r="B14" t="s">
        <v>41</v>
      </c>
      <c r="C14">
        <v>5</v>
      </c>
      <c r="D14">
        <v>250</v>
      </c>
      <c r="E14" t="s">
        <v>239</v>
      </c>
      <c r="F14">
        <v>0</v>
      </c>
      <c r="G14">
        <v>1020</v>
      </c>
      <c r="H14" t="s">
        <v>197</v>
      </c>
      <c r="I14" t="s">
        <v>198</v>
      </c>
      <c r="J14" t="s">
        <v>199</v>
      </c>
      <c r="K14" t="s">
        <v>224</v>
      </c>
    </row>
    <row r="15" spans="1:12" x14ac:dyDescent="0.25">
      <c r="A15" t="s">
        <v>240</v>
      </c>
      <c r="B15" t="s">
        <v>41</v>
      </c>
      <c r="C15">
        <v>5</v>
      </c>
      <c r="D15">
        <v>25</v>
      </c>
      <c r="E15" t="s">
        <v>241</v>
      </c>
      <c r="F15">
        <v>0</v>
      </c>
      <c r="G15">
        <v>125</v>
      </c>
      <c r="H15" t="s">
        <v>197</v>
      </c>
      <c r="I15" t="s">
        <v>198</v>
      </c>
      <c r="J15" t="s">
        <v>199</v>
      </c>
      <c r="K15" t="s">
        <v>224</v>
      </c>
    </row>
    <row r="16" spans="1:12" x14ac:dyDescent="0.25">
      <c r="A16" t="s">
        <v>242</v>
      </c>
      <c r="B16" t="s">
        <v>207</v>
      </c>
      <c r="C16">
        <v>-2.4986458E-2</v>
      </c>
      <c r="D16">
        <v>-2.4994087000000002E-2</v>
      </c>
      <c r="E16" t="s">
        <v>243</v>
      </c>
      <c r="F16">
        <v>-1</v>
      </c>
      <c r="G16">
        <v>1</v>
      </c>
      <c r="H16" t="s">
        <v>197</v>
      </c>
      <c r="I16" t="s">
        <v>198</v>
      </c>
      <c r="J16" t="s">
        <v>199</v>
      </c>
      <c r="K16" t="s">
        <v>224</v>
      </c>
    </row>
    <row r="17" spans="1:12" x14ac:dyDescent="0.25">
      <c r="A17" t="s">
        <v>244</v>
      </c>
      <c r="B17" t="s">
        <v>41</v>
      </c>
      <c r="C17">
        <v>0</v>
      </c>
      <c r="D17" t="s">
        <v>220</v>
      </c>
      <c r="E17" t="s">
        <v>245</v>
      </c>
      <c r="F17" t="s">
        <v>195</v>
      </c>
      <c r="G17" t="s">
        <v>196</v>
      </c>
      <c r="H17" t="s">
        <v>197</v>
      </c>
      <c r="I17" t="s">
        <v>198</v>
      </c>
      <c r="J17" t="s">
        <v>223</v>
      </c>
      <c r="K17" t="s">
        <v>224</v>
      </c>
    </row>
    <row r="18" spans="1:12" x14ac:dyDescent="0.25">
      <c r="A18" t="s">
        <v>246</v>
      </c>
      <c r="B18" t="s">
        <v>191</v>
      </c>
      <c r="C18" t="s">
        <v>247</v>
      </c>
      <c r="D18" t="s">
        <v>220</v>
      </c>
      <c r="E18" t="s">
        <v>248</v>
      </c>
      <c r="F18" t="s">
        <v>195</v>
      </c>
      <c r="G18" t="s">
        <v>196</v>
      </c>
      <c r="H18" t="s">
        <v>197</v>
      </c>
      <c r="I18" t="s">
        <v>198</v>
      </c>
      <c r="J18" t="s">
        <v>223</v>
      </c>
      <c r="K18" t="s">
        <v>224</v>
      </c>
      <c r="L18" t="s">
        <v>249</v>
      </c>
    </row>
    <row r="19" spans="1:12" x14ac:dyDescent="0.25">
      <c r="A19" t="s">
        <v>250</v>
      </c>
      <c r="B19" t="s">
        <v>191</v>
      </c>
      <c r="C19" t="s">
        <v>251</v>
      </c>
      <c r="D19" t="s">
        <v>232</v>
      </c>
      <c r="E19" t="s">
        <v>252</v>
      </c>
      <c r="F19" t="s">
        <v>195</v>
      </c>
      <c r="G19" t="s">
        <v>196</v>
      </c>
      <c r="H19" t="s">
        <v>197</v>
      </c>
      <c r="I19" t="s">
        <v>198</v>
      </c>
      <c r="J19" t="s">
        <v>199</v>
      </c>
      <c r="K19" t="s">
        <v>224</v>
      </c>
      <c r="L19" t="s">
        <v>253</v>
      </c>
    </row>
    <row r="20" spans="1:12" x14ac:dyDescent="0.25">
      <c r="A20" t="s">
        <v>254</v>
      </c>
      <c r="B20" t="s">
        <v>41</v>
      </c>
      <c r="C20">
        <v>4095</v>
      </c>
      <c r="D20">
        <v>4095</v>
      </c>
      <c r="E20" t="s">
        <v>255</v>
      </c>
      <c r="F20">
        <v>0</v>
      </c>
      <c r="G20">
        <v>4095</v>
      </c>
      <c r="H20" t="s">
        <v>197</v>
      </c>
      <c r="I20" t="s">
        <v>198</v>
      </c>
      <c r="J20" t="s">
        <v>199</v>
      </c>
      <c r="K20" t="s">
        <v>224</v>
      </c>
    </row>
    <row r="21" spans="1:12" x14ac:dyDescent="0.25">
      <c r="A21" t="s">
        <v>256</v>
      </c>
      <c r="B21" t="s">
        <v>41</v>
      </c>
      <c r="C21">
        <v>0</v>
      </c>
      <c r="D21">
        <v>0</v>
      </c>
      <c r="E21" t="s">
        <v>257</v>
      </c>
      <c r="F21">
        <v>0</v>
      </c>
      <c r="G21">
        <v>4095</v>
      </c>
      <c r="H21" t="s">
        <v>197</v>
      </c>
      <c r="I21" t="s">
        <v>198</v>
      </c>
      <c r="J21" t="s">
        <v>199</v>
      </c>
      <c r="K21" t="s">
        <v>224</v>
      </c>
    </row>
    <row r="22" spans="1:12" x14ac:dyDescent="0.25">
      <c r="A22" t="s">
        <v>258</v>
      </c>
      <c r="B22" t="s">
        <v>41</v>
      </c>
      <c r="C22">
        <v>1</v>
      </c>
      <c r="D22">
        <v>1</v>
      </c>
      <c r="E22" t="s">
        <v>259</v>
      </c>
      <c r="F22">
        <v>0</v>
      </c>
      <c r="G22">
        <v>256</v>
      </c>
      <c r="H22" t="s">
        <v>197</v>
      </c>
      <c r="I22" t="s">
        <v>198</v>
      </c>
      <c r="J22" t="s">
        <v>199</v>
      </c>
      <c r="K22" t="s">
        <v>224</v>
      </c>
    </row>
    <row r="23" spans="1:12" x14ac:dyDescent="0.25">
      <c r="A23" t="s">
        <v>260</v>
      </c>
      <c r="B23" t="s">
        <v>41</v>
      </c>
      <c r="C23">
        <v>1</v>
      </c>
      <c r="D23">
        <v>1</v>
      </c>
      <c r="E23" t="s">
        <v>261</v>
      </c>
      <c r="F23">
        <v>0</v>
      </c>
      <c r="G23">
        <v>128</v>
      </c>
      <c r="H23" t="s">
        <v>197</v>
      </c>
      <c r="I23" t="s">
        <v>198</v>
      </c>
      <c r="J23" t="s">
        <v>199</v>
      </c>
      <c r="K23" t="s">
        <v>224</v>
      </c>
    </row>
    <row r="24" spans="1:12" x14ac:dyDescent="0.25">
      <c r="A24" t="s">
        <v>262</v>
      </c>
      <c r="B24" t="s">
        <v>216</v>
      </c>
      <c r="C24" t="s">
        <v>217</v>
      </c>
      <c r="D24" t="s">
        <v>220</v>
      </c>
      <c r="E24" t="s">
        <v>263</v>
      </c>
      <c r="F24" t="s">
        <v>195</v>
      </c>
      <c r="G24" t="s">
        <v>196</v>
      </c>
      <c r="H24" t="s">
        <v>197</v>
      </c>
      <c r="I24" t="s">
        <v>198</v>
      </c>
      <c r="J24" t="s">
        <v>199</v>
      </c>
      <c r="K24" t="s">
        <v>264</v>
      </c>
    </row>
    <row r="25" spans="1:12" x14ac:dyDescent="0.25">
      <c r="A25" t="s">
        <v>265</v>
      </c>
      <c r="B25" t="s">
        <v>57</v>
      </c>
      <c r="C25" t="s">
        <v>266</v>
      </c>
      <c r="D25" t="s">
        <v>220</v>
      </c>
      <c r="E25" t="s">
        <v>267</v>
      </c>
      <c r="F25" t="s">
        <v>195</v>
      </c>
      <c r="G25" t="s">
        <v>196</v>
      </c>
      <c r="H25" t="s">
        <v>197</v>
      </c>
      <c r="I25" t="s">
        <v>198</v>
      </c>
      <c r="J25" t="s">
        <v>199</v>
      </c>
      <c r="K25" t="s">
        <v>264</v>
      </c>
    </row>
    <row r="26" spans="1:12" x14ac:dyDescent="0.25">
      <c r="A26" t="s">
        <v>268</v>
      </c>
      <c r="B26" t="s">
        <v>41</v>
      </c>
      <c r="C26">
        <v>0</v>
      </c>
      <c r="D26" t="s">
        <v>220</v>
      </c>
      <c r="E26" t="s">
        <v>269</v>
      </c>
      <c r="F26">
        <v>0</v>
      </c>
      <c r="G26">
        <v>65535</v>
      </c>
      <c r="H26">
        <v>1</v>
      </c>
      <c r="I26" t="s">
        <v>198</v>
      </c>
      <c r="J26" t="s">
        <v>199</v>
      </c>
      <c r="K26" t="s">
        <v>264</v>
      </c>
    </row>
    <row r="27" spans="1:12" x14ac:dyDescent="0.25">
      <c r="A27" t="s">
        <v>270</v>
      </c>
      <c r="B27" t="s">
        <v>41</v>
      </c>
      <c r="C27">
        <v>1000000</v>
      </c>
      <c r="D27">
        <v>1000000</v>
      </c>
      <c r="E27" t="s">
        <v>271</v>
      </c>
      <c r="F27">
        <v>0</v>
      </c>
      <c r="G27" t="s">
        <v>196</v>
      </c>
      <c r="H27">
        <v>100</v>
      </c>
      <c r="I27" t="s">
        <v>198</v>
      </c>
      <c r="J27" t="s">
        <v>199</v>
      </c>
      <c r="K27" t="s">
        <v>224</v>
      </c>
    </row>
    <row r="28" spans="1:12" x14ac:dyDescent="0.25">
      <c r="A28" t="s">
        <v>272</v>
      </c>
      <c r="B28" t="s">
        <v>41</v>
      </c>
      <c r="C28">
        <v>1000000</v>
      </c>
      <c r="D28">
        <v>1000000</v>
      </c>
      <c r="E28" t="s">
        <v>273</v>
      </c>
      <c r="F28">
        <v>0</v>
      </c>
      <c r="G28" t="s">
        <v>196</v>
      </c>
      <c r="H28">
        <v>100</v>
      </c>
      <c r="I28" t="s">
        <v>198</v>
      </c>
      <c r="J28" t="s">
        <v>199</v>
      </c>
      <c r="K28" t="s">
        <v>224</v>
      </c>
    </row>
    <row r="29" spans="1:12" x14ac:dyDescent="0.25">
      <c r="A29" t="s">
        <v>274</v>
      </c>
      <c r="B29" t="s">
        <v>207</v>
      </c>
      <c r="C29">
        <v>20</v>
      </c>
      <c r="D29">
        <v>5</v>
      </c>
      <c r="E29" t="s">
        <v>275</v>
      </c>
      <c r="F29">
        <v>0</v>
      </c>
      <c r="G29" t="s">
        <v>196</v>
      </c>
      <c r="H29">
        <v>0.1</v>
      </c>
      <c r="I29" t="s">
        <v>276</v>
      </c>
      <c r="J29" t="s">
        <v>199</v>
      </c>
      <c r="K29" t="s">
        <v>224</v>
      </c>
    </row>
    <row r="30" spans="1:12" x14ac:dyDescent="0.25">
      <c r="A30" t="s">
        <v>277</v>
      </c>
      <c r="B30" t="s">
        <v>191</v>
      </c>
      <c r="C30" t="s">
        <v>278</v>
      </c>
      <c r="D30" t="s">
        <v>279</v>
      </c>
      <c r="E30" t="s">
        <v>280</v>
      </c>
      <c r="F30" t="s">
        <v>195</v>
      </c>
      <c r="G30" t="s">
        <v>196</v>
      </c>
      <c r="H30" t="s">
        <v>197</v>
      </c>
      <c r="I30" t="s">
        <v>198</v>
      </c>
      <c r="J30" t="s">
        <v>199</v>
      </c>
      <c r="K30" t="s">
        <v>224</v>
      </c>
      <c r="L30" t="s">
        <v>281</v>
      </c>
    </row>
    <row r="31" spans="1:12" x14ac:dyDescent="0.25">
      <c r="A31" t="s">
        <v>282</v>
      </c>
      <c r="B31" t="s">
        <v>207</v>
      </c>
      <c r="C31">
        <v>5</v>
      </c>
      <c r="D31">
        <v>5</v>
      </c>
      <c r="E31" t="s">
        <v>283</v>
      </c>
      <c r="F31">
        <v>0</v>
      </c>
      <c r="G31" t="s">
        <v>196</v>
      </c>
      <c r="H31">
        <v>0.1</v>
      </c>
      <c r="I31" t="s">
        <v>276</v>
      </c>
      <c r="J31" t="s">
        <v>199</v>
      </c>
      <c r="K31" t="s">
        <v>224</v>
      </c>
    </row>
    <row r="32" spans="1:12" x14ac:dyDescent="0.25">
      <c r="A32" t="s">
        <v>284</v>
      </c>
      <c r="B32" t="s">
        <v>57</v>
      </c>
      <c r="C32" t="s">
        <v>285</v>
      </c>
      <c r="D32" t="s">
        <v>285</v>
      </c>
      <c r="E32" t="s">
        <v>286</v>
      </c>
      <c r="F32" t="s">
        <v>195</v>
      </c>
      <c r="G32" t="s">
        <v>196</v>
      </c>
      <c r="H32" t="s">
        <v>197</v>
      </c>
      <c r="I32" t="s">
        <v>198</v>
      </c>
      <c r="J32" t="s">
        <v>199</v>
      </c>
      <c r="K32" t="s">
        <v>224</v>
      </c>
    </row>
    <row r="33" spans="1:12" x14ac:dyDescent="0.25">
      <c r="A33" t="s">
        <v>287</v>
      </c>
      <c r="B33" t="s">
        <v>207</v>
      </c>
      <c r="C33">
        <v>0.1</v>
      </c>
      <c r="D33">
        <v>0.1</v>
      </c>
      <c r="E33" t="s">
        <v>288</v>
      </c>
      <c r="F33">
        <v>0</v>
      </c>
      <c r="G33" t="s">
        <v>196</v>
      </c>
      <c r="H33" t="s">
        <v>197</v>
      </c>
      <c r="I33" t="s">
        <v>276</v>
      </c>
      <c r="J33" t="s">
        <v>199</v>
      </c>
      <c r="K33" t="s">
        <v>224</v>
      </c>
    </row>
    <row r="34" spans="1:12" x14ac:dyDescent="0.25">
      <c r="A34" t="s">
        <v>289</v>
      </c>
      <c r="B34" t="s">
        <v>216</v>
      </c>
      <c r="C34" t="s">
        <v>236</v>
      </c>
      <c r="D34" t="s">
        <v>236</v>
      </c>
      <c r="E34" t="s">
        <v>290</v>
      </c>
      <c r="F34" t="s">
        <v>195</v>
      </c>
      <c r="G34" t="s">
        <v>196</v>
      </c>
      <c r="H34" t="s">
        <v>197</v>
      </c>
      <c r="I34" t="s">
        <v>198</v>
      </c>
      <c r="J34" t="s">
        <v>199</v>
      </c>
      <c r="K34" t="s">
        <v>224</v>
      </c>
    </row>
    <row r="35" spans="1:12" x14ac:dyDescent="0.25">
      <c r="A35" t="s">
        <v>291</v>
      </c>
      <c r="B35" t="s">
        <v>216</v>
      </c>
      <c r="C35" t="s">
        <v>236</v>
      </c>
      <c r="D35" t="s">
        <v>236</v>
      </c>
      <c r="E35" t="s">
        <v>292</v>
      </c>
      <c r="F35" t="s">
        <v>195</v>
      </c>
      <c r="G35" t="s">
        <v>196</v>
      </c>
      <c r="H35" t="s">
        <v>197</v>
      </c>
      <c r="I35" t="s">
        <v>198</v>
      </c>
      <c r="J35" t="s">
        <v>199</v>
      </c>
      <c r="K35" t="s">
        <v>224</v>
      </c>
    </row>
    <row r="36" spans="1:12" x14ac:dyDescent="0.25">
      <c r="A36" t="s">
        <v>293</v>
      </c>
      <c r="B36" t="s">
        <v>41</v>
      </c>
      <c r="C36">
        <v>0</v>
      </c>
      <c r="D36" t="s">
        <v>220</v>
      </c>
      <c r="E36" t="s">
        <v>294</v>
      </c>
      <c r="F36" t="s">
        <v>195</v>
      </c>
      <c r="G36" t="s">
        <v>196</v>
      </c>
      <c r="H36" t="s">
        <v>197</v>
      </c>
      <c r="I36" t="s">
        <v>198</v>
      </c>
      <c r="J36" t="s">
        <v>223</v>
      </c>
      <c r="K36" t="s">
        <v>295</v>
      </c>
    </row>
    <row r="37" spans="1:12" x14ac:dyDescent="0.25">
      <c r="A37" t="s">
        <v>296</v>
      </c>
      <c r="B37" t="s">
        <v>57</v>
      </c>
      <c r="C37" t="s">
        <v>297</v>
      </c>
      <c r="D37" t="s">
        <v>220</v>
      </c>
      <c r="E37" t="s">
        <v>298</v>
      </c>
      <c r="F37" t="s">
        <v>195</v>
      </c>
      <c r="G37" t="s">
        <v>196</v>
      </c>
      <c r="H37" t="s">
        <v>197</v>
      </c>
      <c r="I37" t="s">
        <v>198</v>
      </c>
      <c r="J37" t="s">
        <v>223</v>
      </c>
      <c r="K37" t="s">
        <v>295</v>
      </c>
    </row>
    <row r="38" spans="1:12" x14ac:dyDescent="0.25">
      <c r="A38" t="s">
        <v>299</v>
      </c>
      <c r="B38" t="s">
        <v>41</v>
      </c>
      <c r="C38">
        <v>2</v>
      </c>
      <c r="D38" t="s">
        <v>220</v>
      </c>
      <c r="E38" t="s">
        <v>300</v>
      </c>
      <c r="F38" t="s">
        <v>195</v>
      </c>
      <c r="G38" t="s">
        <v>196</v>
      </c>
      <c r="H38" t="s">
        <v>197</v>
      </c>
      <c r="I38" t="s">
        <v>198</v>
      </c>
      <c r="J38" t="s">
        <v>223</v>
      </c>
      <c r="K38" t="s">
        <v>295</v>
      </c>
    </row>
    <row r="39" spans="1:12" x14ac:dyDescent="0.25">
      <c r="A39" t="s">
        <v>301</v>
      </c>
      <c r="B39" t="s">
        <v>57</v>
      </c>
      <c r="C39" t="s">
        <v>302</v>
      </c>
      <c r="D39" t="s">
        <v>220</v>
      </c>
      <c r="E39" t="s">
        <v>303</v>
      </c>
      <c r="F39" t="s">
        <v>195</v>
      </c>
      <c r="G39" t="s">
        <v>196</v>
      </c>
      <c r="H39" t="s">
        <v>197</v>
      </c>
      <c r="I39" t="s">
        <v>198</v>
      </c>
      <c r="J39" t="s">
        <v>223</v>
      </c>
      <c r="K39" t="s">
        <v>295</v>
      </c>
    </row>
    <row r="40" spans="1:12" x14ac:dyDescent="0.25">
      <c r="A40" t="s">
        <v>304</v>
      </c>
      <c r="B40" t="s">
        <v>57</v>
      </c>
      <c r="C40" t="s">
        <v>305</v>
      </c>
      <c r="D40" t="s">
        <v>220</v>
      </c>
      <c r="E40" t="s">
        <v>306</v>
      </c>
      <c r="F40" t="s">
        <v>195</v>
      </c>
      <c r="G40" t="s">
        <v>196</v>
      </c>
      <c r="H40" t="s">
        <v>197</v>
      </c>
      <c r="I40" t="s">
        <v>198</v>
      </c>
      <c r="J40" t="s">
        <v>223</v>
      </c>
      <c r="K40" t="s">
        <v>295</v>
      </c>
    </row>
    <row r="41" spans="1:12" x14ac:dyDescent="0.25">
      <c r="A41" t="s">
        <v>307</v>
      </c>
      <c r="B41" t="s">
        <v>191</v>
      </c>
      <c r="C41" t="s">
        <v>308</v>
      </c>
      <c r="D41" t="s">
        <v>308</v>
      </c>
      <c r="E41" t="s">
        <v>309</v>
      </c>
      <c r="F41" t="s">
        <v>195</v>
      </c>
      <c r="G41" t="s">
        <v>196</v>
      </c>
      <c r="H41" t="s">
        <v>197</v>
      </c>
      <c r="I41" t="s">
        <v>198</v>
      </c>
      <c r="J41" t="s">
        <v>199</v>
      </c>
      <c r="K41" t="s">
        <v>310</v>
      </c>
      <c r="L41" t="s">
        <v>311</v>
      </c>
    </row>
    <row r="42" spans="1:12" x14ac:dyDescent="0.25">
      <c r="A42" t="s">
        <v>312</v>
      </c>
      <c r="B42" t="s">
        <v>41</v>
      </c>
      <c r="C42">
        <v>0</v>
      </c>
      <c r="D42" t="s">
        <v>220</v>
      </c>
      <c r="E42" t="s">
        <v>313</v>
      </c>
      <c r="F42" t="s">
        <v>195</v>
      </c>
      <c r="G42" t="s">
        <v>196</v>
      </c>
      <c r="H42" t="s">
        <v>197</v>
      </c>
      <c r="I42" t="s">
        <v>198</v>
      </c>
      <c r="J42" t="s">
        <v>223</v>
      </c>
      <c r="K42" t="s">
        <v>295</v>
      </c>
    </row>
    <row r="43" spans="1:12" x14ac:dyDescent="0.25">
      <c r="A43" t="s">
        <v>314</v>
      </c>
      <c r="B43" t="s">
        <v>57</v>
      </c>
      <c r="C43" t="s">
        <v>315</v>
      </c>
      <c r="D43" t="s">
        <v>220</v>
      </c>
      <c r="E43" t="s">
        <v>316</v>
      </c>
      <c r="F43" t="s">
        <v>195</v>
      </c>
      <c r="G43" t="s">
        <v>196</v>
      </c>
      <c r="H43" t="s">
        <v>197</v>
      </c>
      <c r="I43" t="s">
        <v>198</v>
      </c>
      <c r="J43" t="s">
        <v>223</v>
      </c>
      <c r="K43" t="s">
        <v>295</v>
      </c>
    </row>
    <row r="44" spans="1:12" x14ac:dyDescent="0.25">
      <c r="A44" t="s">
        <v>317</v>
      </c>
      <c r="B44" t="s">
        <v>41</v>
      </c>
      <c r="C44">
        <v>1</v>
      </c>
      <c r="D44" t="s">
        <v>220</v>
      </c>
      <c r="E44" t="s">
        <v>318</v>
      </c>
      <c r="F44" t="s">
        <v>195</v>
      </c>
      <c r="G44" t="s">
        <v>196</v>
      </c>
      <c r="H44" t="s">
        <v>197</v>
      </c>
      <c r="I44" t="s">
        <v>198</v>
      </c>
      <c r="J44" t="s">
        <v>223</v>
      </c>
      <c r="K44" t="s">
        <v>295</v>
      </c>
    </row>
    <row r="45" spans="1:12" x14ac:dyDescent="0.25">
      <c r="A45" t="s">
        <v>319</v>
      </c>
      <c r="B45" t="s">
        <v>57</v>
      </c>
      <c r="C45" t="s">
        <v>305</v>
      </c>
      <c r="D45" t="s">
        <v>220</v>
      </c>
      <c r="E45" t="s">
        <v>320</v>
      </c>
      <c r="F45" t="s">
        <v>195</v>
      </c>
      <c r="G45" t="s">
        <v>196</v>
      </c>
      <c r="H45" t="s">
        <v>197</v>
      </c>
      <c r="I45" t="s">
        <v>198</v>
      </c>
      <c r="J45" t="s">
        <v>223</v>
      </c>
      <c r="K45" t="s">
        <v>295</v>
      </c>
    </row>
    <row r="46" spans="1:12" x14ac:dyDescent="0.25">
      <c r="A46" t="s">
        <v>321</v>
      </c>
      <c r="B46" t="s">
        <v>57</v>
      </c>
      <c r="C46" t="s">
        <v>322</v>
      </c>
      <c r="D46" t="s">
        <v>220</v>
      </c>
      <c r="E46" t="s">
        <v>323</v>
      </c>
      <c r="F46" t="s">
        <v>195</v>
      </c>
      <c r="G46" t="s">
        <v>196</v>
      </c>
      <c r="H46" t="s">
        <v>197</v>
      </c>
      <c r="I46" t="s">
        <v>198</v>
      </c>
      <c r="J46" t="s">
        <v>223</v>
      </c>
      <c r="K46" t="s">
        <v>310</v>
      </c>
    </row>
    <row r="47" spans="1:12" x14ac:dyDescent="0.25">
      <c r="A47" t="s">
        <v>324</v>
      </c>
      <c r="B47" t="s">
        <v>57</v>
      </c>
      <c r="C47" t="s">
        <v>325</v>
      </c>
      <c r="D47" t="s">
        <v>220</v>
      </c>
      <c r="E47" t="s">
        <v>326</v>
      </c>
      <c r="F47" t="s">
        <v>195</v>
      </c>
      <c r="G47" t="s">
        <v>196</v>
      </c>
      <c r="H47" t="s">
        <v>197</v>
      </c>
      <c r="I47" t="s">
        <v>198</v>
      </c>
      <c r="J47" t="s">
        <v>223</v>
      </c>
      <c r="K47" t="s">
        <v>310</v>
      </c>
    </row>
    <row r="48" spans="1:12" x14ac:dyDescent="0.25">
      <c r="A48" t="s">
        <v>327</v>
      </c>
      <c r="B48" t="s">
        <v>57</v>
      </c>
      <c r="C48" t="s">
        <v>328</v>
      </c>
      <c r="D48" t="s">
        <v>220</v>
      </c>
      <c r="E48" t="s">
        <v>329</v>
      </c>
      <c r="F48" t="s">
        <v>195</v>
      </c>
      <c r="G48" t="s">
        <v>196</v>
      </c>
      <c r="H48" t="s">
        <v>197</v>
      </c>
      <c r="I48" t="s">
        <v>198</v>
      </c>
      <c r="J48" t="s">
        <v>223</v>
      </c>
      <c r="K48" t="s">
        <v>310</v>
      </c>
    </row>
    <row r="49" spans="1:12" x14ac:dyDescent="0.25">
      <c r="A49" t="s">
        <v>330</v>
      </c>
      <c r="B49" t="s">
        <v>57</v>
      </c>
      <c r="C49" t="s">
        <v>331</v>
      </c>
      <c r="D49" t="s">
        <v>220</v>
      </c>
      <c r="E49" t="s">
        <v>332</v>
      </c>
      <c r="F49" t="s">
        <v>195</v>
      </c>
      <c r="G49" t="s">
        <v>196</v>
      </c>
      <c r="H49" t="s">
        <v>197</v>
      </c>
      <c r="I49" t="s">
        <v>198</v>
      </c>
      <c r="J49" t="s">
        <v>223</v>
      </c>
      <c r="K49" t="s">
        <v>310</v>
      </c>
    </row>
    <row r="50" spans="1:12" x14ac:dyDescent="0.25">
      <c r="A50" t="s">
        <v>333</v>
      </c>
      <c r="B50" t="s">
        <v>57</v>
      </c>
      <c r="C50" t="s">
        <v>334</v>
      </c>
      <c r="D50" t="s">
        <v>220</v>
      </c>
      <c r="E50" t="s">
        <v>335</v>
      </c>
      <c r="F50" t="s">
        <v>195</v>
      </c>
      <c r="G50" t="s">
        <v>196</v>
      </c>
      <c r="H50" t="s">
        <v>197</v>
      </c>
      <c r="I50" t="s">
        <v>198</v>
      </c>
      <c r="J50" t="s">
        <v>223</v>
      </c>
      <c r="K50" t="s">
        <v>310</v>
      </c>
    </row>
    <row r="51" spans="1:12" x14ac:dyDescent="0.25">
      <c r="A51" t="s">
        <v>336</v>
      </c>
      <c r="B51" t="s">
        <v>41</v>
      </c>
      <c r="C51">
        <v>1</v>
      </c>
      <c r="D51" t="s">
        <v>220</v>
      </c>
      <c r="E51" t="s">
        <v>337</v>
      </c>
      <c r="F51" t="s">
        <v>195</v>
      </c>
      <c r="G51" t="s">
        <v>196</v>
      </c>
      <c r="H51" t="s">
        <v>197</v>
      </c>
      <c r="I51" t="s">
        <v>198</v>
      </c>
      <c r="J51" t="s">
        <v>223</v>
      </c>
      <c r="K51" t="s">
        <v>310</v>
      </c>
    </row>
    <row r="52" spans="1:12" x14ac:dyDescent="0.25">
      <c r="A52" t="s">
        <v>338</v>
      </c>
      <c r="B52" t="s">
        <v>57</v>
      </c>
      <c r="C52" t="s">
        <v>339</v>
      </c>
      <c r="D52" t="s">
        <v>220</v>
      </c>
      <c r="E52" t="s">
        <v>340</v>
      </c>
      <c r="F52" t="s">
        <v>195</v>
      </c>
      <c r="G52" t="s">
        <v>196</v>
      </c>
      <c r="H52" t="s">
        <v>197</v>
      </c>
      <c r="I52" t="s">
        <v>198</v>
      </c>
      <c r="J52" t="s">
        <v>223</v>
      </c>
      <c r="K52" t="s">
        <v>310</v>
      </c>
    </row>
    <row r="53" spans="1:12" x14ac:dyDescent="0.25">
      <c r="A53" t="s">
        <v>341</v>
      </c>
      <c r="B53" t="s">
        <v>41</v>
      </c>
      <c r="C53">
        <v>1</v>
      </c>
      <c r="D53" t="s">
        <v>220</v>
      </c>
      <c r="E53" t="s">
        <v>337</v>
      </c>
      <c r="F53" t="s">
        <v>195</v>
      </c>
      <c r="G53" t="s">
        <v>196</v>
      </c>
      <c r="H53" t="s">
        <v>197</v>
      </c>
      <c r="I53" t="s">
        <v>198</v>
      </c>
      <c r="J53" t="s">
        <v>223</v>
      </c>
      <c r="K53" t="s">
        <v>310</v>
      </c>
    </row>
    <row r="54" spans="1:12" x14ac:dyDescent="0.25">
      <c r="A54" t="s">
        <v>342</v>
      </c>
      <c r="B54" t="s">
        <v>191</v>
      </c>
      <c r="C54" t="s">
        <v>232</v>
      </c>
      <c r="D54" t="s">
        <v>232</v>
      </c>
      <c r="E54" t="s">
        <v>343</v>
      </c>
      <c r="F54" t="s">
        <v>195</v>
      </c>
      <c r="G54" t="s">
        <v>196</v>
      </c>
      <c r="H54" t="s">
        <v>197</v>
      </c>
      <c r="I54" t="s">
        <v>198</v>
      </c>
      <c r="J54" t="s">
        <v>199</v>
      </c>
      <c r="K54" t="s">
        <v>310</v>
      </c>
      <c r="L54" t="s">
        <v>344</v>
      </c>
    </row>
    <row r="55" spans="1:12" x14ac:dyDescent="0.25">
      <c r="A55" t="s">
        <v>345</v>
      </c>
      <c r="B55" t="s">
        <v>41</v>
      </c>
      <c r="C55">
        <v>16</v>
      </c>
      <c r="D55">
        <v>16</v>
      </c>
      <c r="E55" t="s">
        <v>346</v>
      </c>
      <c r="F55">
        <v>0</v>
      </c>
      <c r="G55">
        <v>262140</v>
      </c>
      <c r="H55">
        <v>4</v>
      </c>
      <c r="I55" t="s">
        <v>347</v>
      </c>
      <c r="J55" t="s">
        <v>199</v>
      </c>
      <c r="K55" t="s">
        <v>310</v>
      </c>
    </row>
    <row r="56" spans="1:12" x14ac:dyDescent="0.25">
      <c r="A56" t="s">
        <v>348</v>
      </c>
      <c r="B56" t="s">
        <v>207</v>
      </c>
      <c r="C56">
        <v>47.388031005999999</v>
      </c>
      <c r="D56" t="s">
        <v>220</v>
      </c>
      <c r="E56" t="s">
        <v>349</v>
      </c>
      <c r="F56" t="s">
        <v>195</v>
      </c>
      <c r="G56" t="s">
        <v>196</v>
      </c>
      <c r="H56" t="s">
        <v>197</v>
      </c>
      <c r="I56" t="s">
        <v>350</v>
      </c>
      <c r="J56" t="s">
        <v>223</v>
      </c>
      <c r="K56" t="s">
        <v>310</v>
      </c>
    </row>
    <row r="57" spans="1:12" x14ac:dyDescent="0.25">
      <c r="A57" t="s">
        <v>351</v>
      </c>
      <c r="B57" t="s">
        <v>207</v>
      </c>
      <c r="C57">
        <v>48.895294188999998</v>
      </c>
      <c r="D57" t="s">
        <v>220</v>
      </c>
      <c r="E57" t="s">
        <v>352</v>
      </c>
      <c r="F57" t="s">
        <v>195</v>
      </c>
      <c r="G57" t="s">
        <v>196</v>
      </c>
      <c r="H57" t="s">
        <v>197</v>
      </c>
      <c r="I57" t="s">
        <v>350</v>
      </c>
      <c r="J57" t="s">
        <v>223</v>
      </c>
      <c r="K57" t="s">
        <v>310</v>
      </c>
    </row>
    <row r="58" spans="1:12" x14ac:dyDescent="0.25">
      <c r="A58" t="s">
        <v>353</v>
      </c>
      <c r="B58" t="s">
        <v>216</v>
      </c>
      <c r="C58" t="s">
        <v>217</v>
      </c>
      <c r="D58" t="s">
        <v>217</v>
      </c>
      <c r="E58" t="s">
        <v>354</v>
      </c>
      <c r="F58" t="s">
        <v>195</v>
      </c>
      <c r="G58" t="s">
        <v>196</v>
      </c>
      <c r="H58" t="s">
        <v>197</v>
      </c>
      <c r="I58" t="s">
        <v>198</v>
      </c>
      <c r="J58" t="s">
        <v>199</v>
      </c>
      <c r="K58" t="s">
        <v>224</v>
      </c>
    </row>
    <row r="59" spans="1:12" x14ac:dyDescent="0.25">
      <c r="A59" t="s">
        <v>355</v>
      </c>
      <c r="B59" t="s">
        <v>57</v>
      </c>
      <c r="C59" t="s">
        <v>356</v>
      </c>
      <c r="D59" t="s">
        <v>285</v>
      </c>
      <c r="E59" t="s">
        <v>357</v>
      </c>
      <c r="F59" t="s">
        <v>195</v>
      </c>
      <c r="G59" t="s">
        <v>196</v>
      </c>
      <c r="H59" t="s">
        <v>197</v>
      </c>
      <c r="I59" t="s">
        <v>198</v>
      </c>
      <c r="J59" t="s">
        <v>199</v>
      </c>
      <c r="K59" t="s">
        <v>224</v>
      </c>
    </row>
    <row r="60" spans="1:12" x14ac:dyDescent="0.25">
      <c r="A60" t="s">
        <v>358</v>
      </c>
      <c r="B60" t="s">
        <v>41</v>
      </c>
      <c r="C60">
        <v>32767</v>
      </c>
      <c r="D60" t="s">
        <v>220</v>
      </c>
      <c r="E60" t="s">
        <v>359</v>
      </c>
      <c r="F60" t="s">
        <v>195</v>
      </c>
      <c r="G60" t="s">
        <v>196</v>
      </c>
      <c r="H60" t="s">
        <v>197</v>
      </c>
      <c r="I60" t="s">
        <v>198</v>
      </c>
      <c r="J60" t="s">
        <v>223</v>
      </c>
      <c r="K60" t="s">
        <v>224</v>
      </c>
    </row>
    <row r="61" spans="1:12" x14ac:dyDescent="0.25">
      <c r="A61" t="s">
        <v>360</v>
      </c>
      <c r="B61" t="s">
        <v>41</v>
      </c>
      <c r="C61">
        <v>-32768</v>
      </c>
      <c r="D61" t="s">
        <v>220</v>
      </c>
      <c r="E61" t="s">
        <v>361</v>
      </c>
      <c r="F61" t="s">
        <v>195</v>
      </c>
      <c r="G61" t="s">
        <v>196</v>
      </c>
      <c r="H61" t="s">
        <v>197</v>
      </c>
      <c r="I61" t="s">
        <v>198</v>
      </c>
      <c r="J61" t="s">
        <v>223</v>
      </c>
      <c r="K61" t="s">
        <v>224</v>
      </c>
    </row>
    <row r="62" spans="1:12" x14ac:dyDescent="0.25">
      <c r="A62" t="s">
        <v>362</v>
      </c>
      <c r="B62" t="s">
        <v>216</v>
      </c>
      <c r="C62" t="s">
        <v>236</v>
      </c>
      <c r="D62" t="s">
        <v>236</v>
      </c>
      <c r="E62" t="s">
        <v>363</v>
      </c>
      <c r="F62" t="s">
        <v>195</v>
      </c>
      <c r="G62" t="s">
        <v>196</v>
      </c>
      <c r="H62" t="s">
        <v>197</v>
      </c>
      <c r="I62" t="s">
        <v>198</v>
      </c>
      <c r="J62" t="s">
        <v>199</v>
      </c>
      <c r="K62" t="s">
        <v>224</v>
      </c>
    </row>
    <row r="63" spans="1:12" x14ac:dyDescent="0.25">
      <c r="A63" t="s">
        <v>364</v>
      </c>
      <c r="B63" t="s">
        <v>41</v>
      </c>
      <c r="C63">
        <v>100000</v>
      </c>
      <c r="D63">
        <v>100000</v>
      </c>
      <c r="E63" t="s">
        <v>365</v>
      </c>
      <c r="F63">
        <v>0</v>
      </c>
      <c r="G63">
        <v>524288</v>
      </c>
      <c r="H63" t="s">
        <v>197</v>
      </c>
      <c r="I63" t="s">
        <v>198</v>
      </c>
      <c r="J63" t="s">
        <v>199</v>
      </c>
      <c r="K63" t="s">
        <v>224</v>
      </c>
    </row>
    <row r="64" spans="1:12" x14ac:dyDescent="0.25">
      <c r="A64" t="s">
        <v>366</v>
      </c>
      <c r="B64" t="s">
        <v>216</v>
      </c>
      <c r="C64" t="s">
        <v>236</v>
      </c>
      <c r="D64" t="s">
        <v>220</v>
      </c>
      <c r="E64" t="s">
        <v>367</v>
      </c>
      <c r="F64" t="s">
        <v>195</v>
      </c>
      <c r="G64" t="s">
        <v>196</v>
      </c>
      <c r="H64" t="s">
        <v>197</v>
      </c>
      <c r="I64" t="s">
        <v>198</v>
      </c>
      <c r="J64" t="s">
        <v>223</v>
      </c>
      <c r="K64" t="s">
        <v>224</v>
      </c>
    </row>
    <row r="65" spans="1:12" x14ac:dyDescent="0.25">
      <c r="A65" t="s">
        <v>368</v>
      </c>
      <c r="B65" t="s">
        <v>41</v>
      </c>
      <c r="C65">
        <v>0</v>
      </c>
      <c r="D65" t="s">
        <v>220</v>
      </c>
      <c r="E65" t="s">
        <v>369</v>
      </c>
      <c r="F65" t="s">
        <v>195</v>
      </c>
      <c r="G65" t="s">
        <v>196</v>
      </c>
      <c r="H65" t="s">
        <v>197</v>
      </c>
      <c r="I65" t="s">
        <v>198</v>
      </c>
      <c r="J65" t="s">
        <v>223</v>
      </c>
      <c r="K65" t="s">
        <v>224</v>
      </c>
    </row>
    <row r="66" spans="1:12" x14ac:dyDescent="0.25">
      <c r="A66" t="s">
        <v>370</v>
      </c>
      <c r="B66" t="s">
        <v>216</v>
      </c>
      <c r="C66" t="s">
        <v>236</v>
      </c>
      <c r="D66" t="s">
        <v>236</v>
      </c>
      <c r="E66" t="s">
        <v>371</v>
      </c>
      <c r="F66" t="s">
        <v>195</v>
      </c>
      <c r="G66" t="s">
        <v>196</v>
      </c>
      <c r="H66" t="s">
        <v>197</v>
      </c>
      <c r="I66" t="s">
        <v>198</v>
      </c>
      <c r="J66" t="s">
        <v>199</v>
      </c>
      <c r="K66" t="s">
        <v>224</v>
      </c>
    </row>
    <row r="67" spans="1:12" x14ac:dyDescent="0.25">
      <c r="A67" t="s">
        <v>372</v>
      </c>
      <c r="B67" t="s">
        <v>207</v>
      </c>
      <c r="C67">
        <v>1.5998961999999999E-2</v>
      </c>
      <c r="D67">
        <v>7.8125599999999996E-3</v>
      </c>
      <c r="E67" t="s">
        <v>373</v>
      </c>
      <c r="F67">
        <v>0</v>
      </c>
      <c r="G67">
        <v>1</v>
      </c>
      <c r="H67">
        <v>0.1</v>
      </c>
      <c r="I67" t="s">
        <v>198</v>
      </c>
      <c r="J67" t="s">
        <v>199</v>
      </c>
      <c r="K67" t="s">
        <v>224</v>
      </c>
    </row>
    <row r="68" spans="1:12" x14ac:dyDescent="0.25">
      <c r="A68" t="s">
        <v>374</v>
      </c>
      <c r="B68" t="s">
        <v>41</v>
      </c>
      <c r="C68">
        <v>24</v>
      </c>
      <c r="D68">
        <v>25</v>
      </c>
      <c r="E68" t="s">
        <v>375</v>
      </c>
      <c r="F68">
        <v>0</v>
      </c>
      <c r="G68">
        <v>1023</v>
      </c>
      <c r="H68" t="s">
        <v>197</v>
      </c>
      <c r="I68" t="s">
        <v>198</v>
      </c>
      <c r="J68" t="s">
        <v>199</v>
      </c>
      <c r="K68" t="s">
        <v>224</v>
      </c>
    </row>
    <row r="69" spans="1:12" x14ac:dyDescent="0.25">
      <c r="A69" t="s">
        <v>376</v>
      </c>
      <c r="B69" t="s">
        <v>207</v>
      </c>
      <c r="C69">
        <v>1.000007629</v>
      </c>
      <c r="D69">
        <v>1.000007629</v>
      </c>
      <c r="E69" t="s">
        <v>377</v>
      </c>
      <c r="F69">
        <v>0</v>
      </c>
      <c r="G69">
        <v>2</v>
      </c>
      <c r="H69" t="s">
        <v>197</v>
      </c>
      <c r="I69" t="s">
        <v>198</v>
      </c>
      <c r="J69" t="s">
        <v>199</v>
      </c>
      <c r="K69" t="s">
        <v>224</v>
      </c>
    </row>
    <row r="70" spans="1:12" x14ac:dyDescent="0.25">
      <c r="A70" t="s">
        <v>378</v>
      </c>
      <c r="B70" t="s">
        <v>191</v>
      </c>
      <c r="C70" t="s">
        <v>379</v>
      </c>
      <c r="D70" t="s">
        <v>380</v>
      </c>
      <c r="E70" t="s">
        <v>381</v>
      </c>
      <c r="F70" t="s">
        <v>195</v>
      </c>
      <c r="G70" t="s">
        <v>196</v>
      </c>
      <c r="H70" t="s">
        <v>197</v>
      </c>
      <c r="I70" t="s">
        <v>198</v>
      </c>
      <c r="J70" t="s">
        <v>199</v>
      </c>
      <c r="K70" t="s">
        <v>224</v>
      </c>
      <c r="L70" t="s">
        <v>382</v>
      </c>
    </row>
    <row r="71" spans="1:12" x14ac:dyDescent="0.25">
      <c r="A71" t="s">
        <v>383</v>
      </c>
      <c r="B71" t="s">
        <v>41</v>
      </c>
      <c r="C71">
        <v>16</v>
      </c>
      <c r="D71" t="s">
        <v>220</v>
      </c>
      <c r="E71" t="s">
        <v>384</v>
      </c>
      <c r="F71" t="s">
        <v>195</v>
      </c>
      <c r="G71" t="s">
        <v>196</v>
      </c>
      <c r="H71" t="s">
        <v>197</v>
      </c>
      <c r="I71" t="s">
        <v>198</v>
      </c>
      <c r="J71" t="s">
        <v>223</v>
      </c>
      <c r="K71" t="s">
        <v>224</v>
      </c>
    </row>
    <row r="72" spans="1:12" x14ac:dyDescent="0.25">
      <c r="A72" t="s">
        <v>385</v>
      </c>
      <c r="B72" t="s">
        <v>41</v>
      </c>
      <c r="C72">
        <v>0</v>
      </c>
      <c r="D72">
        <v>0</v>
      </c>
      <c r="E72" t="s">
        <v>386</v>
      </c>
      <c r="F72">
        <v>0</v>
      </c>
      <c r="G72">
        <v>4095</v>
      </c>
      <c r="H72" t="s">
        <v>197</v>
      </c>
      <c r="I72" t="s">
        <v>198</v>
      </c>
      <c r="J72" t="s">
        <v>199</v>
      </c>
      <c r="K72" t="s">
        <v>224</v>
      </c>
    </row>
    <row r="73" spans="1:12" x14ac:dyDescent="0.25">
      <c r="A73" t="s">
        <v>387</v>
      </c>
      <c r="B73" t="s">
        <v>41</v>
      </c>
      <c r="C73">
        <v>0</v>
      </c>
      <c r="D73">
        <v>0</v>
      </c>
      <c r="E73" t="s">
        <v>388</v>
      </c>
      <c r="F73">
        <v>0</v>
      </c>
      <c r="G73">
        <v>4095</v>
      </c>
      <c r="H73" t="s">
        <v>197</v>
      </c>
      <c r="I73" t="s">
        <v>198</v>
      </c>
      <c r="J73" t="s">
        <v>199</v>
      </c>
      <c r="K73" t="s">
        <v>224</v>
      </c>
    </row>
    <row r="74" spans="1:12" x14ac:dyDescent="0.25">
      <c r="A74" t="s">
        <v>389</v>
      </c>
      <c r="B74" t="s">
        <v>41</v>
      </c>
      <c r="C74">
        <v>0</v>
      </c>
      <c r="D74">
        <v>0</v>
      </c>
      <c r="E74" t="s">
        <v>386</v>
      </c>
      <c r="F74">
        <v>0</v>
      </c>
      <c r="G74">
        <v>4095</v>
      </c>
      <c r="H74" t="s">
        <v>197</v>
      </c>
      <c r="I74" t="s">
        <v>198</v>
      </c>
      <c r="J74" t="s">
        <v>199</v>
      </c>
      <c r="K74" t="s">
        <v>224</v>
      </c>
    </row>
    <row r="75" spans="1:12" x14ac:dyDescent="0.25">
      <c r="A75" t="s">
        <v>390</v>
      </c>
      <c r="B75" t="s">
        <v>41</v>
      </c>
      <c r="C75">
        <v>0</v>
      </c>
      <c r="D75">
        <v>0</v>
      </c>
      <c r="E75" t="s">
        <v>388</v>
      </c>
      <c r="F75">
        <v>0</v>
      </c>
      <c r="G75">
        <v>4095</v>
      </c>
      <c r="H75" t="s">
        <v>197</v>
      </c>
      <c r="I75" t="s">
        <v>198</v>
      </c>
      <c r="J75" t="s">
        <v>199</v>
      </c>
      <c r="K75" t="s">
        <v>224</v>
      </c>
    </row>
    <row r="76" spans="1:12" x14ac:dyDescent="0.25">
      <c r="A76" t="s">
        <v>391</v>
      </c>
      <c r="B76" t="s">
        <v>41</v>
      </c>
      <c r="C76">
        <v>0</v>
      </c>
      <c r="D76">
        <v>0</v>
      </c>
      <c r="E76" t="s">
        <v>386</v>
      </c>
      <c r="F76">
        <v>0</v>
      </c>
      <c r="G76">
        <v>4095</v>
      </c>
      <c r="H76" t="s">
        <v>197</v>
      </c>
      <c r="I76" t="s">
        <v>198</v>
      </c>
      <c r="J76" t="s">
        <v>199</v>
      </c>
      <c r="K76" t="s">
        <v>224</v>
      </c>
    </row>
    <row r="77" spans="1:12" x14ac:dyDescent="0.25">
      <c r="A77" t="s">
        <v>392</v>
      </c>
      <c r="B77" t="s">
        <v>41</v>
      </c>
      <c r="C77">
        <v>0</v>
      </c>
      <c r="D77">
        <v>0</v>
      </c>
      <c r="E77" t="s">
        <v>388</v>
      </c>
      <c r="F77">
        <v>0</v>
      </c>
      <c r="G77">
        <v>4095</v>
      </c>
      <c r="H77" t="s">
        <v>197</v>
      </c>
      <c r="I77" t="s">
        <v>198</v>
      </c>
      <c r="J77" t="s">
        <v>199</v>
      </c>
      <c r="K77" t="s">
        <v>224</v>
      </c>
    </row>
    <row r="78" spans="1:12" x14ac:dyDescent="0.25">
      <c r="A78" t="s">
        <v>393</v>
      </c>
      <c r="B78" t="s">
        <v>41</v>
      </c>
      <c r="C78">
        <v>0</v>
      </c>
      <c r="D78">
        <v>0</v>
      </c>
      <c r="E78" t="s">
        <v>386</v>
      </c>
      <c r="F78">
        <v>0</v>
      </c>
      <c r="G78">
        <v>4095</v>
      </c>
      <c r="H78" t="s">
        <v>197</v>
      </c>
      <c r="I78" t="s">
        <v>198</v>
      </c>
      <c r="J78" t="s">
        <v>199</v>
      </c>
      <c r="K78" t="s">
        <v>224</v>
      </c>
    </row>
    <row r="79" spans="1:12" x14ac:dyDescent="0.25">
      <c r="A79" t="s">
        <v>394</v>
      </c>
      <c r="B79" t="s">
        <v>41</v>
      </c>
      <c r="C79">
        <v>0</v>
      </c>
      <c r="D79">
        <v>0</v>
      </c>
      <c r="E79" t="s">
        <v>388</v>
      </c>
      <c r="F79">
        <v>0</v>
      </c>
      <c r="G79">
        <v>4095</v>
      </c>
      <c r="H79" t="s">
        <v>197</v>
      </c>
      <c r="I79" t="s">
        <v>198</v>
      </c>
      <c r="J79" t="s">
        <v>199</v>
      </c>
      <c r="K79" t="s">
        <v>224</v>
      </c>
    </row>
    <row r="80" spans="1:12" x14ac:dyDescent="0.25">
      <c r="A80" t="s">
        <v>395</v>
      </c>
      <c r="B80" t="s">
        <v>41</v>
      </c>
      <c r="C80">
        <v>0</v>
      </c>
      <c r="D80">
        <v>0</v>
      </c>
      <c r="E80" t="s">
        <v>386</v>
      </c>
      <c r="F80">
        <v>0</v>
      </c>
      <c r="G80">
        <v>4095</v>
      </c>
      <c r="H80" t="s">
        <v>197</v>
      </c>
      <c r="I80" t="s">
        <v>198</v>
      </c>
      <c r="J80" t="s">
        <v>199</v>
      </c>
      <c r="K80" t="s">
        <v>224</v>
      </c>
    </row>
    <row r="81" spans="1:11" x14ac:dyDescent="0.25">
      <c r="A81" t="s">
        <v>396</v>
      </c>
      <c r="B81" t="s">
        <v>41</v>
      </c>
      <c r="C81">
        <v>0</v>
      </c>
      <c r="D81">
        <v>0</v>
      </c>
      <c r="E81" t="s">
        <v>388</v>
      </c>
      <c r="F81">
        <v>0</v>
      </c>
      <c r="G81">
        <v>4095</v>
      </c>
      <c r="H81" t="s">
        <v>197</v>
      </c>
      <c r="I81" t="s">
        <v>198</v>
      </c>
      <c r="J81" t="s">
        <v>199</v>
      </c>
      <c r="K81" t="s">
        <v>224</v>
      </c>
    </row>
    <row r="82" spans="1:11" x14ac:dyDescent="0.25">
      <c r="A82" t="s">
        <v>397</v>
      </c>
      <c r="B82" t="s">
        <v>41</v>
      </c>
      <c r="C82">
        <v>0</v>
      </c>
      <c r="D82">
        <v>0</v>
      </c>
      <c r="E82" t="s">
        <v>386</v>
      </c>
      <c r="F82">
        <v>0</v>
      </c>
      <c r="G82">
        <v>4095</v>
      </c>
      <c r="H82" t="s">
        <v>197</v>
      </c>
      <c r="I82" t="s">
        <v>198</v>
      </c>
      <c r="J82" t="s">
        <v>199</v>
      </c>
      <c r="K82" t="s">
        <v>224</v>
      </c>
    </row>
    <row r="83" spans="1:11" x14ac:dyDescent="0.25">
      <c r="A83" t="s">
        <v>398</v>
      </c>
      <c r="B83" t="s">
        <v>41</v>
      </c>
      <c r="C83">
        <v>0</v>
      </c>
      <c r="D83">
        <v>0</v>
      </c>
      <c r="E83" t="s">
        <v>388</v>
      </c>
      <c r="F83">
        <v>0</v>
      </c>
      <c r="G83">
        <v>4095</v>
      </c>
      <c r="H83" t="s">
        <v>197</v>
      </c>
      <c r="I83" t="s">
        <v>198</v>
      </c>
      <c r="J83" t="s">
        <v>199</v>
      </c>
      <c r="K83" t="s">
        <v>224</v>
      </c>
    </row>
    <row r="84" spans="1:11" x14ac:dyDescent="0.25">
      <c r="A84" t="s">
        <v>399</v>
      </c>
      <c r="B84" t="s">
        <v>41</v>
      </c>
      <c r="C84">
        <v>0</v>
      </c>
      <c r="D84">
        <v>0</v>
      </c>
      <c r="E84" t="s">
        <v>386</v>
      </c>
      <c r="F84">
        <v>0</v>
      </c>
      <c r="G84">
        <v>4095</v>
      </c>
      <c r="H84" t="s">
        <v>197</v>
      </c>
      <c r="I84" t="s">
        <v>198</v>
      </c>
      <c r="J84" t="s">
        <v>199</v>
      </c>
      <c r="K84" t="s">
        <v>224</v>
      </c>
    </row>
    <row r="85" spans="1:11" x14ac:dyDescent="0.25">
      <c r="A85" t="s">
        <v>400</v>
      </c>
      <c r="B85" t="s">
        <v>41</v>
      </c>
      <c r="C85">
        <v>0</v>
      </c>
      <c r="D85">
        <v>0</v>
      </c>
      <c r="E85" t="s">
        <v>388</v>
      </c>
      <c r="F85">
        <v>0</v>
      </c>
      <c r="G85">
        <v>4095</v>
      </c>
      <c r="H85" t="s">
        <v>197</v>
      </c>
      <c r="I85" t="s">
        <v>198</v>
      </c>
      <c r="J85" t="s">
        <v>199</v>
      </c>
      <c r="K85" t="s">
        <v>224</v>
      </c>
    </row>
    <row r="86" spans="1:11" x14ac:dyDescent="0.25">
      <c r="A86" t="s">
        <v>401</v>
      </c>
      <c r="B86" t="s">
        <v>41</v>
      </c>
      <c r="C86">
        <v>0</v>
      </c>
      <c r="D86">
        <v>0</v>
      </c>
      <c r="E86" t="s">
        <v>386</v>
      </c>
      <c r="F86">
        <v>0</v>
      </c>
      <c r="G86">
        <v>4095</v>
      </c>
      <c r="H86" t="s">
        <v>197</v>
      </c>
      <c r="I86" t="s">
        <v>198</v>
      </c>
      <c r="J86" t="s">
        <v>199</v>
      </c>
      <c r="K86" t="s">
        <v>224</v>
      </c>
    </row>
    <row r="87" spans="1:11" x14ac:dyDescent="0.25">
      <c r="A87" t="s">
        <v>402</v>
      </c>
      <c r="B87" t="s">
        <v>41</v>
      </c>
      <c r="C87">
        <v>0</v>
      </c>
      <c r="D87">
        <v>0</v>
      </c>
      <c r="E87" t="s">
        <v>388</v>
      </c>
      <c r="F87">
        <v>0</v>
      </c>
      <c r="G87">
        <v>4095</v>
      </c>
      <c r="H87" t="s">
        <v>197</v>
      </c>
      <c r="I87" t="s">
        <v>198</v>
      </c>
      <c r="J87" t="s">
        <v>199</v>
      </c>
      <c r="K87" t="s">
        <v>224</v>
      </c>
    </row>
    <row r="88" spans="1:11" x14ac:dyDescent="0.25">
      <c r="A88" t="s">
        <v>403</v>
      </c>
      <c r="B88" t="s">
        <v>41</v>
      </c>
      <c r="C88">
        <v>0</v>
      </c>
      <c r="D88">
        <v>0</v>
      </c>
      <c r="E88" t="s">
        <v>386</v>
      </c>
      <c r="F88">
        <v>0</v>
      </c>
      <c r="G88">
        <v>4095</v>
      </c>
      <c r="H88" t="s">
        <v>197</v>
      </c>
      <c r="I88" t="s">
        <v>198</v>
      </c>
      <c r="J88" t="s">
        <v>199</v>
      </c>
      <c r="K88" t="s">
        <v>224</v>
      </c>
    </row>
    <row r="89" spans="1:11" x14ac:dyDescent="0.25">
      <c r="A89" t="s">
        <v>404</v>
      </c>
      <c r="B89" t="s">
        <v>41</v>
      </c>
      <c r="C89">
        <v>0</v>
      </c>
      <c r="D89">
        <v>0</v>
      </c>
      <c r="E89" t="s">
        <v>388</v>
      </c>
      <c r="F89">
        <v>0</v>
      </c>
      <c r="G89">
        <v>4095</v>
      </c>
      <c r="H89" t="s">
        <v>197</v>
      </c>
      <c r="I89" t="s">
        <v>198</v>
      </c>
      <c r="J89" t="s">
        <v>199</v>
      </c>
      <c r="K89" t="s">
        <v>224</v>
      </c>
    </row>
    <row r="90" spans="1:11" x14ac:dyDescent="0.25">
      <c r="A90" t="s">
        <v>405</v>
      </c>
      <c r="B90" t="s">
        <v>41</v>
      </c>
      <c r="C90">
        <v>0</v>
      </c>
      <c r="D90">
        <v>0</v>
      </c>
      <c r="E90" t="s">
        <v>386</v>
      </c>
      <c r="F90">
        <v>0</v>
      </c>
      <c r="G90">
        <v>4095</v>
      </c>
      <c r="H90" t="s">
        <v>197</v>
      </c>
      <c r="I90" t="s">
        <v>198</v>
      </c>
      <c r="J90" t="s">
        <v>199</v>
      </c>
      <c r="K90" t="s">
        <v>224</v>
      </c>
    </row>
    <row r="91" spans="1:11" x14ac:dyDescent="0.25">
      <c r="A91" t="s">
        <v>406</v>
      </c>
      <c r="B91" t="s">
        <v>41</v>
      </c>
      <c r="C91">
        <v>0</v>
      </c>
      <c r="D91">
        <v>0</v>
      </c>
      <c r="E91" t="s">
        <v>388</v>
      </c>
      <c r="F91">
        <v>0</v>
      </c>
      <c r="G91">
        <v>4095</v>
      </c>
      <c r="H91" t="s">
        <v>197</v>
      </c>
      <c r="I91" t="s">
        <v>198</v>
      </c>
      <c r="J91" t="s">
        <v>199</v>
      </c>
      <c r="K91" t="s">
        <v>224</v>
      </c>
    </row>
    <row r="92" spans="1:11" x14ac:dyDescent="0.25">
      <c r="A92" t="s">
        <v>407</v>
      </c>
      <c r="B92" t="s">
        <v>41</v>
      </c>
      <c r="C92">
        <v>0</v>
      </c>
      <c r="D92">
        <v>0</v>
      </c>
      <c r="E92" t="s">
        <v>386</v>
      </c>
      <c r="F92">
        <v>0</v>
      </c>
      <c r="G92">
        <v>4095</v>
      </c>
      <c r="H92" t="s">
        <v>197</v>
      </c>
      <c r="I92" t="s">
        <v>198</v>
      </c>
      <c r="J92" t="s">
        <v>199</v>
      </c>
      <c r="K92" t="s">
        <v>224</v>
      </c>
    </row>
    <row r="93" spans="1:11" x14ac:dyDescent="0.25">
      <c r="A93" t="s">
        <v>408</v>
      </c>
      <c r="B93" t="s">
        <v>41</v>
      </c>
      <c r="C93">
        <v>0</v>
      </c>
      <c r="D93">
        <v>0</v>
      </c>
      <c r="E93" t="s">
        <v>388</v>
      </c>
      <c r="F93">
        <v>0</v>
      </c>
      <c r="G93">
        <v>4095</v>
      </c>
      <c r="H93" t="s">
        <v>197</v>
      </c>
      <c r="I93" t="s">
        <v>198</v>
      </c>
      <c r="J93" t="s">
        <v>199</v>
      </c>
      <c r="K93" t="s">
        <v>224</v>
      </c>
    </row>
    <row r="94" spans="1:11" x14ac:dyDescent="0.25">
      <c r="A94" t="s">
        <v>409</v>
      </c>
      <c r="B94" t="s">
        <v>41</v>
      </c>
      <c r="C94">
        <v>0</v>
      </c>
      <c r="D94">
        <v>0</v>
      </c>
      <c r="E94" t="s">
        <v>386</v>
      </c>
      <c r="F94">
        <v>0</v>
      </c>
      <c r="G94">
        <v>4095</v>
      </c>
      <c r="H94" t="s">
        <v>197</v>
      </c>
      <c r="I94" t="s">
        <v>198</v>
      </c>
      <c r="J94" t="s">
        <v>199</v>
      </c>
      <c r="K94" t="s">
        <v>224</v>
      </c>
    </row>
    <row r="95" spans="1:11" x14ac:dyDescent="0.25">
      <c r="A95" t="s">
        <v>410</v>
      </c>
      <c r="B95" t="s">
        <v>41</v>
      </c>
      <c r="C95">
        <v>0</v>
      </c>
      <c r="D95">
        <v>0</v>
      </c>
      <c r="E95" t="s">
        <v>388</v>
      </c>
      <c r="F95">
        <v>0</v>
      </c>
      <c r="G95">
        <v>4095</v>
      </c>
      <c r="H95" t="s">
        <v>197</v>
      </c>
      <c r="I95" t="s">
        <v>198</v>
      </c>
      <c r="J95" t="s">
        <v>199</v>
      </c>
      <c r="K95" t="s">
        <v>224</v>
      </c>
    </row>
    <row r="96" spans="1:11" x14ac:dyDescent="0.25">
      <c r="A96" t="s">
        <v>411</v>
      </c>
      <c r="B96" t="s">
        <v>41</v>
      </c>
      <c r="C96">
        <v>0</v>
      </c>
      <c r="D96">
        <v>0</v>
      </c>
      <c r="E96" t="s">
        <v>386</v>
      </c>
      <c r="F96">
        <v>0</v>
      </c>
      <c r="G96">
        <v>4095</v>
      </c>
      <c r="H96" t="s">
        <v>197</v>
      </c>
      <c r="I96" t="s">
        <v>198</v>
      </c>
      <c r="J96" t="s">
        <v>199</v>
      </c>
      <c r="K96" t="s">
        <v>224</v>
      </c>
    </row>
    <row r="97" spans="1:11" x14ac:dyDescent="0.25">
      <c r="A97" t="s">
        <v>412</v>
      </c>
      <c r="B97" t="s">
        <v>41</v>
      </c>
      <c r="C97">
        <v>0</v>
      </c>
      <c r="D97">
        <v>0</v>
      </c>
      <c r="E97" t="s">
        <v>388</v>
      </c>
      <c r="F97">
        <v>0</v>
      </c>
      <c r="G97">
        <v>4095</v>
      </c>
      <c r="H97" t="s">
        <v>197</v>
      </c>
      <c r="I97" t="s">
        <v>198</v>
      </c>
      <c r="J97" t="s">
        <v>199</v>
      </c>
      <c r="K97" t="s">
        <v>224</v>
      </c>
    </row>
    <row r="98" spans="1:11" x14ac:dyDescent="0.25">
      <c r="A98" t="s">
        <v>413</v>
      </c>
      <c r="B98" t="s">
        <v>41</v>
      </c>
      <c r="C98">
        <v>0</v>
      </c>
      <c r="D98">
        <v>0</v>
      </c>
      <c r="E98" t="s">
        <v>386</v>
      </c>
      <c r="F98">
        <v>0</v>
      </c>
      <c r="G98">
        <v>4095</v>
      </c>
      <c r="H98" t="s">
        <v>197</v>
      </c>
      <c r="I98" t="s">
        <v>198</v>
      </c>
      <c r="J98" t="s">
        <v>199</v>
      </c>
      <c r="K98" t="s">
        <v>224</v>
      </c>
    </row>
    <row r="99" spans="1:11" x14ac:dyDescent="0.25">
      <c r="A99" t="s">
        <v>414</v>
      </c>
      <c r="B99" t="s">
        <v>41</v>
      </c>
      <c r="C99">
        <v>0</v>
      </c>
      <c r="D99">
        <v>0</v>
      </c>
      <c r="E99" t="s">
        <v>388</v>
      </c>
      <c r="F99">
        <v>0</v>
      </c>
      <c r="G99">
        <v>4095</v>
      </c>
      <c r="H99" t="s">
        <v>197</v>
      </c>
      <c r="I99" t="s">
        <v>198</v>
      </c>
      <c r="J99" t="s">
        <v>199</v>
      </c>
      <c r="K99" t="s">
        <v>224</v>
      </c>
    </row>
    <row r="100" spans="1:11" x14ac:dyDescent="0.25">
      <c r="A100" t="s">
        <v>415</v>
      </c>
      <c r="B100" t="s">
        <v>41</v>
      </c>
      <c r="C100">
        <v>0</v>
      </c>
      <c r="D100">
        <v>0</v>
      </c>
      <c r="E100" t="s">
        <v>386</v>
      </c>
      <c r="F100">
        <v>0</v>
      </c>
      <c r="G100">
        <v>4095</v>
      </c>
      <c r="H100" t="s">
        <v>197</v>
      </c>
      <c r="I100" t="s">
        <v>198</v>
      </c>
      <c r="J100" t="s">
        <v>199</v>
      </c>
      <c r="K100" t="s">
        <v>224</v>
      </c>
    </row>
    <row r="101" spans="1:11" x14ac:dyDescent="0.25">
      <c r="A101" t="s">
        <v>416</v>
      </c>
      <c r="B101" t="s">
        <v>41</v>
      </c>
      <c r="C101">
        <v>0</v>
      </c>
      <c r="D101">
        <v>0</v>
      </c>
      <c r="E101" t="s">
        <v>388</v>
      </c>
      <c r="F101">
        <v>0</v>
      </c>
      <c r="G101">
        <v>4095</v>
      </c>
      <c r="H101" t="s">
        <v>197</v>
      </c>
      <c r="I101" t="s">
        <v>198</v>
      </c>
      <c r="J101" t="s">
        <v>199</v>
      </c>
      <c r="K101" t="s">
        <v>224</v>
      </c>
    </row>
    <row r="102" spans="1:11" x14ac:dyDescent="0.25">
      <c r="A102" t="s">
        <v>417</v>
      </c>
      <c r="B102" t="s">
        <v>41</v>
      </c>
      <c r="C102">
        <v>0</v>
      </c>
      <c r="D102">
        <v>0</v>
      </c>
      <c r="E102" t="s">
        <v>386</v>
      </c>
      <c r="F102">
        <v>0</v>
      </c>
      <c r="G102">
        <v>4095</v>
      </c>
      <c r="H102" t="s">
        <v>197</v>
      </c>
      <c r="I102" t="s">
        <v>198</v>
      </c>
      <c r="J102" t="s">
        <v>199</v>
      </c>
      <c r="K102" t="s">
        <v>224</v>
      </c>
    </row>
    <row r="103" spans="1:11" x14ac:dyDescent="0.25">
      <c r="A103" t="s">
        <v>418</v>
      </c>
      <c r="B103" t="s">
        <v>41</v>
      </c>
      <c r="C103">
        <v>0</v>
      </c>
      <c r="D103">
        <v>0</v>
      </c>
      <c r="E103" t="s">
        <v>388</v>
      </c>
      <c r="F103">
        <v>0</v>
      </c>
      <c r="G103">
        <v>4095</v>
      </c>
      <c r="H103" t="s">
        <v>197</v>
      </c>
      <c r="I103" t="s">
        <v>198</v>
      </c>
      <c r="J103" t="s">
        <v>199</v>
      </c>
      <c r="K103" t="s">
        <v>224</v>
      </c>
    </row>
    <row r="104" spans="1:11" x14ac:dyDescent="0.25">
      <c r="A104" t="s">
        <v>419</v>
      </c>
      <c r="B104" t="s">
        <v>55</v>
      </c>
      <c r="C104" t="s">
        <v>420</v>
      </c>
      <c r="D104">
        <v>0</v>
      </c>
      <c r="E104" t="s">
        <v>386</v>
      </c>
      <c r="F104">
        <v>0</v>
      </c>
      <c r="G104">
        <v>4095</v>
      </c>
      <c r="H104" t="s">
        <v>197</v>
      </c>
      <c r="I104" t="s">
        <v>198</v>
      </c>
      <c r="J104" t="s">
        <v>199</v>
      </c>
      <c r="K104" t="s">
        <v>224</v>
      </c>
    </row>
    <row r="105" spans="1:11" x14ac:dyDescent="0.25">
      <c r="A105" t="s">
        <v>421</v>
      </c>
      <c r="B105" t="s">
        <v>55</v>
      </c>
      <c r="C105" t="s">
        <v>420</v>
      </c>
      <c r="D105">
        <v>0</v>
      </c>
      <c r="E105" t="s">
        <v>388</v>
      </c>
      <c r="F105">
        <v>0</v>
      </c>
      <c r="G105">
        <v>4095</v>
      </c>
      <c r="H105" t="s">
        <v>197</v>
      </c>
      <c r="I105" t="s">
        <v>198</v>
      </c>
      <c r="J105" t="s">
        <v>199</v>
      </c>
      <c r="K105" t="s">
        <v>224</v>
      </c>
    </row>
    <row r="106" spans="1:11" x14ac:dyDescent="0.25">
      <c r="A106" t="s">
        <v>422</v>
      </c>
      <c r="B106" t="s">
        <v>55</v>
      </c>
      <c r="C106" t="s">
        <v>420</v>
      </c>
      <c r="D106">
        <v>0</v>
      </c>
      <c r="E106" t="s">
        <v>386</v>
      </c>
      <c r="F106">
        <v>0</v>
      </c>
      <c r="G106">
        <v>4095</v>
      </c>
      <c r="H106" t="s">
        <v>197</v>
      </c>
      <c r="I106" t="s">
        <v>198</v>
      </c>
      <c r="J106" t="s">
        <v>199</v>
      </c>
      <c r="K106" t="s">
        <v>224</v>
      </c>
    </row>
    <row r="107" spans="1:11" x14ac:dyDescent="0.25">
      <c r="A107" t="s">
        <v>423</v>
      </c>
      <c r="B107" t="s">
        <v>55</v>
      </c>
      <c r="C107" t="s">
        <v>420</v>
      </c>
      <c r="D107">
        <v>0</v>
      </c>
      <c r="E107" t="s">
        <v>388</v>
      </c>
      <c r="F107">
        <v>0</v>
      </c>
      <c r="G107">
        <v>4095</v>
      </c>
      <c r="H107" t="s">
        <v>197</v>
      </c>
      <c r="I107" t="s">
        <v>198</v>
      </c>
      <c r="J107" t="s">
        <v>199</v>
      </c>
      <c r="K107" t="s">
        <v>224</v>
      </c>
    </row>
    <row r="108" spans="1:11" x14ac:dyDescent="0.25">
      <c r="A108" t="s">
        <v>424</v>
      </c>
      <c r="B108" t="s">
        <v>55</v>
      </c>
      <c r="C108" t="s">
        <v>420</v>
      </c>
      <c r="D108">
        <v>0</v>
      </c>
      <c r="E108" t="s">
        <v>386</v>
      </c>
      <c r="F108">
        <v>0</v>
      </c>
      <c r="G108">
        <v>4095</v>
      </c>
      <c r="H108" t="s">
        <v>197</v>
      </c>
      <c r="I108" t="s">
        <v>198</v>
      </c>
      <c r="J108" t="s">
        <v>199</v>
      </c>
      <c r="K108" t="s">
        <v>224</v>
      </c>
    </row>
    <row r="109" spans="1:11" x14ac:dyDescent="0.25">
      <c r="A109" t="s">
        <v>425</v>
      </c>
      <c r="B109" t="s">
        <v>55</v>
      </c>
      <c r="C109" t="s">
        <v>420</v>
      </c>
      <c r="D109">
        <v>0</v>
      </c>
      <c r="E109" t="s">
        <v>388</v>
      </c>
      <c r="F109">
        <v>0</v>
      </c>
      <c r="G109">
        <v>4095</v>
      </c>
      <c r="H109" t="s">
        <v>197</v>
      </c>
      <c r="I109" t="s">
        <v>198</v>
      </c>
      <c r="J109" t="s">
        <v>199</v>
      </c>
      <c r="K109" t="s">
        <v>224</v>
      </c>
    </row>
    <row r="110" spans="1:11" x14ac:dyDescent="0.25">
      <c r="A110" t="s">
        <v>426</v>
      </c>
      <c r="B110" t="s">
        <v>55</v>
      </c>
      <c r="C110" t="s">
        <v>420</v>
      </c>
      <c r="D110">
        <v>0</v>
      </c>
      <c r="E110" t="s">
        <v>386</v>
      </c>
      <c r="F110">
        <v>0</v>
      </c>
      <c r="G110">
        <v>4095</v>
      </c>
      <c r="H110" t="s">
        <v>197</v>
      </c>
      <c r="I110" t="s">
        <v>198</v>
      </c>
      <c r="J110" t="s">
        <v>199</v>
      </c>
      <c r="K110" t="s">
        <v>224</v>
      </c>
    </row>
    <row r="111" spans="1:11" x14ac:dyDescent="0.25">
      <c r="A111" t="s">
        <v>427</v>
      </c>
      <c r="B111" t="s">
        <v>55</v>
      </c>
      <c r="C111" t="s">
        <v>420</v>
      </c>
      <c r="D111">
        <v>0</v>
      </c>
      <c r="E111" t="s">
        <v>388</v>
      </c>
      <c r="F111">
        <v>0</v>
      </c>
      <c r="G111">
        <v>4095</v>
      </c>
      <c r="H111" t="s">
        <v>197</v>
      </c>
      <c r="I111" t="s">
        <v>198</v>
      </c>
      <c r="J111" t="s">
        <v>199</v>
      </c>
      <c r="K111" t="s">
        <v>224</v>
      </c>
    </row>
    <row r="112" spans="1:11" x14ac:dyDescent="0.25">
      <c r="A112" t="s">
        <v>428</v>
      </c>
      <c r="B112" t="s">
        <v>55</v>
      </c>
      <c r="C112" t="s">
        <v>420</v>
      </c>
      <c r="D112">
        <v>0</v>
      </c>
      <c r="E112" t="s">
        <v>386</v>
      </c>
      <c r="F112">
        <v>0</v>
      </c>
      <c r="G112">
        <v>4095</v>
      </c>
      <c r="H112" t="s">
        <v>197</v>
      </c>
      <c r="I112" t="s">
        <v>198</v>
      </c>
      <c r="J112" t="s">
        <v>199</v>
      </c>
      <c r="K112" t="s">
        <v>224</v>
      </c>
    </row>
    <row r="113" spans="1:12" x14ac:dyDescent="0.25">
      <c r="A113" t="s">
        <v>429</v>
      </c>
      <c r="B113" t="s">
        <v>55</v>
      </c>
      <c r="C113" t="s">
        <v>420</v>
      </c>
      <c r="D113">
        <v>0</v>
      </c>
      <c r="E113" t="s">
        <v>388</v>
      </c>
      <c r="F113">
        <v>0</v>
      </c>
      <c r="G113">
        <v>4095</v>
      </c>
      <c r="H113" t="s">
        <v>197</v>
      </c>
      <c r="I113" t="s">
        <v>198</v>
      </c>
      <c r="J113" t="s">
        <v>199</v>
      </c>
      <c r="K113" t="s">
        <v>224</v>
      </c>
    </row>
    <row r="114" spans="1:12" x14ac:dyDescent="0.25">
      <c r="A114" t="s">
        <v>430</v>
      </c>
      <c r="B114" t="s">
        <v>55</v>
      </c>
      <c r="C114" t="s">
        <v>420</v>
      </c>
      <c r="D114">
        <v>0</v>
      </c>
      <c r="E114" t="s">
        <v>386</v>
      </c>
      <c r="F114">
        <v>0</v>
      </c>
      <c r="G114">
        <v>4095</v>
      </c>
      <c r="H114" t="s">
        <v>197</v>
      </c>
      <c r="I114" t="s">
        <v>198</v>
      </c>
      <c r="J114" t="s">
        <v>199</v>
      </c>
      <c r="K114" t="s">
        <v>224</v>
      </c>
    </row>
    <row r="115" spans="1:12" x14ac:dyDescent="0.25">
      <c r="A115" t="s">
        <v>431</v>
      </c>
      <c r="B115" t="s">
        <v>55</v>
      </c>
      <c r="C115" t="s">
        <v>420</v>
      </c>
      <c r="D115">
        <v>0</v>
      </c>
      <c r="E115" t="s">
        <v>388</v>
      </c>
      <c r="F115">
        <v>0</v>
      </c>
      <c r="G115">
        <v>4095</v>
      </c>
      <c r="H115" t="s">
        <v>197</v>
      </c>
      <c r="I115" t="s">
        <v>198</v>
      </c>
      <c r="J115" t="s">
        <v>199</v>
      </c>
      <c r="K115" t="s">
        <v>224</v>
      </c>
    </row>
    <row r="116" spans="1:12" x14ac:dyDescent="0.25">
      <c r="A116" t="s">
        <v>432</v>
      </c>
      <c r="B116" t="s">
        <v>55</v>
      </c>
      <c r="C116" t="s">
        <v>420</v>
      </c>
      <c r="D116">
        <v>0</v>
      </c>
      <c r="E116" t="s">
        <v>386</v>
      </c>
      <c r="F116">
        <v>0</v>
      </c>
      <c r="G116">
        <v>4095</v>
      </c>
      <c r="H116" t="s">
        <v>197</v>
      </c>
      <c r="I116" t="s">
        <v>198</v>
      </c>
      <c r="J116" t="s">
        <v>199</v>
      </c>
      <c r="K116" t="s">
        <v>224</v>
      </c>
    </row>
    <row r="117" spans="1:12" x14ac:dyDescent="0.25">
      <c r="A117" t="s">
        <v>433</v>
      </c>
      <c r="B117" t="s">
        <v>55</v>
      </c>
      <c r="C117" t="s">
        <v>420</v>
      </c>
      <c r="D117">
        <v>0</v>
      </c>
      <c r="E117" t="s">
        <v>388</v>
      </c>
      <c r="F117">
        <v>0</v>
      </c>
      <c r="G117">
        <v>4095</v>
      </c>
      <c r="H117" t="s">
        <v>197</v>
      </c>
      <c r="I117" t="s">
        <v>198</v>
      </c>
      <c r="J117" t="s">
        <v>199</v>
      </c>
      <c r="K117" t="s">
        <v>224</v>
      </c>
    </row>
    <row r="118" spans="1:12" x14ac:dyDescent="0.25">
      <c r="A118" t="s">
        <v>434</v>
      </c>
      <c r="B118" t="s">
        <v>55</v>
      </c>
      <c r="C118" t="s">
        <v>420</v>
      </c>
      <c r="D118">
        <v>0</v>
      </c>
      <c r="E118" t="s">
        <v>386</v>
      </c>
      <c r="F118">
        <v>0</v>
      </c>
      <c r="G118">
        <v>4095</v>
      </c>
      <c r="H118" t="s">
        <v>197</v>
      </c>
      <c r="I118" t="s">
        <v>198</v>
      </c>
      <c r="J118" t="s">
        <v>199</v>
      </c>
      <c r="K118" t="s">
        <v>224</v>
      </c>
    </row>
    <row r="119" spans="1:12" x14ac:dyDescent="0.25">
      <c r="A119" t="s">
        <v>435</v>
      </c>
      <c r="B119" t="s">
        <v>55</v>
      </c>
      <c r="C119" t="s">
        <v>420</v>
      </c>
      <c r="D119">
        <v>0</v>
      </c>
      <c r="E119" t="s">
        <v>388</v>
      </c>
      <c r="F119">
        <v>0</v>
      </c>
      <c r="G119">
        <v>4095</v>
      </c>
      <c r="H119" t="s">
        <v>197</v>
      </c>
      <c r="I119" t="s">
        <v>198</v>
      </c>
      <c r="J119" t="s">
        <v>199</v>
      </c>
      <c r="K119" t="s">
        <v>224</v>
      </c>
    </row>
    <row r="120" spans="1:12" x14ac:dyDescent="0.25">
      <c r="A120" t="s">
        <v>436</v>
      </c>
      <c r="B120" t="s">
        <v>216</v>
      </c>
      <c r="C120" t="s">
        <v>236</v>
      </c>
      <c r="D120" t="s">
        <v>217</v>
      </c>
      <c r="E120" t="s">
        <v>437</v>
      </c>
      <c r="F120" t="s">
        <v>195</v>
      </c>
      <c r="G120" t="s">
        <v>196</v>
      </c>
      <c r="H120" t="s">
        <v>197</v>
      </c>
      <c r="I120" t="s">
        <v>198</v>
      </c>
      <c r="J120" t="s">
        <v>199</v>
      </c>
      <c r="K120" t="s">
        <v>310</v>
      </c>
    </row>
    <row r="121" spans="1:12" x14ac:dyDescent="0.25">
      <c r="A121" t="s">
        <v>438</v>
      </c>
      <c r="B121" t="s">
        <v>191</v>
      </c>
      <c r="C121" t="s">
        <v>439</v>
      </c>
      <c r="D121" t="s">
        <v>440</v>
      </c>
      <c r="E121" t="s">
        <v>441</v>
      </c>
      <c r="F121" t="s">
        <v>195</v>
      </c>
      <c r="G121" t="s">
        <v>196</v>
      </c>
      <c r="H121" t="s">
        <v>197</v>
      </c>
      <c r="I121" t="s">
        <v>198</v>
      </c>
      <c r="J121" t="s">
        <v>199</v>
      </c>
      <c r="K121" t="s">
        <v>310</v>
      </c>
      <c r="L121" t="s">
        <v>442</v>
      </c>
    </row>
    <row r="122" spans="1:12" x14ac:dyDescent="0.25">
      <c r="A122" t="s">
        <v>443</v>
      </c>
      <c r="B122" t="s">
        <v>41</v>
      </c>
      <c r="C122">
        <v>5</v>
      </c>
      <c r="D122">
        <v>0</v>
      </c>
      <c r="E122" t="s">
        <v>444</v>
      </c>
      <c r="F122">
        <v>0</v>
      </c>
      <c r="G122">
        <v>16777215</v>
      </c>
      <c r="H122" t="s">
        <v>197</v>
      </c>
      <c r="I122" t="s">
        <v>198</v>
      </c>
      <c r="J122" t="s">
        <v>199</v>
      </c>
      <c r="K122" t="s">
        <v>310</v>
      </c>
    </row>
    <row r="123" spans="1:12" x14ac:dyDescent="0.25">
      <c r="A123" t="s">
        <v>445</v>
      </c>
      <c r="B123" t="s">
        <v>41</v>
      </c>
      <c r="C123">
        <v>10</v>
      </c>
      <c r="D123">
        <v>0</v>
      </c>
      <c r="E123" t="s">
        <v>446</v>
      </c>
      <c r="F123">
        <v>0</v>
      </c>
      <c r="G123">
        <v>16777215</v>
      </c>
      <c r="H123" t="s">
        <v>197</v>
      </c>
      <c r="I123" t="s">
        <v>198</v>
      </c>
      <c r="J123" t="s">
        <v>199</v>
      </c>
      <c r="K123" t="s">
        <v>310</v>
      </c>
    </row>
    <row r="124" spans="1:12" x14ac:dyDescent="0.25">
      <c r="A124" t="s">
        <v>447</v>
      </c>
      <c r="B124" t="s">
        <v>41</v>
      </c>
      <c r="C124">
        <v>0</v>
      </c>
      <c r="D124">
        <v>0</v>
      </c>
      <c r="E124" t="s">
        <v>448</v>
      </c>
      <c r="F124">
        <v>0</v>
      </c>
      <c r="G124">
        <v>16777215</v>
      </c>
      <c r="H124" t="s">
        <v>197</v>
      </c>
      <c r="I124" t="s">
        <v>198</v>
      </c>
      <c r="J124" t="s">
        <v>199</v>
      </c>
      <c r="K124" t="s">
        <v>310</v>
      </c>
    </row>
    <row r="125" spans="1:12" x14ac:dyDescent="0.25">
      <c r="A125" t="s">
        <v>449</v>
      </c>
      <c r="B125" t="s">
        <v>216</v>
      </c>
      <c r="C125" t="s">
        <v>236</v>
      </c>
      <c r="D125" t="s">
        <v>217</v>
      </c>
      <c r="E125" t="s">
        <v>437</v>
      </c>
      <c r="F125" t="s">
        <v>195</v>
      </c>
      <c r="G125" t="s">
        <v>196</v>
      </c>
      <c r="H125" t="s">
        <v>197</v>
      </c>
      <c r="I125" t="s">
        <v>198</v>
      </c>
      <c r="J125" t="s">
        <v>199</v>
      </c>
      <c r="K125" t="s">
        <v>310</v>
      </c>
    </row>
    <row r="126" spans="1:12" x14ac:dyDescent="0.25">
      <c r="A126" t="s">
        <v>450</v>
      </c>
      <c r="B126" t="s">
        <v>191</v>
      </c>
      <c r="C126" t="s">
        <v>439</v>
      </c>
      <c r="D126" t="s">
        <v>440</v>
      </c>
      <c r="E126" t="s">
        <v>441</v>
      </c>
      <c r="F126" t="s">
        <v>195</v>
      </c>
      <c r="G126" t="s">
        <v>196</v>
      </c>
      <c r="H126" t="s">
        <v>197</v>
      </c>
      <c r="I126" t="s">
        <v>198</v>
      </c>
      <c r="J126" t="s">
        <v>199</v>
      </c>
      <c r="K126" t="s">
        <v>310</v>
      </c>
      <c r="L126" t="s">
        <v>442</v>
      </c>
    </row>
    <row r="127" spans="1:12" x14ac:dyDescent="0.25">
      <c r="A127" t="s">
        <v>451</v>
      </c>
      <c r="B127" t="s">
        <v>41</v>
      </c>
      <c r="C127">
        <v>5</v>
      </c>
      <c r="D127">
        <v>0</v>
      </c>
      <c r="E127" t="s">
        <v>444</v>
      </c>
      <c r="F127">
        <v>0</v>
      </c>
      <c r="G127">
        <v>16777215</v>
      </c>
      <c r="H127" t="s">
        <v>197</v>
      </c>
      <c r="I127" t="s">
        <v>198</v>
      </c>
      <c r="J127" t="s">
        <v>199</v>
      </c>
      <c r="K127" t="s">
        <v>310</v>
      </c>
    </row>
    <row r="128" spans="1:12" x14ac:dyDescent="0.25">
      <c r="A128" t="s">
        <v>452</v>
      </c>
      <c r="B128" t="s">
        <v>41</v>
      </c>
      <c r="C128">
        <v>10</v>
      </c>
      <c r="D128">
        <v>0</v>
      </c>
      <c r="E128" t="s">
        <v>446</v>
      </c>
      <c r="F128">
        <v>0</v>
      </c>
      <c r="G128">
        <v>16777215</v>
      </c>
      <c r="H128" t="s">
        <v>197</v>
      </c>
      <c r="I128" t="s">
        <v>198</v>
      </c>
      <c r="J128" t="s">
        <v>199</v>
      </c>
      <c r="K128" t="s">
        <v>310</v>
      </c>
    </row>
    <row r="129" spans="1:12" x14ac:dyDescent="0.25">
      <c r="A129" t="s">
        <v>453</v>
      </c>
      <c r="B129" t="s">
        <v>41</v>
      </c>
      <c r="C129">
        <v>0</v>
      </c>
      <c r="D129">
        <v>0</v>
      </c>
      <c r="E129" t="s">
        <v>448</v>
      </c>
      <c r="F129">
        <v>0</v>
      </c>
      <c r="G129">
        <v>16777215</v>
      </c>
      <c r="H129" t="s">
        <v>197</v>
      </c>
      <c r="I129" t="s">
        <v>198</v>
      </c>
      <c r="J129" t="s">
        <v>199</v>
      </c>
      <c r="K129" t="s">
        <v>310</v>
      </c>
    </row>
    <row r="130" spans="1:12" x14ac:dyDescent="0.25">
      <c r="A130" t="s">
        <v>454</v>
      </c>
      <c r="B130" t="s">
        <v>216</v>
      </c>
      <c r="C130" t="s">
        <v>236</v>
      </c>
      <c r="D130" t="s">
        <v>217</v>
      </c>
      <c r="E130" t="s">
        <v>437</v>
      </c>
      <c r="F130" t="s">
        <v>195</v>
      </c>
      <c r="G130" t="s">
        <v>196</v>
      </c>
      <c r="H130" t="s">
        <v>197</v>
      </c>
      <c r="I130" t="s">
        <v>198</v>
      </c>
      <c r="J130" t="s">
        <v>199</v>
      </c>
      <c r="K130" t="s">
        <v>310</v>
      </c>
    </row>
    <row r="131" spans="1:12" x14ac:dyDescent="0.25">
      <c r="A131" t="s">
        <v>455</v>
      </c>
      <c r="B131" t="s">
        <v>191</v>
      </c>
      <c r="C131" t="s">
        <v>439</v>
      </c>
      <c r="D131" t="s">
        <v>440</v>
      </c>
      <c r="E131" t="s">
        <v>441</v>
      </c>
      <c r="F131" t="s">
        <v>195</v>
      </c>
      <c r="G131" t="s">
        <v>196</v>
      </c>
      <c r="H131" t="s">
        <v>197</v>
      </c>
      <c r="I131" t="s">
        <v>198</v>
      </c>
      <c r="J131" t="s">
        <v>199</v>
      </c>
      <c r="K131" t="s">
        <v>310</v>
      </c>
      <c r="L131" t="s">
        <v>442</v>
      </c>
    </row>
    <row r="132" spans="1:12" x14ac:dyDescent="0.25">
      <c r="A132" t="s">
        <v>456</v>
      </c>
      <c r="B132" t="s">
        <v>41</v>
      </c>
      <c r="C132">
        <v>0</v>
      </c>
      <c r="D132">
        <v>0</v>
      </c>
      <c r="E132" t="s">
        <v>444</v>
      </c>
      <c r="F132">
        <v>0</v>
      </c>
      <c r="G132">
        <v>16777215</v>
      </c>
      <c r="H132" t="s">
        <v>197</v>
      </c>
      <c r="I132" t="s">
        <v>198</v>
      </c>
      <c r="J132" t="s">
        <v>199</v>
      </c>
      <c r="K132" t="s">
        <v>310</v>
      </c>
    </row>
    <row r="133" spans="1:12" x14ac:dyDescent="0.25">
      <c r="A133" t="s">
        <v>457</v>
      </c>
      <c r="B133" t="s">
        <v>41</v>
      </c>
      <c r="C133">
        <v>100</v>
      </c>
      <c r="D133">
        <v>0</v>
      </c>
      <c r="E133" t="s">
        <v>446</v>
      </c>
      <c r="F133">
        <v>0</v>
      </c>
      <c r="G133">
        <v>16777215</v>
      </c>
      <c r="H133" t="s">
        <v>197</v>
      </c>
      <c r="I133" t="s">
        <v>198</v>
      </c>
      <c r="J133" t="s">
        <v>199</v>
      </c>
      <c r="K133" t="s">
        <v>310</v>
      </c>
    </row>
    <row r="134" spans="1:12" x14ac:dyDescent="0.25">
      <c r="A134" t="s">
        <v>458</v>
      </c>
      <c r="B134" t="s">
        <v>41</v>
      </c>
      <c r="C134">
        <v>0</v>
      </c>
      <c r="D134">
        <v>0</v>
      </c>
      <c r="E134" t="s">
        <v>448</v>
      </c>
      <c r="F134">
        <v>0</v>
      </c>
      <c r="G134">
        <v>16777215</v>
      </c>
      <c r="H134" t="s">
        <v>197</v>
      </c>
      <c r="I134" t="s">
        <v>198</v>
      </c>
      <c r="J134" t="s">
        <v>199</v>
      </c>
      <c r="K134" t="s">
        <v>310</v>
      </c>
    </row>
    <row r="135" spans="1:12" x14ac:dyDescent="0.25">
      <c r="A135" t="s">
        <v>459</v>
      </c>
      <c r="B135" t="s">
        <v>216</v>
      </c>
      <c r="C135" t="s">
        <v>236</v>
      </c>
      <c r="D135" t="s">
        <v>217</v>
      </c>
      <c r="E135" t="s">
        <v>437</v>
      </c>
      <c r="F135" t="s">
        <v>195</v>
      </c>
      <c r="G135" t="s">
        <v>196</v>
      </c>
      <c r="H135" t="s">
        <v>197</v>
      </c>
      <c r="I135" t="s">
        <v>198</v>
      </c>
      <c r="J135" t="s">
        <v>199</v>
      </c>
      <c r="K135" t="s">
        <v>310</v>
      </c>
    </row>
    <row r="136" spans="1:12" x14ac:dyDescent="0.25">
      <c r="A136" t="s">
        <v>460</v>
      </c>
      <c r="B136" t="s">
        <v>191</v>
      </c>
      <c r="C136" t="s">
        <v>439</v>
      </c>
      <c r="D136" t="s">
        <v>440</v>
      </c>
      <c r="E136" t="s">
        <v>441</v>
      </c>
      <c r="F136" t="s">
        <v>195</v>
      </c>
      <c r="G136" t="s">
        <v>196</v>
      </c>
      <c r="H136" t="s">
        <v>197</v>
      </c>
      <c r="I136" t="s">
        <v>198</v>
      </c>
      <c r="J136" t="s">
        <v>199</v>
      </c>
      <c r="K136" t="s">
        <v>310</v>
      </c>
      <c r="L136" t="s">
        <v>442</v>
      </c>
    </row>
    <row r="137" spans="1:12" x14ac:dyDescent="0.25">
      <c r="A137" t="s">
        <v>461</v>
      </c>
      <c r="B137" t="s">
        <v>41</v>
      </c>
      <c r="C137">
        <v>0</v>
      </c>
      <c r="D137">
        <v>0</v>
      </c>
      <c r="E137" t="s">
        <v>444</v>
      </c>
      <c r="F137">
        <v>0</v>
      </c>
      <c r="G137">
        <v>16777215</v>
      </c>
      <c r="H137" t="s">
        <v>197</v>
      </c>
      <c r="I137" t="s">
        <v>198</v>
      </c>
      <c r="J137" t="s">
        <v>199</v>
      </c>
      <c r="K137" t="s">
        <v>310</v>
      </c>
    </row>
    <row r="138" spans="1:12" x14ac:dyDescent="0.25">
      <c r="A138" t="s">
        <v>462</v>
      </c>
      <c r="B138" t="s">
        <v>41</v>
      </c>
      <c r="C138">
        <v>10</v>
      </c>
      <c r="D138">
        <v>0</v>
      </c>
      <c r="E138" t="s">
        <v>446</v>
      </c>
      <c r="F138">
        <v>0</v>
      </c>
      <c r="G138">
        <v>16777215</v>
      </c>
      <c r="H138" t="s">
        <v>197</v>
      </c>
      <c r="I138" t="s">
        <v>198</v>
      </c>
      <c r="J138" t="s">
        <v>199</v>
      </c>
      <c r="K138" t="s">
        <v>310</v>
      </c>
    </row>
    <row r="139" spans="1:12" x14ac:dyDescent="0.25">
      <c r="A139" t="s">
        <v>463</v>
      </c>
      <c r="B139" t="s">
        <v>41</v>
      </c>
      <c r="C139">
        <v>0</v>
      </c>
      <c r="D139">
        <v>0</v>
      </c>
      <c r="E139" t="s">
        <v>448</v>
      </c>
      <c r="F139">
        <v>0</v>
      </c>
      <c r="G139">
        <v>16777215</v>
      </c>
      <c r="H139" t="s">
        <v>197</v>
      </c>
      <c r="I139" t="s">
        <v>198</v>
      </c>
      <c r="J139" t="s">
        <v>199</v>
      </c>
      <c r="K139" t="s">
        <v>310</v>
      </c>
    </row>
    <row r="140" spans="1:12" x14ac:dyDescent="0.25">
      <c r="A140" t="s">
        <v>464</v>
      </c>
      <c r="B140" t="s">
        <v>216</v>
      </c>
      <c r="C140" t="s">
        <v>217</v>
      </c>
      <c r="D140" t="s">
        <v>217</v>
      </c>
      <c r="E140" t="s">
        <v>465</v>
      </c>
      <c r="F140" t="s">
        <v>195</v>
      </c>
      <c r="G140" t="s">
        <v>196</v>
      </c>
      <c r="H140" t="s">
        <v>197</v>
      </c>
      <c r="I140" t="s">
        <v>198</v>
      </c>
      <c r="J140" t="s">
        <v>199</v>
      </c>
      <c r="K140" t="s">
        <v>310</v>
      </c>
    </row>
    <row r="141" spans="1:12" x14ac:dyDescent="0.25">
      <c r="A141" t="s">
        <v>466</v>
      </c>
      <c r="B141" t="s">
        <v>216</v>
      </c>
      <c r="C141" t="s">
        <v>236</v>
      </c>
      <c r="D141" t="s">
        <v>217</v>
      </c>
      <c r="E141" t="s">
        <v>467</v>
      </c>
      <c r="F141" t="s">
        <v>195</v>
      </c>
      <c r="G141" t="s">
        <v>196</v>
      </c>
      <c r="H141" t="s">
        <v>197</v>
      </c>
      <c r="I141" t="s">
        <v>198</v>
      </c>
      <c r="J141" t="s">
        <v>199</v>
      </c>
      <c r="K141" t="s">
        <v>310</v>
      </c>
    </row>
    <row r="142" spans="1:12" x14ac:dyDescent="0.25">
      <c r="A142" t="s">
        <v>468</v>
      </c>
      <c r="B142" t="s">
        <v>216</v>
      </c>
      <c r="C142" t="s">
        <v>236</v>
      </c>
      <c r="D142" t="s">
        <v>217</v>
      </c>
      <c r="E142" t="s">
        <v>469</v>
      </c>
      <c r="F142" t="s">
        <v>195</v>
      </c>
      <c r="G142" t="s">
        <v>196</v>
      </c>
      <c r="H142" t="s">
        <v>197</v>
      </c>
      <c r="I142" t="s">
        <v>198</v>
      </c>
      <c r="J142" t="s">
        <v>199</v>
      </c>
      <c r="K142" t="s">
        <v>310</v>
      </c>
    </row>
    <row r="143" spans="1:12" x14ac:dyDescent="0.25">
      <c r="A143" t="s">
        <v>470</v>
      </c>
      <c r="B143" t="s">
        <v>41</v>
      </c>
      <c r="C143">
        <v>4</v>
      </c>
      <c r="D143" t="s">
        <v>220</v>
      </c>
      <c r="E143" t="s">
        <v>471</v>
      </c>
      <c r="F143" t="s">
        <v>195</v>
      </c>
      <c r="G143" t="s">
        <v>196</v>
      </c>
      <c r="H143" t="s">
        <v>197</v>
      </c>
      <c r="I143" t="s">
        <v>198</v>
      </c>
      <c r="J143" t="s">
        <v>223</v>
      </c>
      <c r="K143" t="s">
        <v>310</v>
      </c>
    </row>
    <row r="144" spans="1:12" x14ac:dyDescent="0.25">
      <c r="A144" t="s">
        <v>472</v>
      </c>
    </row>
  </sheetData>
  <autoFilter ref="A2:L2"/>
  <customSheetViews>
    <customSheetView guid="{2E790F67-B1CF-4589-8EE3-FDE1E951836B}" topLeftCell="A2">
      <selection activeCell="D14" sqref="D14"/>
      <pageMargins left="0.7" right="0.7" top="0.75" bottom="0.75" header="0.3" footer="0.3"/>
    </customSheetView>
  </customSheetView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21</vt:i4>
      </vt:variant>
    </vt:vector>
  </HeadingPairs>
  <TitlesOfParts>
    <vt:vector size="26" baseType="lpstr">
      <vt:lpstr>Interface</vt:lpstr>
      <vt:lpstr>Presets</vt:lpstr>
      <vt:lpstr>Definitions</vt:lpstr>
      <vt:lpstr>CS</vt:lpstr>
      <vt:lpstr>FalconX</vt:lpstr>
      <vt:lpstr>y_ArchiverCode_c</vt:lpstr>
      <vt:lpstr>y_archiverXML</vt:lpstr>
      <vt:lpstr>y_ArchiverXMLFile</vt:lpstr>
      <vt:lpstr>y_EPICS_DB_c</vt:lpstr>
      <vt:lpstr>y_EPICS_Formats</vt:lpstr>
      <vt:lpstr>y_EPICS_Template</vt:lpstr>
      <vt:lpstr>y_FindReplace_c</vt:lpstr>
      <vt:lpstr>y_FindReplace_file</vt:lpstr>
      <vt:lpstr>y_FindReplace_template</vt:lpstr>
      <vt:lpstr>y_InterfacePMC</vt:lpstr>
      <vt:lpstr>y_InterfacePMCScript</vt:lpstr>
      <vt:lpstr>y_LoadSavepcf_c</vt:lpstr>
      <vt:lpstr>Interface!y_MaxPmacInt</vt:lpstr>
      <vt:lpstr>y_MaxPmacInt</vt:lpstr>
      <vt:lpstr>y_pmac_Code_c</vt:lpstr>
      <vt:lpstr>y_pmacRascanGSVar</vt:lpstr>
      <vt:lpstr>y_Prefix</vt:lpstr>
      <vt:lpstr>y_QELabel</vt:lpstr>
      <vt:lpstr>y_QELineEdit</vt:lpstr>
      <vt:lpstr>y_QLabel</vt:lpstr>
      <vt:lpstr>y_rascanExpandableFile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afsharn</dc:creator>
  <cp:lastModifiedBy>afsharn</cp:lastModifiedBy>
  <dcterms:created xsi:type="dcterms:W3CDTF">2015-12-02T04:45:22Z</dcterms:created>
  <dcterms:modified xsi:type="dcterms:W3CDTF">2017-07-12T03:52:56Z</dcterms:modified>
</cp:coreProperties>
</file>