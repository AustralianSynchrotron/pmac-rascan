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4C\tec\mc\pmacRascan\trunk\documentation\"/>
    </mc:Choice>
  </mc:AlternateContent>
  <bookViews>
    <workbookView xWindow="480" yWindow="495" windowWidth="18720" windowHeight="8280"/>
  </bookViews>
  <sheets>
    <sheet name="Interface" sheetId="1" r:id="rId1"/>
    <sheet name="Presets" sheetId="2" r:id="rId2"/>
    <sheet name="ProtocolLookup" sheetId="7" r:id="rId3"/>
    <sheet name="Definitions" sheetId="3" r:id="rId4"/>
    <sheet name="CS" sheetId="4" r:id="rId5"/>
    <sheet name="DeviceVars" sheetId="5" r:id="rId6"/>
    <sheet name="Templates" sheetId="6" r:id="rId7"/>
  </sheets>
  <definedNames>
    <definedName name="_xlnm._FilterDatabase" localSheetId="5" hidden="1">DeviceVars!$A$2:$L$144</definedName>
    <definedName name="_xlnm._FilterDatabase" localSheetId="0" hidden="1">Interface!$A$3:$BB$135</definedName>
    <definedName name="_xlnm._FilterDatabase" localSheetId="1" hidden="1">Presets!$A$2:$B$7</definedName>
    <definedName name="_xlnm._FilterDatabase" localSheetId="2" hidden="1">ProtocolLookup!$B$6:$D$10</definedName>
    <definedName name="bla">Templates!$G$28</definedName>
    <definedName name="y_ArchiverCode_c">Interface!$AU:$AU</definedName>
    <definedName name="y_archiverXML">Presets!$J$13</definedName>
    <definedName name="y_ArchiverXMLFile">Interface!$AU$2</definedName>
    <definedName name="y_CtrlUI_code">Interface!$AP$4:$AP$118</definedName>
    <definedName name="y_CtrlUI_file">Interface!$AP$2</definedName>
    <definedName name="y_CtrlUI_ref">Interface!$AP:$AP</definedName>
    <definedName name="y_dbUpdateMsg">Interface!$AO$1</definedName>
    <definedName name="y_dedicatedCS">Interface!$G$2</definedName>
    <definedName name="y_dev_Code_c">Interface!$AT:$AT</definedName>
    <definedName name="y_dev_prefix">Interface!$G$1</definedName>
    <definedName name="y_DeviceKey_c">Interface!$F:$F</definedName>
    <definedName name="y_devMapDbFile">Interface!$AO$2</definedName>
    <definedName name="y_devVarDefFile">Interface!$AT$2</definedName>
    <definedName name="y_DTYPE">Presets!$K$3</definedName>
    <definedName name="y_EPICS_DB_c">Interface!$AO:$AO</definedName>
    <definedName name="y_EPICS_Formats">Presets!$A$2:$B$9</definedName>
    <definedName name="y_EPICS_Template">Interface!$AN:$AN</definedName>
    <definedName name="y_filenamebase">Interface!$I$1</definedName>
    <definedName name="y_FindReplace_c">Interface!$B$1:$B$78</definedName>
    <definedName name="y_FindReplace_file">Interface!$B$2</definedName>
    <definedName name="y_FindReplace_template">Interface!$B:$B</definedName>
    <definedName name="y_getProtoAnalog">Presets!$K$6</definedName>
    <definedName name="y_getProtoBool">Presets!$M$6</definedName>
    <definedName name="y_getProtoLongint">Presets!$L$6</definedName>
    <definedName name="y_getProtoOption">Presets!$O$6</definedName>
    <definedName name="y_getProtoString">Presets!$N$6</definedName>
    <definedName name="y_InterfacePMCScript">Interface!$AT$4:$AT$77</definedName>
    <definedName name="y_LoadSavepcf_c">Interface!$AS:$AS</definedName>
    <definedName name="y_mapProtocolLUT">ProtocolLookup!$B$6:$D$10</definedName>
    <definedName name="y_MaxPmacInt" localSheetId="0">Presets!$D$3</definedName>
    <definedName name="y_MaxPmacInt">Presets!$D$3</definedName>
    <definedName name="y_mbbioEnum_c">Interface!$AJ:$AJ</definedName>
    <definedName name="y_MonUI_code">Interface!$AQ$4:$AQ$118</definedName>
    <definedName name="y_MonUI_file">Interface!$AQ$2</definedName>
    <definedName name="y_MonUI_ref">Interface!$AQ:$AQ</definedName>
    <definedName name="y_nonMappedAnalog">Presets!$K$10</definedName>
    <definedName name="y_outputFilePath">Interface!$I$2</definedName>
    <definedName name="y_paramOptions_c">Interface!$O:$O</definedName>
    <definedName name="y_paramType_c">Interface!$G:$G</definedName>
    <definedName name="y_pmacRascanGSVar">Presets!$J$9</definedName>
    <definedName name="y_pmacVariableRead">Presets!#REF!</definedName>
    <definedName name="y_pmacVariableWriteSync" localSheetId="0">Presets!#REF!</definedName>
    <definedName name="y_pmacVariableWriteSyncInt" localSheetId="0">Presets!#REF!</definedName>
    <definedName name="y_Prefix">Interface!$E$1</definedName>
    <definedName name="y_PVNames_c">Interface!$E:$E</definedName>
    <definedName name="y_QELabel">Presets!$J$11</definedName>
    <definedName name="y_QELineEdit">Presets!$J$12</definedName>
    <definedName name="y_QLabel">Presets!$J$10</definedName>
    <definedName name="y_setProtoAnalog">Presets!$K$5</definedName>
    <definedName name="y_setProtoBool">Presets!$M$5</definedName>
    <definedName name="y_setProtoLongint">Presets!$L$5</definedName>
    <definedName name="y_setProtoOption">Presets!$O$5</definedName>
    <definedName name="y_setProtoString">Presets!$N$5</definedName>
    <definedName name="y_varMap_Path">Presets!$K$7</definedName>
    <definedName name="y_varMapAnalog">Presets!$K$9</definedName>
    <definedName name="y_varMapBool">Presets!$M$9</definedName>
    <definedName name="y_varMapLongint">Presets!$L$9</definedName>
    <definedName name="y_varMapOption">Presets!$O$9</definedName>
    <definedName name="y_varMapString">Presets!$N$9</definedName>
    <definedName name="Z_2E790F67_B1CF_4589_8EE3_FDE1E951836B_.wvu.FilterData" localSheetId="0" hidden="1">Interface!$B$3:$AY$56</definedName>
    <definedName name="Z_2E790F67_B1CF_4589_8EE3_FDE1E951836B_.wvu.FilterData" localSheetId="1" hidden="1">Presets!$A$2:$B$7</definedName>
  </definedNames>
  <calcPr calcId="162913"/>
  <customWorkbookViews>
    <customWorkbookView name="afsharn - Personal View" guid="{2E790F67-B1CF-4589-8EE3-FDE1E951836B}" mergeInterval="0" personalView="1" maximized="1" windowWidth="1019" windowHeight="943" activeSheetId="1"/>
  </customWorkbookViews>
</workbook>
</file>

<file path=xl/calcChain.xml><?xml version="1.0" encoding="utf-8"?>
<calcChain xmlns="http://schemas.openxmlformats.org/spreadsheetml/2006/main">
  <c r="C27" i="1" l="1"/>
  <c r="BA27" i="1"/>
  <c r="AZ27" i="1"/>
  <c r="AT27" i="1"/>
  <c r="AR27" i="1"/>
  <c r="AQ27" i="1"/>
  <c r="AM27" i="1"/>
  <c r="AL27" i="1"/>
  <c r="AI27" i="1"/>
  <c r="AH27" i="1"/>
  <c r="AG27" i="1"/>
  <c r="AF27" i="1"/>
  <c r="AE27" i="1"/>
  <c r="BB27" i="1" s="1"/>
  <c r="AD27" i="1"/>
  <c r="AB27" i="1"/>
  <c r="C123" i="1"/>
  <c r="AB123" i="1"/>
  <c r="AY123" i="1" s="1"/>
  <c r="AD123" i="1"/>
  <c r="AF123" i="1"/>
  <c r="AG123" i="1"/>
  <c r="AL123" i="1"/>
  <c r="AM123" i="1"/>
  <c r="AQ123" i="1"/>
  <c r="AR123" i="1"/>
  <c r="AT123" i="1"/>
  <c r="AZ123" i="1"/>
  <c r="BA123" i="1"/>
  <c r="AB122" i="1"/>
  <c r="AC122" i="1" s="1"/>
  <c r="AD122" i="1"/>
  <c r="AF122" i="1"/>
  <c r="AG122" i="1"/>
  <c r="AL122" i="1"/>
  <c r="AM122" i="1"/>
  <c r="AQ122" i="1"/>
  <c r="AR122" i="1"/>
  <c r="AY122" i="1"/>
  <c r="AZ122" i="1"/>
  <c r="BA122" i="1"/>
  <c r="C122" i="1"/>
  <c r="AX27" i="1" l="1"/>
  <c r="AY27" i="1"/>
  <c r="AV27" i="1"/>
  <c r="AS27" i="1"/>
  <c r="AW27" i="1"/>
  <c r="AC27" i="1"/>
  <c r="AK27" i="1" s="1"/>
  <c r="AN27" i="1" s="1"/>
  <c r="AC123" i="1"/>
  <c r="AK122" i="1"/>
  <c r="AN122" i="1" s="1"/>
  <c r="AT122" i="1"/>
  <c r="C93" i="1"/>
  <c r="AB93" i="1"/>
  <c r="AC93" i="1"/>
  <c r="AK93" i="1" s="1"/>
  <c r="AD93" i="1"/>
  <c r="AF93" i="1"/>
  <c r="AG93" i="1"/>
  <c r="AL93" i="1"/>
  <c r="AM93" i="1"/>
  <c r="AP93" i="1"/>
  <c r="AR93" i="1"/>
  <c r="AT93" i="1"/>
  <c r="AZ93" i="1"/>
  <c r="BA93" i="1"/>
  <c r="AO27" i="1" l="1"/>
  <c r="AU27" i="1"/>
  <c r="AP27" i="1"/>
  <c r="AK123" i="1"/>
  <c r="AN123" i="1" s="1"/>
  <c r="AY93" i="1"/>
  <c r="AN93" i="1"/>
  <c r="AU93" i="1" s="1"/>
  <c r="C111" i="1"/>
  <c r="AB111" i="1"/>
  <c r="AY111" i="1" s="1"/>
  <c r="AD111" i="1"/>
  <c r="AF111" i="1"/>
  <c r="AG111" i="1"/>
  <c r="AL111" i="1"/>
  <c r="AM111" i="1"/>
  <c r="AQ111" i="1"/>
  <c r="AR111" i="1"/>
  <c r="AZ111" i="1"/>
  <c r="BA111" i="1"/>
  <c r="C110" i="1"/>
  <c r="AB110" i="1"/>
  <c r="AC110" i="1" s="1"/>
  <c r="AD110" i="1"/>
  <c r="AF110" i="1"/>
  <c r="AG110" i="1"/>
  <c r="AL110" i="1"/>
  <c r="AM110" i="1"/>
  <c r="AQ110" i="1"/>
  <c r="AR110" i="1"/>
  <c r="AZ110" i="1"/>
  <c r="BA110" i="1"/>
  <c r="AC111" i="1" l="1"/>
  <c r="AK111" i="1" s="1"/>
  <c r="AN111" i="1" s="1"/>
  <c r="AK110" i="1"/>
  <c r="AN110" i="1" s="1"/>
  <c r="AT110" i="1"/>
  <c r="AY110" i="1"/>
  <c r="AQ5" i="1"/>
  <c r="AQ6" i="1"/>
  <c r="AQ9" i="1"/>
  <c r="AQ12" i="1"/>
  <c r="AQ13" i="1"/>
  <c r="AQ14" i="1"/>
  <c r="AQ15" i="1"/>
  <c r="AQ16" i="1"/>
  <c r="AQ17" i="1"/>
  <c r="AQ18" i="1"/>
  <c r="AQ19" i="1"/>
  <c r="AQ21" i="1"/>
  <c r="AQ23" i="1"/>
  <c r="AQ26" i="1"/>
  <c r="AQ28" i="1"/>
  <c r="AQ33" i="1"/>
  <c r="AQ34" i="1"/>
  <c r="AQ35" i="1"/>
  <c r="AP40" i="1"/>
  <c r="AQ40" i="1"/>
  <c r="AP41" i="1"/>
  <c r="AP42" i="1"/>
  <c r="AP43" i="1"/>
  <c r="AQ43" i="1"/>
  <c r="AP44" i="1"/>
  <c r="AQ44" i="1"/>
  <c r="AP45" i="1"/>
  <c r="AQ45" i="1"/>
  <c r="AP46" i="1"/>
  <c r="AQ46" i="1"/>
  <c r="AP47" i="1"/>
  <c r="AQ47" i="1"/>
  <c r="AP48" i="1"/>
  <c r="AQ48" i="1"/>
  <c r="AP49" i="1"/>
  <c r="AQ49" i="1"/>
  <c r="AP50" i="1"/>
  <c r="AQ50" i="1"/>
  <c r="AP51" i="1"/>
  <c r="AQ51" i="1"/>
  <c r="AP52" i="1"/>
  <c r="AQ52" i="1"/>
  <c r="AP53" i="1"/>
  <c r="AQ53" i="1"/>
  <c r="AP54" i="1"/>
  <c r="AQ54" i="1"/>
  <c r="AP55" i="1"/>
  <c r="AP56" i="1"/>
  <c r="AQ56" i="1"/>
  <c r="AP57" i="1"/>
  <c r="AQ57" i="1"/>
  <c r="AP58" i="1"/>
  <c r="AQ58" i="1"/>
  <c r="AQ59" i="1"/>
  <c r="AQ60" i="1"/>
  <c r="AP66" i="1"/>
  <c r="AQ66" i="1"/>
  <c r="AP67" i="1"/>
  <c r="AQ67" i="1"/>
  <c r="AP68" i="1"/>
  <c r="AQ68" i="1"/>
  <c r="AP69" i="1"/>
  <c r="AQ69" i="1"/>
  <c r="AP70" i="1"/>
  <c r="AQ70" i="1"/>
  <c r="AP71" i="1"/>
  <c r="AQ71" i="1"/>
  <c r="AP72" i="1"/>
  <c r="AQ72" i="1"/>
  <c r="AP73" i="1"/>
  <c r="AQ73" i="1"/>
  <c r="AP74" i="1"/>
  <c r="AQ74" i="1"/>
  <c r="AP75" i="1"/>
  <c r="AQ75" i="1"/>
  <c r="AP76" i="1"/>
  <c r="AQ76" i="1"/>
  <c r="AP77" i="1"/>
  <c r="AQ77" i="1"/>
  <c r="AP78" i="1"/>
  <c r="AQ78" i="1"/>
  <c r="AP79" i="1"/>
  <c r="AQ79" i="1"/>
  <c r="AP80" i="1"/>
  <c r="AQ80" i="1"/>
  <c r="AP81" i="1"/>
  <c r="AQ81" i="1"/>
  <c r="AP82" i="1"/>
  <c r="AQ82" i="1"/>
  <c r="AP83" i="1"/>
  <c r="AQ83" i="1"/>
  <c r="AP84" i="1"/>
  <c r="AQ84" i="1"/>
  <c r="AP85" i="1"/>
  <c r="AQ85" i="1"/>
  <c r="AP86" i="1"/>
  <c r="AQ86" i="1"/>
  <c r="AP87" i="1"/>
  <c r="AQ87" i="1"/>
  <c r="AP88" i="1"/>
  <c r="AQ88" i="1"/>
  <c r="AP89" i="1"/>
  <c r="AQ89" i="1"/>
  <c r="AP90" i="1"/>
  <c r="AQ90" i="1"/>
  <c r="AP91" i="1"/>
  <c r="AQ91" i="1"/>
  <c r="AP92" i="1"/>
  <c r="AP94" i="1"/>
  <c r="AP95" i="1"/>
  <c r="AP96" i="1"/>
  <c r="AP97" i="1"/>
  <c r="AQ97" i="1"/>
  <c r="AP98" i="1"/>
  <c r="AQ98" i="1"/>
  <c r="AP99" i="1"/>
  <c r="AQ99" i="1"/>
  <c r="AP100" i="1"/>
  <c r="AQ100" i="1"/>
  <c r="AP101" i="1"/>
  <c r="AQ101" i="1"/>
  <c r="AP102" i="1"/>
  <c r="AQ102" i="1"/>
  <c r="AP103" i="1"/>
  <c r="AQ103" i="1"/>
  <c r="AP104" i="1"/>
  <c r="AQ104" i="1"/>
  <c r="AP105" i="1"/>
  <c r="AQ105" i="1"/>
  <c r="AP106" i="1"/>
  <c r="AQ106" i="1"/>
  <c r="AP107" i="1"/>
  <c r="AQ107" i="1"/>
  <c r="AP108" i="1"/>
  <c r="AQ108" i="1"/>
  <c r="AQ109" i="1"/>
  <c r="AP112" i="1"/>
  <c r="AQ114" i="1"/>
  <c r="AQ115" i="1"/>
  <c r="AP116" i="1"/>
  <c r="AQ116" i="1"/>
  <c r="AQ117" i="1"/>
  <c r="AQ118" i="1"/>
  <c r="AQ121" i="1"/>
  <c r="AP126" i="1"/>
  <c r="AQ126" i="1"/>
  <c r="AP128" i="1"/>
  <c r="AQ128" i="1"/>
  <c r="AP129" i="1"/>
  <c r="AQ129" i="1"/>
  <c r="AP130" i="1"/>
  <c r="AQ130" i="1"/>
  <c r="AP131" i="1"/>
  <c r="AQ131" i="1"/>
  <c r="AP132" i="1"/>
  <c r="AQ132" i="1"/>
  <c r="AP133" i="1"/>
  <c r="AQ133" i="1"/>
  <c r="AP134" i="1"/>
  <c r="AQ134" i="1"/>
  <c r="AP5" i="1"/>
  <c r="AT111" i="1" l="1"/>
  <c r="AE1" i="1"/>
  <c r="AH11" i="1" s="1"/>
  <c r="AH12" i="1"/>
  <c r="AH20" i="1"/>
  <c r="AH29" i="1"/>
  <c r="AH37" i="1"/>
  <c r="AH45" i="1"/>
  <c r="AH53" i="1"/>
  <c r="AH61" i="1"/>
  <c r="AH69" i="1"/>
  <c r="AH77" i="1"/>
  <c r="AH85" i="1"/>
  <c r="AH94" i="1"/>
  <c r="AH102" i="1"/>
  <c r="AH112" i="1"/>
  <c r="AH120" i="1"/>
  <c r="AH129" i="1"/>
  <c r="AI5" i="1"/>
  <c r="AI6" i="1"/>
  <c r="AI14" i="1"/>
  <c r="AI22" i="1"/>
  <c r="AI31" i="1"/>
  <c r="AI39" i="1"/>
  <c r="AI47" i="1"/>
  <c r="AI55" i="1"/>
  <c r="AI63" i="1"/>
  <c r="AI71" i="1"/>
  <c r="AI79" i="1"/>
  <c r="AI87" i="1"/>
  <c r="AI96" i="1"/>
  <c r="AI104" i="1"/>
  <c r="AI114" i="1"/>
  <c r="AI126" i="1"/>
  <c r="AI134" i="1"/>
  <c r="AI4" i="1"/>
  <c r="AE14" i="1"/>
  <c r="AE25" i="1"/>
  <c r="AE36" i="1"/>
  <c r="AE47" i="1"/>
  <c r="AE58" i="1"/>
  <c r="AE68" i="1"/>
  <c r="AE79" i="1"/>
  <c r="AE90" i="1"/>
  <c r="AE99" i="1"/>
  <c r="AE107" i="1"/>
  <c r="AE117" i="1"/>
  <c r="AE121" i="1"/>
  <c r="AE127" i="1"/>
  <c r="AE131" i="1"/>
  <c r="AE5" i="1"/>
  <c r="AE134" i="1" l="1"/>
  <c r="BB134" i="1" s="1"/>
  <c r="AE120" i="1"/>
  <c r="AE104" i="1"/>
  <c r="AE86" i="1"/>
  <c r="AE64" i="1"/>
  <c r="AE43" i="1"/>
  <c r="AE21" i="1"/>
  <c r="AE10" i="1"/>
  <c r="AI113" i="1"/>
  <c r="AI95" i="1"/>
  <c r="AI78" i="1"/>
  <c r="AE4" i="1"/>
  <c r="AE132" i="1"/>
  <c r="AE128" i="1"/>
  <c r="BB128" i="1" s="1"/>
  <c r="AE124" i="1"/>
  <c r="BB124" i="1" s="1"/>
  <c r="AE118" i="1"/>
  <c r="AE108" i="1"/>
  <c r="AE100" i="1"/>
  <c r="AE91" i="1"/>
  <c r="AE80" i="1"/>
  <c r="AE70" i="1"/>
  <c r="AE59" i="1"/>
  <c r="AE48" i="1"/>
  <c r="AE38" i="1"/>
  <c r="AE26" i="1"/>
  <c r="AE15" i="1"/>
  <c r="AI127" i="1"/>
  <c r="AI117" i="1"/>
  <c r="AI107" i="1"/>
  <c r="AI99" i="1"/>
  <c r="AI90" i="1"/>
  <c r="AI82" i="1"/>
  <c r="AI74" i="1"/>
  <c r="AI66" i="1"/>
  <c r="AI58" i="1"/>
  <c r="AI50" i="1"/>
  <c r="AI42" i="1"/>
  <c r="AI34" i="1"/>
  <c r="AI25" i="1"/>
  <c r="AI17" i="1"/>
  <c r="AI9" i="1"/>
  <c r="AH132" i="1"/>
  <c r="AH124" i="1"/>
  <c r="AH115" i="1"/>
  <c r="AH105" i="1"/>
  <c r="AH97" i="1"/>
  <c r="AH88" i="1"/>
  <c r="AH80" i="1"/>
  <c r="AH72" i="1"/>
  <c r="AH64" i="1"/>
  <c r="AH56" i="1"/>
  <c r="AH48" i="1"/>
  <c r="AH40" i="1"/>
  <c r="AH32" i="1"/>
  <c r="AH23" i="1"/>
  <c r="AH15" i="1"/>
  <c r="AH7" i="1"/>
  <c r="AE130" i="1"/>
  <c r="BB130" i="1" s="1"/>
  <c r="AE54" i="1"/>
  <c r="AI121" i="1"/>
  <c r="AI86" i="1"/>
  <c r="AI62" i="1"/>
  <c r="AI54" i="1"/>
  <c r="AI46" i="1"/>
  <c r="AI38" i="1"/>
  <c r="AI30" i="1"/>
  <c r="AI21" i="1"/>
  <c r="AI13" i="1"/>
  <c r="AH128" i="1"/>
  <c r="AH119" i="1"/>
  <c r="AH109" i="1"/>
  <c r="AH101" i="1"/>
  <c r="AH92" i="1"/>
  <c r="AH84" i="1"/>
  <c r="AH76" i="1"/>
  <c r="AH68" i="1"/>
  <c r="AH60" i="1"/>
  <c r="AH52" i="1"/>
  <c r="AH44" i="1"/>
  <c r="AH36" i="1"/>
  <c r="AH28" i="1"/>
  <c r="AH19" i="1"/>
  <c r="AH122" i="1"/>
  <c r="AE123" i="1"/>
  <c r="AI123" i="1"/>
  <c r="AE122" i="1"/>
  <c r="AI122" i="1"/>
  <c r="AH123" i="1"/>
  <c r="AH93" i="1"/>
  <c r="AE93" i="1"/>
  <c r="AI93" i="1"/>
  <c r="AH110" i="1"/>
  <c r="AE110" i="1"/>
  <c r="AI110" i="1"/>
  <c r="AH111" i="1"/>
  <c r="AE111" i="1"/>
  <c r="AI111" i="1"/>
  <c r="AE126" i="1"/>
  <c r="AE114" i="1"/>
  <c r="AE96" i="1"/>
  <c r="AE75" i="1"/>
  <c r="AE32" i="1"/>
  <c r="AI131" i="1"/>
  <c r="AI103" i="1"/>
  <c r="AI70" i="1"/>
  <c r="AE6" i="1"/>
  <c r="AE133" i="1"/>
  <c r="AE129" i="1"/>
  <c r="AE125" i="1"/>
  <c r="AE119" i="1"/>
  <c r="BB119" i="1" s="1"/>
  <c r="AE113" i="1"/>
  <c r="AE103" i="1"/>
  <c r="AE95" i="1"/>
  <c r="AE84" i="1"/>
  <c r="AE74" i="1"/>
  <c r="AE63" i="1"/>
  <c r="AE52" i="1"/>
  <c r="AE42" i="1"/>
  <c r="AE31" i="1"/>
  <c r="AE19" i="1"/>
  <c r="AE9" i="1"/>
  <c r="AI130" i="1"/>
  <c r="AI118" i="1"/>
  <c r="AI108" i="1"/>
  <c r="AI100" i="1"/>
  <c r="AI91" i="1"/>
  <c r="AI83" i="1"/>
  <c r="AI75" i="1"/>
  <c r="AI67" i="1"/>
  <c r="AI59" i="1"/>
  <c r="AI51" i="1"/>
  <c r="AI43" i="1"/>
  <c r="AI35" i="1"/>
  <c r="AI26" i="1"/>
  <c r="AI18" i="1"/>
  <c r="AI10" i="1"/>
  <c r="AH133" i="1"/>
  <c r="AH125" i="1"/>
  <c r="AH116" i="1"/>
  <c r="AH106" i="1"/>
  <c r="AH98" i="1"/>
  <c r="AH89" i="1"/>
  <c r="AH81" i="1"/>
  <c r="AH73" i="1"/>
  <c r="AH65" i="1"/>
  <c r="AH57" i="1"/>
  <c r="AH49" i="1"/>
  <c r="AH41" i="1"/>
  <c r="AH33" i="1"/>
  <c r="AH24" i="1"/>
  <c r="AH16" i="1"/>
  <c r="AH8" i="1"/>
  <c r="AH5" i="1"/>
  <c r="AH9" i="1"/>
  <c r="AH13" i="1"/>
  <c r="AH17" i="1"/>
  <c r="AH21" i="1"/>
  <c r="AH25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5" i="1"/>
  <c r="AH99" i="1"/>
  <c r="AH103" i="1"/>
  <c r="AH107" i="1"/>
  <c r="AH113" i="1"/>
  <c r="AH117" i="1"/>
  <c r="AH121" i="1"/>
  <c r="AH126" i="1"/>
  <c r="AH130" i="1"/>
  <c r="AH134" i="1"/>
  <c r="AI7" i="1"/>
  <c r="AI11" i="1"/>
  <c r="AI15" i="1"/>
  <c r="AI19" i="1"/>
  <c r="AI23" i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7" i="1"/>
  <c r="AI101" i="1"/>
  <c r="AI105" i="1"/>
  <c r="AI109" i="1"/>
  <c r="AI115" i="1"/>
  <c r="AI119" i="1"/>
  <c r="AI124" i="1"/>
  <c r="AI128" i="1"/>
  <c r="AI132" i="1"/>
  <c r="AE8" i="1"/>
  <c r="AE11" i="1"/>
  <c r="AE17" i="1"/>
  <c r="AE22" i="1"/>
  <c r="AE28" i="1"/>
  <c r="AE34" i="1"/>
  <c r="AE39" i="1"/>
  <c r="AE44" i="1"/>
  <c r="AE50" i="1"/>
  <c r="AE55" i="1"/>
  <c r="AE60" i="1"/>
  <c r="AE66" i="1"/>
  <c r="AE71" i="1"/>
  <c r="AE76" i="1"/>
  <c r="AE82" i="1"/>
  <c r="AE87" i="1"/>
  <c r="AE92" i="1"/>
  <c r="AE97" i="1"/>
  <c r="AE101" i="1"/>
  <c r="AE105" i="1"/>
  <c r="AE109" i="1"/>
  <c r="AE115" i="1"/>
  <c r="AH6" i="1"/>
  <c r="AH10" i="1"/>
  <c r="AH14" i="1"/>
  <c r="AH18" i="1"/>
  <c r="AH22" i="1"/>
  <c r="AH26" i="1"/>
  <c r="AH31" i="1"/>
  <c r="AH35" i="1"/>
  <c r="AH39" i="1"/>
  <c r="AH43" i="1"/>
  <c r="AH47" i="1"/>
  <c r="AH51" i="1"/>
  <c r="AH55" i="1"/>
  <c r="AH59" i="1"/>
  <c r="AH63" i="1"/>
  <c r="AH67" i="1"/>
  <c r="AH71" i="1"/>
  <c r="AH75" i="1"/>
  <c r="AH79" i="1"/>
  <c r="AH83" i="1"/>
  <c r="AH87" i="1"/>
  <c r="AH91" i="1"/>
  <c r="AH96" i="1"/>
  <c r="AH100" i="1"/>
  <c r="AH104" i="1"/>
  <c r="AH108" i="1"/>
  <c r="AH114" i="1"/>
  <c r="AH118" i="1"/>
  <c r="AH127" i="1"/>
  <c r="AH131" i="1"/>
  <c r="AH4" i="1"/>
  <c r="AI8" i="1"/>
  <c r="AI12" i="1"/>
  <c r="AI16" i="1"/>
  <c r="AI20" i="1"/>
  <c r="AI24" i="1"/>
  <c r="AI29" i="1"/>
  <c r="AI33" i="1"/>
  <c r="AI37" i="1"/>
  <c r="AI41" i="1"/>
  <c r="AI45" i="1"/>
  <c r="AI49" i="1"/>
  <c r="AI53" i="1"/>
  <c r="AI57" i="1"/>
  <c r="AI61" i="1"/>
  <c r="AI65" i="1"/>
  <c r="AI69" i="1"/>
  <c r="AI73" i="1"/>
  <c r="AI77" i="1"/>
  <c r="AI81" i="1"/>
  <c r="AI85" i="1"/>
  <c r="AI89" i="1"/>
  <c r="AI94" i="1"/>
  <c r="AI98" i="1"/>
  <c r="AI102" i="1"/>
  <c r="AI106" i="1"/>
  <c r="AI112" i="1"/>
  <c r="AI116" i="1"/>
  <c r="AI120" i="1"/>
  <c r="AI125" i="1"/>
  <c r="AI129" i="1"/>
  <c r="AI133" i="1"/>
  <c r="AE7" i="1"/>
  <c r="AE13" i="1"/>
  <c r="AE18" i="1"/>
  <c r="AE23" i="1"/>
  <c r="AE30" i="1"/>
  <c r="AE35" i="1"/>
  <c r="AE40" i="1"/>
  <c r="AE46" i="1"/>
  <c r="AE51" i="1"/>
  <c r="AE56" i="1"/>
  <c r="AE62" i="1"/>
  <c r="AE67" i="1"/>
  <c r="AE72" i="1"/>
  <c r="AE78" i="1"/>
  <c r="AE83" i="1"/>
  <c r="AE88" i="1"/>
  <c r="AE94" i="1"/>
  <c r="AE98" i="1"/>
  <c r="AE102" i="1"/>
  <c r="AE106" i="1"/>
  <c r="AE112" i="1"/>
  <c r="AE116" i="1"/>
  <c r="AE89" i="1"/>
  <c r="AE85" i="1"/>
  <c r="AE81" i="1"/>
  <c r="AE77" i="1"/>
  <c r="AE73" i="1"/>
  <c r="AE69" i="1"/>
  <c r="AE65" i="1"/>
  <c r="AE61" i="1"/>
  <c r="AE57" i="1"/>
  <c r="AE53" i="1"/>
  <c r="AE49" i="1"/>
  <c r="AE45" i="1"/>
  <c r="AE41" i="1"/>
  <c r="AE37" i="1"/>
  <c r="AE33" i="1"/>
  <c r="AE29" i="1"/>
  <c r="AE24" i="1"/>
  <c r="AE20" i="1"/>
  <c r="AE16" i="1"/>
  <c r="AE12" i="1"/>
  <c r="AO4" i="1"/>
  <c r="I5" i="1"/>
  <c r="AO5" i="1" s="1"/>
  <c r="AU2" i="1"/>
  <c r="AT127" i="1"/>
  <c r="AT128" i="1"/>
  <c r="AT129" i="1"/>
  <c r="AT130" i="1"/>
  <c r="AT131" i="1"/>
  <c r="AT132" i="1"/>
  <c r="AT133" i="1"/>
  <c r="C118" i="1"/>
  <c r="C119" i="1"/>
  <c r="C120" i="1"/>
  <c r="C121" i="1"/>
  <c r="C124" i="1"/>
  <c r="C125" i="1"/>
  <c r="C126" i="1"/>
  <c r="C127" i="1"/>
  <c r="C128" i="1"/>
  <c r="C129" i="1"/>
  <c r="C130" i="1"/>
  <c r="C131" i="1"/>
  <c r="C132" i="1"/>
  <c r="C133" i="1"/>
  <c r="C134" i="1"/>
  <c r="AR135" i="1"/>
  <c r="AS135" i="1"/>
  <c r="AT135" i="1"/>
  <c r="AB118" i="1"/>
  <c r="AC118" i="1" s="1"/>
  <c r="AD118" i="1"/>
  <c r="AF118" i="1"/>
  <c r="AG118" i="1"/>
  <c r="AL118" i="1"/>
  <c r="AM118" i="1"/>
  <c r="AR118" i="1"/>
  <c r="AZ118" i="1"/>
  <c r="BA118" i="1"/>
  <c r="AB119" i="1"/>
  <c r="AD119" i="1"/>
  <c r="AF119" i="1"/>
  <c r="AG119" i="1"/>
  <c r="AL119" i="1"/>
  <c r="AM119" i="1"/>
  <c r="AR119" i="1"/>
  <c r="AZ119" i="1"/>
  <c r="BA119" i="1"/>
  <c r="AB120" i="1"/>
  <c r="AC120" i="1" s="1"/>
  <c r="AK120" i="1" s="1"/>
  <c r="AD120" i="1"/>
  <c r="AF120" i="1"/>
  <c r="AG120" i="1"/>
  <c r="AL120" i="1"/>
  <c r="AM120" i="1"/>
  <c r="AR120" i="1"/>
  <c r="AZ120" i="1"/>
  <c r="BA120" i="1"/>
  <c r="AB121" i="1"/>
  <c r="AY121" i="1" s="1"/>
  <c r="AD121" i="1"/>
  <c r="BB121" i="1"/>
  <c r="AF121" i="1"/>
  <c r="AG121" i="1"/>
  <c r="AL121" i="1"/>
  <c r="AM121" i="1"/>
  <c r="AR121" i="1"/>
  <c r="AZ121" i="1"/>
  <c r="BA121" i="1"/>
  <c r="AB124" i="1"/>
  <c r="AY124" i="1" s="1"/>
  <c r="AD124" i="1"/>
  <c r="AF124" i="1"/>
  <c r="AG124" i="1"/>
  <c r="AL124" i="1"/>
  <c r="AM124" i="1"/>
  <c r="AR124" i="1"/>
  <c r="AZ124" i="1"/>
  <c r="BA124" i="1"/>
  <c r="AB125" i="1"/>
  <c r="AC125" i="1" s="1"/>
  <c r="AK125" i="1" s="1"/>
  <c r="AD125" i="1"/>
  <c r="AF125" i="1"/>
  <c r="AG125" i="1"/>
  <c r="AL125" i="1"/>
  <c r="AM125" i="1"/>
  <c r="AR125" i="1"/>
  <c r="AZ125" i="1"/>
  <c r="BA125" i="1"/>
  <c r="AB126" i="1"/>
  <c r="AY126" i="1" s="1"/>
  <c r="AD126" i="1"/>
  <c r="AF126" i="1"/>
  <c r="AG126" i="1"/>
  <c r="AL126" i="1"/>
  <c r="AM126" i="1"/>
  <c r="AR126" i="1"/>
  <c r="AZ126" i="1"/>
  <c r="BA126" i="1"/>
  <c r="BB126" i="1"/>
  <c r="AB127" i="1"/>
  <c r="AC127" i="1"/>
  <c r="AK127" i="1" s="1"/>
  <c r="AD127" i="1"/>
  <c r="BB127" i="1"/>
  <c r="AF127" i="1"/>
  <c r="AG127" i="1"/>
  <c r="AL127" i="1"/>
  <c r="AM127" i="1"/>
  <c r="AR127" i="1"/>
  <c r="AZ127" i="1"/>
  <c r="BA127" i="1"/>
  <c r="AB128" i="1"/>
  <c r="AX128" i="1" s="1"/>
  <c r="AD128" i="1"/>
  <c r="AF128" i="1"/>
  <c r="AG128" i="1"/>
  <c r="AL128" i="1"/>
  <c r="AM128" i="1"/>
  <c r="AR128" i="1"/>
  <c r="AZ128" i="1"/>
  <c r="BA128" i="1"/>
  <c r="AB129" i="1"/>
  <c r="AY129" i="1" s="1"/>
  <c r="AD129" i="1"/>
  <c r="AF129" i="1"/>
  <c r="AG129" i="1"/>
  <c r="AL129" i="1"/>
  <c r="AM129" i="1"/>
  <c r="AR129" i="1"/>
  <c r="AZ129" i="1"/>
  <c r="BA129" i="1"/>
  <c r="AB130" i="1"/>
  <c r="AV130" i="1" s="1"/>
  <c r="AD130" i="1"/>
  <c r="AF130" i="1"/>
  <c r="AG130" i="1"/>
  <c r="AN130" i="1" s="1"/>
  <c r="AU130" i="1" s="1"/>
  <c r="AL130" i="1"/>
  <c r="AM130" i="1"/>
  <c r="AR130" i="1"/>
  <c r="AZ130" i="1"/>
  <c r="BA130" i="1"/>
  <c r="AB131" i="1"/>
  <c r="AS131" i="1" s="1"/>
  <c r="AD131" i="1"/>
  <c r="BB131" i="1"/>
  <c r="AF131" i="1"/>
  <c r="AG131" i="1"/>
  <c r="AN131" i="1" s="1"/>
  <c r="AU131" i="1" s="1"/>
  <c r="AL131" i="1"/>
  <c r="AM131" i="1"/>
  <c r="AR131" i="1"/>
  <c r="AZ131" i="1"/>
  <c r="BA131" i="1"/>
  <c r="AB132" i="1"/>
  <c r="AX132" i="1" s="1"/>
  <c r="AD132" i="1"/>
  <c r="BB132" i="1"/>
  <c r="AF132" i="1"/>
  <c r="AG132" i="1"/>
  <c r="AN132" i="1" s="1"/>
  <c r="AL132" i="1"/>
  <c r="AM132" i="1"/>
  <c r="AR132" i="1"/>
  <c r="AZ132" i="1"/>
  <c r="BA132" i="1"/>
  <c r="AB133" i="1"/>
  <c r="AY133" i="1" s="1"/>
  <c r="AD133" i="1"/>
  <c r="AF133" i="1"/>
  <c r="AG133" i="1"/>
  <c r="AN133" i="1" s="1"/>
  <c r="AU133" i="1" s="1"/>
  <c r="AL133" i="1"/>
  <c r="AM133" i="1"/>
  <c r="AR133" i="1"/>
  <c r="AZ133" i="1"/>
  <c r="BA133" i="1"/>
  <c r="AB134" i="1"/>
  <c r="AY134" i="1" s="1"/>
  <c r="AD134" i="1"/>
  <c r="AF134" i="1"/>
  <c r="AG134" i="1"/>
  <c r="AN134" i="1" s="1"/>
  <c r="AL134" i="1"/>
  <c r="AM134" i="1"/>
  <c r="AR134" i="1"/>
  <c r="AT134" i="1"/>
  <c r="AZ134" i="1"/>
  <c r="BA134" i="1"/>
  <c r="BB111" i="1" l="1"/>
  <c r="AS111" i="1"/>
  <c r="AP111" i="1"/>
  <c r="AO111" i="1"/>
  <c r="AU111" i="1"/>
  <c r="AS123" i="1"/>
  <c r="BB123" i="1"/>
  <c r="AP123" i="1"/>
  <c r="AO123" i="1"/>
  <c r="AU123" i="1"/>
  <c r="BB93" i="1"/>
  <c r="AQ93" i="1"/>
  <c r="AS93" i="1"/>
  <c r="AO93" i="1"/>
  <c r="AS122" i="1"/>
  <c r="BB122" i="1"/>
  <c r="AP122" i="1"/>
  <c r="AO122" i="1"/>
  <c r="AU122" i="1"/>
  <c r="BB110" i="1"/>
  <c r="AS110" i="1"/>
  <c r="AP110" i="1"/>
  <c r="AU110" i="1"/>
  <c r="AO110" i="1"/>
  <c r="AQ127" i="1"/>
  <c r="AP120" i="1"/>
  <c r="AP125" i="1"/>
  <c r="AY120" i="1"/>
  <c r="AP118" i="1"/>
  <c r="AQ120" i="1"/>
  <c r="AQ125" i="1"/>
  <c r="AP127" i="1"/>
  <c r="AY125" i="1"/>
  <c r="AX134" i="1"/>
  <c r="AS133" i="1"/>
  <c r="AS132" i="1"/>
  <c r="AY130" i="1"/>
  <c r="AW129" i="1"/>
  <c r="AV128" i="1"/>
  <c r="AW134" i="1"/>
  <c r="AX133" i="1"/>
  <c r="AW132" i="1"/>
  <c r="AY131" i="1"/>
  <c r="AX130" i="1"/>
  <c r="AY118" i="1"/>
  <c r="AW133" i="1"/>
  <c r="AV132" i="1"/>
  <c r="AV131" i="1"/>
  <c r="AS129" i="1"/>
  <c r="AS128" i="1"/>
  <c r="AS134" i="1"/>
  <c r="AC134" i="1"/>
  <c r="AK134" i="1" s="1"/>
  <c r="AC133" i="1"/>
  <c r="AK133" i="1" s="1"/>
  <c r="AO132" i="1"/>
  <c r="AC132" i="1"/>
  <c r="AK132" i="1" s="1"/>
  <c r="AC131" i="1"/>
  <c r="AK131" i="1" s="1"/>
  <c r="AC130" i="1"/>
  <c r="AK130" i="1" s="1"/>
  <c r="AC129" i="1"/>
  <c r="AK129" i="1" s="1"/>
  <c r="AN129" i="1" s="1"/>
  <c r="AC128" i="1"/>
  <c r="AK128" i="1" s="1"/>
  <c r="AN128" i="1" s="1"/>
  <c r="AS124" i="1"/>
  <c r="AS120" i="1"/>
  <c r="AS118" i="1"/>
  <c r="AX129" i="1"/>
  <c r="AW128" i="1"/>
  <c r="AC126" i="1"/>
  <c r="AK126" i="1" s="1"/>
  <c r="AN126" i="1" s="1"/>
  <c r="AC124" i="1"/>
  <c r="AP124" i="1" s="1"/>
  <c r="AT125" i="1"/>
  <c r="AT120" i="1"/>
  <c r="AX126" i="1"/>
  <c r="AW126" i="1"/>
  <c r="AN120" i="1"/>
  <c r="AO120" i="1" s="1"/>
  <c r="AY127" i="1"/>
  <c r="AS121" i="1"/>
  <c r="AC121" i="1"/>
  <c r="AP121" i="1" s="1"/>
  <c r="AS126" i="1"/>
  <c r="AS125" i="1"/>
  <c r="AY119" i="1"/>
  <c r="AC119" i="1"/>
  <c r="AS119" i="1"/>
  <c r="AO134" i="1"/>
  <c r="BB133" i="1"/>
  <c r="AO133" i="1"/>
  <c r="AO130" i="1"/>
  <c r="BB129" i="1"/>
  <c r="AN125" i="1"/>
  <c r="AO125" i="1" s="1"/>
  <c r="AV133" i="1"/>
  <c r="AY132" i="1"/>
  <c r="AU132" i="1"/>
  <c r="AX131" i="1"/>
  <c r="AW130" i="1"/>
  <c r="AS130" i="1"/>
  <c r="AV129" i="1"/>
  <c r="AY128" i="1"/>
  <c r="AV126" i="1"/>
  <c r="AO131" i="1"/>
  <c r="AN127" i="1"/>
  <c r="AU127" i="1" s="1"/>
  <c r="AW131" i="1"/>
  <c r="AS127" i="1"/>
  <c r="AU134" i="1"/>
  <c r="AK118" i="1"/>
  <c r="AN118" i="1" s="1"/>
  <c r="AO118" i="1" s="1"/>
  <c r="AT118" i="1"/>
  <c r="BB125" i="1"/>
  <c r="BB120" i="1"/>
  <c r="BB118" i="1"/>
  <c r="AV134" i="1"/>
  <c r="AU129" i="1" l="1"/>
  <c r="AO129" i="1"/>
  <c r="AU128" i="1"/>
  <c r="AO128" i="1"/>
  <c r="AQ119" i="1"/>
  <c r="AP119" i="1"/>
  <c r="AK124" i="1"/>
  <c r="AN124" i="1" s="1"/>
  <c r="AO124" i="1" s="1"/>
  <c r="AQ124" i="1"/>
  <c r="AU120" i="1"/>
  <c r="AT126" i="1"/>
  <c r="AT124" i="1"/>
  <c r="AK121" i="1"/>
  <c r="AN121" i="1" s="1"/>
  <c r="AT121" i="1"/>
  <c r="AT119" i="1"/>
  <c r="AK119" i="1"/>
  <c r="AN119" i="1" s="1"/>
  <c r="AO119" i="1" s="1"/>
  <c r="AU125" i="1"/>
  <c r="AO127" i="1"/>
  <c r="AU126" i="1"/>
  <c r="AO126" i="1"/>
  <c r="AU118" i="1"/>
  <c r="AU124" i="1" l="1"/>
  <c r="AO121" i="1"/>
  <c r="AU121" i="1"/>
  <c r="AU119" i="1"/>
  <c r="AB64" i="1"/>
  <c r="AC64" i="1" s="1"/>
  <c r="AD64" i="1"/>
  <c r="BB64" i="1"/>
  <c r="AF64" i="1"/>
  <c r="AG64" i="1"/>
  <c r="AL64" i="1"/>
  <c r="AM64" i="1"/>
  <c r="AR64" i="1"/>
  <c r="AZ64" i="1"/>
  <c r="BA64" i="1"/>
  <c r="AB66" i="1"/>
  <c r="AC66" i="1" s="1"/>
  <c r="AD66" i="1"/>
  <c r="BB66" i="1"/>
  <c r="AF66" i="1"/>
  <c r="AG66" i="1"/>
  <c r="AL66" i="1"/>
  <c r="AM66" i="1"/>
  <c r="AR66" i="1"/>
  <c r="AZ66" i="1"/>
  <c r="BA66" i="1"/>
  <c r="AB6" i="1"/>
  <c r="AD6" i="1"/>
  <c r="AF6" i="1"/>
  <c r="AG6" i="1"/>
  <c r="AL6" i="1"/>
  <c r="AM6" i="1"/>
  <c r="AR6" i="1"/>
  <c r="AZ6" i="1"/>
  <c r="BA6" i="1"/>
  <c r="AB7" i="1"/>
  <c r="AC7" i="1" s="1"/>
  <c r="AD7" i="1"/>
  <c r="BB7" i="1"/>
  <c r="AF7" i="1"/>
  <c r="AG7" i="1"/>
  <c r="AL7" i="1"/>
  <c r="AM7" i="1"/>
  <c r="AR7" i="1"/>
  <c r="AZ7" i="1"/>
  <c r="BA7" i="1"/>
  <c r="AB8" i="1"/>
  <c r="AD8" i="1"/>
  <c r="AF8" i="1"/>
  <c r="AG8" i="1"/>
  <c r="AL8" i="1"/>
  <c r="AM8" i="1"/>
  <c r="AR8" i="1"/>
  <c r="AZ8" i="1"/>
  <c r="BA8" i="1"/>
  <c r="AB9" i="1"/>
  <c r="AD9" i="1"/>
  <c r="BB9" i="1"/>
  <c r="AF9" i="1"/>
  <c r="AG9" i="1"/>
  <c r="AL9" i="1"/>
  <c r="AM9" i="1"/>
  <c r="AR9" i="1"/>
  <c r="AZ9" i="1"/>
  <c r="BA9" i="1"/>
  <c r="AB10" i="1"/>
  <c r="AC10" i="1" s="1"/>
  <c r="AD10" i="1"/>
  <c r="AF10" i="1"/>
  <c r="AG10" i="1"/>
  <c r="AL10" i="1"/>
  <c r="AM10" i="1"/>
  <c r="AR10" i="1"/>
  <c r="AZ10" i="1"/>
  <c r="BA10" i="1"/>
  <c r="AB11" i="1"/>
  <c r="AD11" i="1"/>
  <c r="BB11" i="1"/>
  <c r="AF11" i="1"/>
  <c r="AG11" i="1"/>
  <c r="AL11" i="1"/>
  <c r="AM11" i="1"/>
  <c r="AR11" i="1"/>
  <c r="AZ11" i="1"/>
  <c r="BA11" i="1"/>
  <c r="AB12" i="1"/>
  <c r="AD12" i="1"/>
  <c r="BB12" i="1"/>
  <c r="AF12" i="1"/>
  <c r="AG12" i="1"/>
  <c r="AL12" i="1"/>
  <c r="AM12" i="1"/>
  <c r="AR12" i="1"/>
  <c r="AZ12" i="1"/>
  <c r="BA12" i="1"/>
  <c r="AB13" i="1"/>
  <c r="AD13" i="1"/>
  <c r="BB13" i="1"/>
  <c r="AF13" i="1"/>
  <c r="AG13" i="1"/>
  <c r="AL13" i="1"/>
  <c r="AM13" i="1"/>
  <c r="AR13" i="1"/>
  <c r="AZ13" i="1"/>
  <c r="BA13" i="1"/>
  <c r="AB14" i="1"/>
  <c r="AD14" i="1"/>
  <c r="BB14" i="1"/>
  <c r="AF14" i="1"/>
  <c r="AG14" i="1"/>
  <c r="AL14" i="1"/>
  <c r="AM14" i="1"/>
  <c r="AR14" i="1"/>
  <c r="AZ14" i="1"/>
  <c r="BA14" i="1"/>
  <c r="AB15" i="1"/>
  <c r="AC15" i="1" s="1"/>
  <c r="AD15" i="1"/>
  <c r="BB15" i="1"/>
  <c r="AF15" i="1"/>
  <c r="AG15" i="1"/>
  <c r="AL15" i="1"/>
  <c r="AM15" i="1"/>
  <c r="AR15" i="1"/>
  <c r="AZ15" i="1"/>
  <c r="BA15" i="1"/>
  <c r="AB16" i="1"/>
  <c r="AD16" i="1"/>
  <c r="AF16" i="1"/>
  <c r="AG16" i="1"/>
  <c r="AL16" i="1"/>
  <c r="AM16" i="1"/>
  <c r="AR16" i="1"/>
  <c r="AZ16" i="1"/>
  <c r="BA16" i="1"/>
  <c r="AB17" i="1"/>
  <c r="AD17" i="1"/>
  <c r="BB17" i="1"/>
  <c r="AF17" i="1"/>
  <c r="AG17" i="1"/>
  <c r="AL17" i="1"/>
  <c r="AM17" i="1"/>
  <c r="AR17" i="1"/>
  <c r="AZ17" i="1"/>
  <c r="BA17" i="1"/>
  <c r="AB18" i="1"/>
  <c r="AY18" i="1" s="1"/>
  <c r="AD18" i="1"/>
  <c r="AF18" i="1"/>
  <c r="AG18" i="1"/>
  <c r="AL18" i="1"/>
  <c r="AM18" i="1"/>
  <c r="AR18" i="1"/>
  <c r="AZ18" i="1"/>
  <c r="BA18" i="1"/>
  <c r="AB63" i="1"/>
  <c r="AD63" i="1"/>
  <c r="AF63" i="1"/>
  <c r="AG63" i="1"/>
  <c r="AL63" i="1"/>
  <c r="AM63" i="1"/>
  <c r="AR63" i="1"/>
  <c r="AZ63" i="1"/>
  <c r="BA63" i="1"/>
  <c r="AB65" i="1"/>
  <c r="AY65" i="1" s="1"/>
  <c r="AD65" i="1"/>
  <c r="AF65" i="1"/>
  <c r="AG65" i="1"/>
  <c r="AL65" i="1"/>
  <c r="AM65" i="1"/>
  <c r="AR65" i="1"/>
  <c r="AZ65" i="1"/>
  <c r="BA65" i="1"/>
  <c r="AB67" i="1"/>
  <c r="AC67" i="1" s="1"/>
  <c r="AK67" i="1" s="1"/>
  <c r="AD67" i="1"/>
  <c r="AF67" i="1"/>
  <c r="AG67" i="1"/>
  <c r="AL67" i="1"/>
  <c r="AM67" i="1"/>
  <c r="AR67" i="1"/>
  <c r="AZ67" i="1"/>
  <c r="BA67" i="1"/>
  <c r="AB19" i="1"/>
  <c r="AY19" i="1" s="1"/>
  <c r="AD19" i="1"/>
  <c r="AF19" i="1"/>
  <c r="AG19" i="1"/>
  <c r="AL19" i="1"/>
  <c r="AM19" i="1"/>
  <c r="AR19" i="1"/>
  <c r="AZ19" i="1"/>
  <c r="BA19" i="1"/>
  <c r="AB20" i="1"/>
  <c r="AC20" i="1" s="1"/>
  <c r="AP20" i="1" s="1"/>
  <c r="AD20" i="1"/>
  <c r="BB20" i="1"/>
  <c r="AF20" i="1"/>
  <c r="AG20" i="1"/>
  <c r="AL20" i="1"/>
  <c r="AM20" i="1"/>
  <c r="AR20" i="1"/>
  <c r="AZ20" i="1"/>
  <c r="BA20" i="1"/>
  <c r="AB21" i="1"/>
  <c r="AC21" i="1" s="1"/>
  <c r="AD21" i="1"/>
  <c r="AF21" i="1"/>
  <c r="AG21" i="1"/>
  <c r="AL21" i="1"/>
  <c r="AM21" i="1"/>
  <c r="AR21" i="1"/>
  <c r="AZ21" i="1"/>
  <c r="BA21" i="1"/>
  <c r="AB22" i="1"/>
  <c r="AY22" i="1" s="1"/>
  <c r="AD22" i="1"/>
  <c r="AF22" i="1"/>
  <c r="AG22" i="1"/>
  <c r="AL22" i="1"/>
  <c r="AM22" i="1"/>
  <c r="AR22" i="1"/>
  <c r="AZ22" i="1"/>
  <c r="BA22" i="1"/>
  <c r="AB23" i="1"/>
  <c r="AD23" i="1"/>
  <c r="AF23" i="1"/>
  <c r="AG23" i="1"/>
  <c r="AL23" i="1"/>
  <c r="AM23" i="1"/>
  <c r="AR23" i="1"/>
  <c r="AZ23" i="1"/>
  <c r="BA23" i="1"/>
  <c r="AB24" i="1"/>
  <c r="AD24" i="1"/>
  <c r="AF24" i="1"/>
  <c r="AG24" i="1"/>
  <c r="AL24" i="1"/>
  <c r="AM24" i="1"/>
  <c r="AR24" i="1"/>
  <c r="AZ24" i="1"/>
  <c r="BA24" i="1"/>
  <c r="AB25" i="1"/>
  <c r="AC25" i="1" s="1"/>
  <c r="AD25" i="1"/>
  <c r="BB25" i="1"/>
  <c r="AF25" i="1"/>
  <c r="AG25" i="1"/>
  <c r="AL25" i="1"/>
  <c r="AM25" i="1"/>
  <c r="AR25" i="1"/>
  <c r="AZ25" i="1"/>
  <c r="BA25" i="1"/>
  <c r="AB26" i="1"/>
  <c r="AD26" i="1"/>
  <c r="AF26" i="1"/>
  <c r="AG26" i="1"/>
  <c r="AL26" i="1"/>
  <c r="AM26" i="1"/>
  <c r="AR26" i="1"/>
  <c r="AZ26" i="1"/>
  <c r="BA26" i="1"/>
  <c r="AB28" i="1"/>
  <c r="AC28" i="1" s="1"/>
  <c r="AP28" i="1" s="1"/>
  <c r="AD28" i="1"/>
  <c r="BB28" i="1"/>
  <c r="AF28" i="1"/>
  <c r="AG28" i="1"/>
  <c r="AL28" i="1"/>
  <c r="AM28" i="1"/>
  <c r="AR28" i="1"/>
  <c r="AZ28" i="1"/>
  <c r="BA28" i="1"/>
  <c r="AB29" i="1"/>
  <c r="AY29" i="1" s="1"/>
  <c r="AD29" i="1"/>
  <c r="AF29" i="1"/>
  <c r="AG29" i="1"/>
  <c r="AL29" i="1"/>
  <c r="AM29" i="1"/>
  <c r="AR29" i="1"/>
  <c r="AZ29" i="1"/>
  <c r="BA29" i="1"/>
  <c r="AB30" i="1"/>
  <c r="AD30" i="1"/>
  <c r="AF30" i="1"/>
  <c r="AG30" i="1"/>
  <c r="AL30" i="1"/>
  <c r="AM30" i="1"/>
  <c r="AR30" i="1"/>
  <c r="AZ30" i="1"/>
  <c r="BA30" i="1"/>
  <c r="AB31" i="1"/>
  <c r="AD31" i="1"/>
  <c r="BB31" i="1"/>
  <c r="AF31" i="1"/>
  <c r="AG31" i="1"/>
  <c r="AL31" i="1"/>
  <c r="AM31" i="1"/>
  <c r="AR31" i="1"/>
  <c r="AZ31" i="1"/>
  <c r="BA31" i="1"/>
  <c r="AB32" i="1"/>
  <c r="AD32" i="1"/>
  <c r="AF32" i="1"/>
  <c r="AG32" i="1"/>
  <c r="AL32" i="1"/>
  <c r="AM32" i="1"/>
  <c r="AR32" i="1"/>
  <c r="AZ32" i="1"/>
  <c r="BA32" i="1"/>
  <c r="AB33" i="1"/>
  <c r="AC33" i="1" s="1"/>
  <c r="AP33" i="1" s="1"/>
  <c r="AD33" i="1"/>
  <c r="AF33" i="1"/>
  <c r="AG33" i="1"/>
  <c r="AL33" i="1"/>
  <c r="AM33" i="1"/>
  <c r="AR33" i="1"/>
  <c r="AZ33" i="1"/>
  <c r="BA33" i="1"/>
  <c r="AB34" i="1"/>
  <c r="AD34" i="1"/>
  <c r="AF34" i="1"/>
  <c r="AG34" i="1"/>
  <c r="AL34" i="1"/>
  <c r="AM34" i="1"/>
  <c r="AR34" i="1"/>
  <c r="AZ34" i="1"/>
  <c r="BA34" i="1"/>
  <c r="AB35" i="1"/>
  <c r="AD35" i="1"/>
  <c r="BB35" i="1"/>
  <c r="AF35" i="1"/>
  <c r="AG35" i="1"/>
  <c r="AL35" i="1"/>
  <c r="AM35" i="1"/>
  <c r="AR35" i="1"/>
  <c r="AZ35" i="1"/>
  <c r="BA35" i="1"/>
  <c r="AB36" i="1"/>
  <c r="AD36" i="1"/>
  <c r="AF36" i="1"/>
  <c r="AG36" i="1"/>
  <c r="AL36" i="1"/>
  <c r="AM36" i="1"/>
  <c r="AR36" i="1"/>
  <c r="AZ36" i="1"/>
  <c r="BA36" i="1"/>
  <c r="AB37" i="1"/>
  <c r="AD37" i="1"/>
  <c r="BB37" i="1"/>
  <c r="AF37" i="1"/>
  <c r="AG37" i="1"/>
  <c r="AL37" i="1"/>
  <c r="AM37" i="1"/>
  <c r="AR37" i="1"/>
  <c r="AZ37" i="1"/>
  <c r="BA37" i="1"/>
  <c r="AB38" i="1"/>
  <c r="AD38" i="1"/>
  <c r="AF38" i="1"/>
  <c r="AG38" i="1"/>
  <c r="AL38" i="1"/>
  <c r="AM38" i="1"/>
  <c r="AR38" i="1"/>
  <c r="AZ38" i="1"/>
  <c r="BA38" i="1"/>
  <c r="AB39" i="1"/>
  <c r="AD39" i="1"/>
  <c r="BB39" i="1"/>
  <c r="AF39" i="1"/>
  <c r="AG39" i="1"/>
  <c r="AL39" i="1"/>
  <c r="AM39" i="1"/>
  <c r="AR39" i="1"/>
  <c r="AZ39" i="1"/>
  <c r="BA39" i="1"/>
  <c r="AB40" i="1"/>
  <c r="AD40" i="1"/>
  <c r="AF40" i="1"/>
  <c r="AG40" i="1"/>
  <c r="AL40" i="1"/>
  <c r="AM40" i="1"/>
  <c r="AR40" i="1"/>
  <c r="AZ40" i="1"/>
  <c r="BA40" i="1"/>
  <c r="AB41" i="1"/>
  <c r="AC41" i="1" s="1"/>
  <c r="AQ41" i="1" s="1"/>
  <c r="AD41" i="1"/>
  <c r="AF41" i="1"/>
  <c r="AG41" i="1"/>
  <c r="AL41" i="1"/>
  <c r="AM41" i="1"/>
  <c r="AR41" i="1"/>
  <c r="AZ41" i="1"/>
  <c r="BA41" i="1"/>
  <c r="AB42" i="1"/>
  <c r="AD42" i="1"/>
  <c r="AF42" i="1"/>
  <c r="AG42" i="1"/>
  <c r="AL42" i="1"/>
  <c r="AM42" i="1"/>
  <c r="AR42" i="1"/>
  <c r="AZ42" i="1"/>
  <c r="BA42" i="1"/>
  <c r="AB43" i="1"/>
  <c r="AD43" i="1"/>
  <c r="BB43" i="1"/>
  <c r="AF43" i="1"/>
  <c r="AG43" i="1"/>
  <c r="AL43" i="1"/>
  <c r="AM43" i="1"/>
  <c r="AR43" i="1"/>
  <c r="AZ43" i="1"/>
  <c r="BA43" i="1"/>
  <c r="AB44" i="1"/>
  <c r="AD44" i="1"/>
  <c r="AF44" i="1"/>
  <c r="AG44" i="1"/>
  <c r="AL44" i="1"/>
  <c r="AM44" i="1"/>
  <c r="AR44" i="1"/>
  <c r="AZ44" i="1"/>
  <c r="BA44" i="1"/>
  <c r="AB45" i="1"/>
  <c r="AD45" i="1"/>
  <c r="BB45" i="1"/>
  <c r="AF45" i="1"/>
  <c r="AG45" i="1"/>
  <c r="AL45" i="1"/>
  <c r="AM45" i="1"/>
  <c r="AR45" i="1"/>
  <c r="AZ45" i="1"/>
  <c r="BA45" i="1"/>
  <c r="AB46" i="1"/>
  <c r="AD46" i="1"/>
  <c r="BB46" i="1"/>
  <c r="AF46" i="1"/>
  <c r="AG46" i="1"/>
  <c r="AL46" i="1"/>
  <c r="AM46" i="1"/>
  <c r="AR46" i="1"/>
  <c r="AZ46" i="1"/>
  <c r="BA46" i="1"/>
  <c r="AB47" i="1"/>
  <c r="AD47" i="1"/>
  <c r="BB47" i="1"/>
  <c r="AF47" i="1"/>
  <c r="AG47" i="1"/>
  <c r="AL47" i="1"/>
  <c r="AM47" i="1"/>
  <c r="AR47" i="1"/>
  <c r="AZ47" i="1"/>
  <c r="BA47" i="1"/>
  <c r="AB48" i="1"/>
  <c r="AY48" i="1" s="1"/>
  <c r="AD48" i="1"/>
  <c r="AF48" i="1"/>
  <c r="AG48" i="1"/>
  <c r="AL48" i="1"/>
  <c r="AM48" i="1"/>
  <c r="AR48" i="1"/>
  <c r="AZ48" i="1"/>
  <c r="BA48" i="1"/>
  <c r="AB49" i="1"/>
  <c r="AC49" i="1" s="1"/>
  <c r="AD49" i="1"/>
  <c r="BB49" i="1"/>
  <c r="AF49" i="1"/>
  <c r="AG49" i="1"/>
  <c r="AL49" i="1"/>
  <c r="AM49" i="1"/>
  <c r="AR49" i="1"/>
  <c r="AZ49" i="1"/>
  <c r="BA49" i="1"/>
  <c r="AB50" i="1"/>
  <c r="AD50" i="1"/>
  <c r="BB50" i="1"/>
  <c r="AF50" i="1"/>
  <c r="AG50" i="1"/>
  <c r="AL50" i="1"/>
  <c r="AM50" i="1"/>
  <c r="AR50" i="1"/>
  <c r="AZ50" i="1"/>
  <c r="BA50" i="1"/>
  <c r="AB51" i="1"/>
  <c r="AC51" i="1" s="1"/>
  <c r="AK51" i="1" s="1"/>
  <c r="AD51" i="1"/>
  <c r="AF51" i="1"/>
  <c r="AG51" i="1"/>
  <c r="AL51" i="1"/>
  <c r="AM51" i="1"/>
  <c r="AR51" i="1"/>
  <c r="AZ51" i="1"/>
  <c r="BA51" i="1"/>
  <c r="AB52" i="1"/>
  <c r="AY52" i="1" s="1"/>
  <c r="AD52" i="1"/>
  <c r="AF52" i="1"/>
  <c r="AG52" i="1"/>
  <c r="AL52" i="1"/>
  <c r="AM52" i="1"/>
  <c r="AR52" i="1"/>
  <c r="AZ52" i="1"/>
  <c r="BA52" i="1"/>
  <c r="AB53" i="1"/>
  <c r="AC53" i="1" s="1"/>
  <c r="AD53" i="1"/>
  <c r="BB53" i="1"/>
  <c r="AF53" i="1"/>
  <c r="AG53" i="1"/>
  <c r="AL53" i="1"/>
  <c r="AM53" i="1"/>
  <c r="AR53" i="1"/>
  <c r="AZ53" i="1"/>
  <c r="BA53" i="1"/>
  <c r="AB54" i="1"/>
  <c r="AD54" i="1"/>
  <c r="BB54" i="1"/>
  <c r="AF54" i="1"/>
  <c r="AG54" i="1"/>
  <c r="AL54" i="1"/>
  <c r="AM54" i="1"/>
  <c r="AR54" i="1"/>
  <c r="AZ54" i="1"/>
  <c r="BA54" i="1"/>
  <c r="AB55" i="1"/>
  <c r="AC55" i="1" s="1"/>
  <c r="AD55" i="1"/>
  <c r="AF55" i="1"/>
  <c r="AG55" i="1"/>
  <c r="AL55" i="1"/>
  <c r="AM55" i="1"/>
  <c r="AR55" i="1"/>
  <c r="AZ55" i="1"/>
  <c r="BA55" i="1"/>
  <c r="AB79" i="1"/>
  <c r="AC79" i="1" s="1"/>
  <c r="AK79" i="1" s="1"/>
  <c r="AD79" i="1"/>
  <c r="AF79" i="1"/>
  <c r="AG79" i="1"/>
  <c r="AL79" i="1"/>
  <c r="AM79" i="1"/>
  <c r="AR79" i="1"/>
  <c r="AZ79" i="1"/>
  <c r="BA79" i="1"/>
  <c r="AB80" i="1"/>
  <c r="AC80" i="1" s="1"/>
  <c r="AK80" i="1" s="1"/>
  <c r="AD80" i="1"/>
  <c r="BB80" i="1"/>
  <c r="AF80" i="1"/>
  <c r="AG80" i="1"/>
  <c r="AL80" i="1"/>
  <c r="AM80" i="1"/>
  <c r="AR80" i="1"/>
  <c r="AZ80" i="1"/>
  <c r="BA80" i="1"/>
  <c r="AB81" i="1"/>
  <c r="AY81" i="1" s="1"/>
  <c r="AD81" i="1"/>
  <c r="AF81" i="1"/>
  <c r="AG81" i="1"/>
  <c r="AL81" i="1"/>
  <c r="AM81" i="1"/>
  <c r="AR81" i="1"/>
  <c r="AZ81" i="1"/>
  <c r="BA81" i="1"/>
  <c r="AB56" i="1"/>
  <c r="AD56" i="1"/>
  <c r="BB56" i="1"/>
  <c r="AF56" i="1"/>
  <c r="AG56" i="1"/>
  <c r="AL56" i="1"/>
  <c r="AM56" i="1"/>
  <c r="AR56" i="1"/>
  <c r="AZ56" i="1"/>
  <c r="BA56" i="1"/>
  <c r="AB58" i="1"/>
  <c r="AD58" i="1"/>
  <c r="BB58" i="1"/>
  <c r="AF58" i="1"/>
  <c r="AG58" i="1"/>
  <c r="AL58" i="1"/>
  <c r="AM58" i="1"/>
  <c r="AR58" i="1"/>
  <c r="AZ58" i="1"/>
  <c r="BA58" i="1"/>
  <c r="AB60" i="1"/>
  <c r="AD60" i="1"/>
  <c r="BB60" i="1"/>
  <c r="AF60" i="1"/>
  <c r="AG60" i="1"/>
  <c r="AL60" i="1"/>
  <c r="AM60" i="1"/>
  <c r="AR60" i="1"/>
  <c r="AZ60" i="1"/>
  <c r="BA60" i="1"/>
  <c r="AB72" i="1"/>
  <c r="AC72" i="1" s="1"/>
  <c r="AK72" i="1" s="1"/>
  <c r="AD72" i="1"/>
  <c r="AF72" i="1"/>
  <c r="AG72" i="1"/>
  <c r="AL72" i="1"/>
  <c r="AM72" i="1"/>
  <c r="AR72" i="1"/>
  <c r="AT72" i="1"/>
  <c r="AZ72" i="1"/>
  <c r="BA72" i="1"/>
  <c r="AB70" i="1"/>
  <c r="AC70" i="1" s="1"/>
  <c r="AK70" i="1" s="1"/>
  <c r="AD70" i="1"/>
  <c r="AF70" i="1"/>
  <c r="AG70" i="1"/>
  <c r="AL70" i="1"/>
  <c r="AM70" i="1"/>
  <c r="AR70" i="1"/>
  <c r="AT70" i="1"/>
  <c r="AZ70" i="1"/>
  <c r="BA70" i="1"/>
  <c r="AB73" i="1"/>
  <c r="AC73" i="1" s="1"/>
  <c r="AK73" i="1" s="1"/>
  <c r="AD73" i="1"/>
  <c r="AF73" i="1"/>
  <c r="AG73" i="1"/>
  <c r="AL73" i="1"/>
  <c r="AM73" i="1"/>
  <c r="AR73" i="1"/>
  <c r="AT73" i="1"/>
  <c r="AZ73" i="1"/>
  <c r="BA73" i="1"/>
  <c r="AB74" i="1"/>
  <c r="AY74" i="1" s="1"/>
  <c r="AD74" i="1"/>
  <c r="BB74" i="1"/>
  <c r="AF74" i="1"/>
  <c r="AG74" i="1"/>
  <c r="AL74" i="1"/>
  <c r="AM74" i="1"/>
  <c r="AR74" i="1"/>
  <c r="AT74" i="1"/>
  <c r="AZ74" i="1"/>
  <c r="BA74" i="1"/>
  <c r="AB69" i="1"/>
  <c r="AC69" i="1" s="1"/>
  <c r="AK69" i="1" s="1"/>
  <c r="AD69" i="1"/>
  <c r="AF69" i="1"/>
  <c r="AG69" i="1"/>
  <c r="AL69" i="1"/>
  <c r="AM69" i="1"/>
  <c r="AR69" i="1"/>
  <c r="AT69" i="1"/>
  <c r="AZ69" i="1"/>
  <c r="BA69" i="1"/>
  <c r="AB75" i="1"/>
  <c r="AY75" i="1" s="1"/>
  <c r="AD75" i="1"/>
  <c r="BB75" i="1"/>
  <c r="AF75" i="1"/>
  <c r="AG75" i="1"/>
  <c r="AL75" i="1"/>
  <c r="AM75" i="1"/>
  <c r="AR75" i="1"/>
  <c r="AT75" i="1"/>
  <c r="AZ75" i="1"/>
  <c r="BA75" i="1"/>
  <c r="AB68" i="1"/>
  <c r="AC68" i="1" s="1"/>
  <c r="AK68" i="1" s="1"/>
  <c r="AD68" i="1"/>
  <c r="AF68" i="1"/>
  <c r="AG68" i="1"/>
  <c r="AL68" i="1"/>
  <c r="AM68" i="1"/>
  <c r="AR68" i="1"/>
  <c r="AT68" i="1"/>
  <c r="AZ68" i="1"/>
  <c r="BA68" i="1"/>
  <c r="AB71" i="1"/>
  <c r="AC71" i="1" s="1"/>
  <c r="AK71" i="1" s="1"/>
  <c r="AD71" i="1"/>
  <c r="BB71" i="1"/>
  <c r="AF71" i="1"/>
  <c r="AG71" i="1"/>
  <c r="AL71" i="1"/>
  <c r="AM71" i="1"/>
  <c r="AR71" i="1"/>
  <c r="AT71" i="1"/>
  <c r="AZ71" i="1"/>
  <c r="BA71" i="1"/>
  <c r="AB76" i="1"/>
  <c r="AW76" i="1" s="1"/>
  <c r="AD76" i="1"/>
  <c r="BB76" i="1"/>
  <c r="AF76" i="1"/>
  <c r="AG76" i="1"/>
  <c r="AL76" i="1"/>
  <c r="AM76" i="1"/>
  <c r="AR76" i="1"/>
  <c r="AT76" i="1"/>
  <c r="AZ76" i="1"/>
  <c r="BA76" i="1"/>
  <c r="AB77" i="1"/>
  <c r="AY77" i="1" s="1"/>
  <c r="AD77" i="1"/>
  <c r="BB77" i="1"/>
  <c r="AF77" i="1"/>
  <c r="AG77" i="1"/>
  <c r="AL77" i="1"/>
  <c r="AM77" i="1"/>
  <c r="AR77" i="1"/>
  <c r="AS77" i="1"/>
  <c r="AT77" i="1"/>
  <c r="AZ77" i="1"/>
  <c r="BA77" i="1"/>
  <c r="AB78" i="1"/>
  <c r="AD78" i="1"/>
  <c r="BB78" i="1"/>
  <c r="AF78" i="1"/>
  <c r="AG78" i="1"/>
  <c r="AL78" i="1"/>
  <c r="AM78" i="1"/>
  <c r="AR78" i="1"/>
  <c r="AZ78" i="1"/>
  <c r="BA78" i="1"/>
  <c r="AB57" i="1"/>
  <c r="AW57" i="1" s="1"/>
  <c r="AD57" i="1"/>
  <c r="BB57" i="1"/>
  <c r="AF57" i="1"/>
  <c r="AG57" i="1"/>
  <c r="AL57" i="1"/>
  <c r="AM57" i="1"/>
  <c r="AR57" i="1"/>
  <c r="AZ57" i="1"/>
  <c r="BA57" i="1"/>
  <c r="AB59" i="1"/>
  <c r="AD59" i="1"/>
  <c r="BB59" i="1"/>
  <c r="AF59" i="1"/>
  <c r="AG59" i="1"/>
  <c r="AL59" i="1"/>
  <c r="AM59" i="1"/>
  <c r="AR59" i="1"/>
  <c r="AZ59" i="1"/>
  <c r="BA59" i="1"/>
  <c r="AB61" i="1"/>
  <c r="AY61" i="1" s="1"/>
  <c r="AD61" i="1"/>
  <c r="BB61" i="1"/>
  <c r="AF61" i="1"/>
  <c r="AG61" i="1"/>
  <c r="AL61" i="1"/>
  <c r="AM61" i="1"/>
  <c r="AR61" i="1"/>
  <c r="AZ61" i="1"/>
  <c r="BA61" i="1"/>
  <c r="AB82" i="1"/>
  <c r="AV82" i="1" s="1"/>
  <c r="AD82" i="1"/>
  <c r="BB82" i="1"/>
  <c r="AF82" i="1"/>
  <c r="AG82" i="1"/>
  <c r="AL82" i="1"/>
  <c r="AM82" i="1"/>
  <c r="AR82" i="1"/>
  <c r="AZ82" i="1"/>
  <c r="BA82" i="1"/>
  <c r="AB83" i="1"/>
  <c r="AY83" i="1" s="1"/>
  <c r="AD83" i="1"/>
  <c r="BB83" i="1"/>
  <c r="AF83" i="1"/>
  <c r="AG83" i="1"/>
  <c r="AL83" i="1"/>
  <c r="AM83" i="1"/>
  <c r="AR83" i="1"/>
  <c r="AZ83" i="1"/>
  <c r="BA83" i="1"/>
  <c r="AB84" i="1"/>
  <c r="AV84" i="1" s="1"/>
  <c r="AD84" i="1"/>
  <c r="BB84" i="1"/>
  <c r="AF84" i="1"/>
  <c r="AG84" i="1"/>
  <c r="AL84" i="1"/>
  <c r="AM84" i="1"/>
  <c r="AR84" i="1"/>
  <c r="AZ84" i="1"/>
  <c r="BA84" i="1"/>
  <c r="AB85" i="1"/>
  <c r="AD85" i="1"/>
  <c r="BB85" i="1"/>
  <c r="AF85" i="1"/>
  <c r="AG85" i="1"/>
  <c r="AL85" i="1"/>
  <c r="AM85" i="1"/>
  <c r="AR85" i="1"/>
  <c r="AZ85" i="1"/>
  <c r="BA85" i="1"/>
  <c r="AB86" i="1"/>
  <c r="AY86" i="1" s="1"/>
  <c r="AD86" i="1"/>
  <c r="BB86" i="1"/>
  <c r="AF86" i="1"/>
  <c r="AG86" i="1"/>
  <c r="AL86" i="1"/>
  <c r="AM86" i="1"/>
  <c r="AR86" i="1"/>
  <c r="AZ86" i="1"/>
  <c r="BA86" i="1"/>
  <c r="AB87" i="1"/>
  <c r="AY87" i="1" s="1"/>
  <c r="AD87" i="1"/>
  <c r="BB87" i="1"/>
  <c r="AF87" i="1"/>
  <c r="AG87" i="1"/>
  <c r="AL87" i="1"/>
  <c r="AM87" i="1"/>
  <c r="AR87" i="1"/>
  <c r="AZ87" i="1"/>
  <c r="BA87" i="1"/>
  <c r="AB88" i="1"/>
  <c r="AV88" i="1" s="1"/>
  <c r="AD88" i="1"/>
  <c r="BB88" i="1"/>
  <c r="AF88" i="1"/>
  <c r="AG88" i="1"/>
  <c r="AL88" i="1"/>
  <c r="AM88" i="1"/>
  <c r="AR88" i="1"/>
  <c r="AZ88" i="1"/>
  <c r="BA88" i="1"/>
  <c r="AB89" i="1"/>
  <c r="AC89" i="1" s="1"/>
  <c r="AK89" i="1" s="1"/>
  <c r="AD89" i="1"/>
  <c r="BB89" i="1"/>
  <c r="AF89" i="1"/>
  <c r="AG89" i="1"/>
  <c r="AL89" i="1"/>
  <c r="AM89" i="1"/>
  <c r="AR89" i="1"/>
  <c r="AT89" i="1"/>
  <c r="AZ89" i="1"/>
  <c r="BA89" i="1"/>
  <c r="AB90" i="1"/>
  <c r="AC90" i="1" s="1"/>
  <c r="AK90" i="1" s="1"/>
  <c r="AD90" i="1"/>
  <c r="BB90" i="1"/>
  <c r="AF90" i="1"/>
  <c r="AG90" i="1"/>
  <c r="AL90" i="1"/>
  <c r="AM90" i="1"/>
  <c r="AR90" i="1"/>
  <c r="AZ90" i="1"/>
  <c r="BA90" i="1"/>
  <c r="AB91" i="1"/>
  <c r="AY91" i="1" s="1"/>
  <c r="AD91" i="1"/>
  <c r="BB91" i="1"/>
  <c r="AF91" i="1"/>
  <c r="AG91" i="1"/>
  <c r="AL91" i="1"/>
  <c r="AM91" i="1"/>
  <c r="AR91" i="1"/>
  <c r="AZ91" i="1"/>
  <c r="BA91" i="1"/>
  <c r="AB92" i="1"/>
  <c r="AD92" i="1"/>
  <c r="BB92" i="1"/>
  <c r="AF92" i="1"/>
  <c r="AG92" i="1"/>
  <c r="AL92" i="1"/>
  <c r="AM92" i="1"/>
  <c r="AR92" i="1"/>
  <c r="AT92" i="1"/>
  <c r="AZ92" i="1"/>
  <c r="BA92" i="1"/>
  <c r="AB94" i="1"/>
  <c r="AD94" i="1"/>
  <c r="BB94" i="1"/>
  <c r="AF94" i="1"/>
  <c r="AG94" i="1"/>
  <c r="AL94" i="1"/>
  <c r="AM94" i="1"/>
  <c r="AR94" i="1"/>
  <c r="AT94" i="1"/>
  <c r="AZ94" i="1"/>
  <c r="BA94" i="1"/>
  <c r="AB95" i="1"/>
  <c r="AY95" i="1" s="1"/>
  <c r="AD95" i="1"/>
  <c r="BB95" i="1"/>
  <c r="AF95" i="1"/>
  <c r="AG95" i="1"/>
  <c r="AL95" i="1"/>
  <c r="AM95" i="1"/>
  <c r="AR95" i="1"/>
  <c r="AT95" i="1"/>
  <c r="AZ95" i="1"/>
  <c r="BA95" i="1"/>
  <c r="AB96" i="1"/>
  <c r="AY96" i="1" s="1"/>
  <c r="AD96" i="1"/>
  <c r="BB96" i="1"/>
  <c r="AF96" i="1"/>
  <c r="AG96" i="1"/>
  <c r="AL96" i="1"/>
  <c r="AM96" i="1"/>
  <c r="AR96" i="1"/>
  <c r="AT96" i="1"/>
  <c r="AZ96" i="1"/>
  <c r="BA96" i="1"/>
  <c r="AB97" i="1"/>
  <c r="AY97" i="1" s="1"/>
  <c r="AD97" i="1"/>
  <c r="BB97" i="1"/>
  <c r="AF97" i="1"/>
  <c r="AG97" i="1"/>
  <c r="AL97" i="1"/>
  <c r="AM97" i="1"/>
  <c r="AR97" i="1"/>
  <c r="AT97" i="1"/>
  <c r="AZ97" i="1"/>
  <c r="BA97" i="1"/>
  <c r="AB98" i="1"/>
  <c r="AY98" i="1" s="1"/>
  <c r="AD98" i="1"/>
  <c r="BB98" i="1"/>
  <c r="AF98" i="1"/>
  <c r="AG98" i="1"/>
  <c r="AL98" i="1"/>
  <c r="AM98" i="1"/>
  <c r="AR98" i="1"/>
  <c r="AZ98" i="1"/>
  <c r="BA98" i="1"/>
  <c r="AB99" i="1"/>
  <c r="AV99" i="1" s="1"/>
  <c r="AD99" i="1"/>
  <c r="BB99" i="1"/>
  <c r="AF99" i="1"/>
  <c r="AG99" i="1"/>
  <c r="AL99" i="1"/>
  <c r="AM99" i="1"/>
  <c r="AR99" i="1"/>
  <c r="AZ99" i="1"/>
  <c r="BA99" i="1"/>
  <c r="AB100" i="1"/>
  <c r="AY100" i="1" s="1"/>
  <c r="AD100" i="1"/>
  <c r="BB100" i="1"/>
  <c r="AF100" i="1"/>
  <c r="AG100" i="1"/>
  <c r="AL100" i="1"/>
  <c r="AM100" i="1"/>
  <c r="AR100" i="1"/>
  <c r="AZ100" i="1"/>
  <c r="BA100" i="1"/>
  <c r="AB101" i="1"/>
  <c r="AV101" i="1" s="1"/>
  <c r="AD101" i="1"/>
  <c r="BB101" i="1"/>
  <c r="AF101" i="1"/>
  <c r="AG101" i="1"/>
  <c r="AL101" i="1"/>
  <c r="AM101" i="1"/>
  <c r="AR101" i="1"/>
  <c r="AZ101" i="1"/>
  <c r="BA101" i="1"/>
  <c r="AB102" i="1"/>
  <c r="AY102" i="1" s="1"/>
  <c r="AD102" i="1"/>
  <c r="BB102" i="1"/>
  <c r="AF102" i="1"/>
  <c r="AG102" i="1"/>
  <c r="AL102" i="1"/>
  <c r="AM102" i="1"/>
  <c r="AR102" i="1"/>
  <c r="AZ102" i="1"/>
  <c r="BA102" i="1"/>
  <c r="AB103" i="1"/>
  <c r="AY103" i="1" s="1"/>
  <c r="AD103" i="1"/>
  <c r="BB103" i="1"/>
  <c r="AF103" i="1"/>
  <c r="AG103" i="1"/>
  <c r="AL103" i="1"/>
  <c r="AM103" i="1"/>
  <c r="AR103" i="1"/>
  <c r="AZ103" i="1"/>
  <c r="BA103" i="1"/>
  <c r="AB104" i="1"/>
  <c r="AY104" i="1" s="1"/>
  <c r="AD104" i="1"/>
  <c r="BB104" i="1"/>
  <c r="AF104" i="1"/>
  <c r="AG104" i="1"/>
  <c r="AL104" i="1"/>
  <c r="AM104" i="1"/>
  <c r="AR104" i="1"/>
  <c r="AZ104" i="1"/>
  <c r="BA104" i="1"/>
  <c r="AB105" i="1"/>
  <c r="AC105" i="1" s="1"/>
  <c r="AK105" i="1" s="1"/>
  <c r="AD105" i="1"/>
  <c r="BB105" i="1"/>
  <c r="AF105" i="1"/>
  <c r="AG105" i="1"/>
  <c r="AL105" i="1"/>
  <c r="AM105" i="1"/>
  <c r="AR105" i="1"/>
  <c r="AZ105" i="1"/>
  <c r="BA105" i="1"/>
  <c r="AB106" i="1"/>
  <c r="AY106" i="1" s="1"/>
  <c r="AD106" i="1"/>
  <c r="BB106" i="1"/>
  <c r="AF106" i="1"/>
  <c r="AG106" i="1"/>
  <c r="AL106" i="1"/>
  <c r="AM106" i="1"/>
  <c r="AR106" i="1"/>
  <c r="AT106" i="1"/>
  <c r="AZ106" i="1"/>
  <c r="BA106" i="1"/>
  <c r="AB107" i="1"/>
  <c r="AY107" i="1" s="1"/>
  <c r="AD107" i="1"/>
  <c r="BB107" i="1"/>
  <c r="AF107" i="1"/>
  <c r="AG107" i="1"/>
  <c r="AL107" i="1"/>
  <c r="AM107" i="1"/>
  <c r="AR107" i="1"/>
  <c r="AZ107" i="1"/>
  <c r="BA107" i="1"/>
  <c r="AB108" i="1"/>
  <c r="AY108" i="1" s="1"/>
  <c r="AD108" i="1"/>
  <c r="BB108" i="1"/>
  <c r="AF108" i="1"/>
  <c r="AG108" i="1"/>
  <c r="AL108" i="1"/>
  <c r="AM108" i="1"/>
  <c r="AR108" i="1"/>
  <c r="AZ108" i="1"/>
  <c r="BA108" i="1"/>
  <c r="AB109" i="1"/>
  <c r="AD109" i="1"/>
  <c r="BB109" i="1"/>
  <c r="AF109" i="1"/>
  <c r="AG109" i="1"/>
  <c r="AL109" i="1"/>
  <c r="AM109" i="1"/>
  <c r="AR109" i="1"/>
  <c r="AZ109" i="1"/>
  <c r="BA109" i="1"/>
  <c r="AB112" i="1"/>
  <c r="AY112" i="1" s="1"/>
  <c r="AD112" i="1"/>
  <c r="BB112" i="1"/>
  <c r="AF112" i="1"/>
  <c r="AG112" i="1"/>
  <c r="AL112" i="1"/>
  <c r="AM112" i="1"/>
  <c r="AR112" i="1"/>
  <c r="AZ112" i="1"/>
  <c r="BA112" i="1"/>
  <c r="AB113" i="1"/>
  <c r="AD113" i="1"/>
  <c r="BB113" i="1"/>
  <c r="AF113" i="1"/>
  <c r="AG113" i="1"/>
  <c r="AL113" i="1"/>
  <c r="AM113" i="1"/>
  <c r="AR113" i="1"/>
  <c r="AZ113" i="1"/>
  <c r="BA113" i="1"/>
  <c r="AB114" i="1"/>
  <c r="AC114" i="1" s="1"/>
  <c r="AD114" i="1"/>
  <c r="BB114" i="1"/>
  <c r="AF114" i="1"/>
  <c r="AG114" i="1"/>
  <c r="AL114" i="1"/>
  <c r="AM114" i="1"/>
  <c r="AR114" i="1"/>
  <c r="AZ114" i="1"/>
  <c r="BA114" i="1"/>
  <c r="AB115" i="1"/>
  <c r="AC115" i="1" s="1"/>
  <c r="AD115" i="1"/>
  <c r="BB115" i="1"/>
  <c r="AF115" i="1"/>
  <c r="AG115" i="1"/>
  <c r="AL115" i="1"/>
  <c r="AM115" i="1"/>
  <c r="AR115" i="1"/>
  <c r="AZ115" i="1"/>
  <c r="BA115" i="1"/>
  <c r="AB116" i="1"/>
  <c r="AC116" i="1" s="1"/>
  <c r="AK116" i="1" s="1"/>
  <c r="AD116" i="1"/>
  <c r="BB116" i="1"/>
  <c r="AF116" i="1"/>
  <c r="AG116" i="1"/>
  <c r="AL116" i="1"/>
  <c r="AM116" i="1"/>
  <c r="AR116" i="1"/>
  <c r="AZ116" i="1"/>
  <c r="BA116" i="1"/>
  <c r="AB117" i="1"/>
  <c r="AC117" i="1" s="1"/>
  <c r="AD117" i="1"/>
  <c r="BB117" i="1"/>
  <c r="AF117" i="1"/>
  <c r="AG117" i="1"/>
  <c r="AL117" i="1"/>
  <c r="AM117" i="1"/>
  <c r="AR117" i="1"/>
  <c r="AZ117" i="1"/>
  <c r="BA117" i="1"/>
  <c r="AZ4" i="1"/>
  <c r="AZ5" i="1"/>
  <c r="AZ62" i="1"/>
  <c r="BA62" i="1"/>
  <c r="BA5" i="1"/>
  <c r="BA4" i="1"/>
  <c r="C49" i="1"/>
  <c r="C50" i="1"/>
  <c r="C51" i="1"/>
  <c r="C52" i="1"/>
  <c r="C53" i="1"/>
  <c r="C54" i="1"/>
  <c r="C55" i="1"/>
  <c r="C63" i="1"/>
  <c r="C65" i="1"/>
  <c r="C67" i="1"/>
  <c r="C57" i="1"/>
  <c r="C59" i="1"/>
  <c r="C61" i="1"/>
  <c r="C82" i="1"/>
  <c r="C83" i="1"/>
  <c r="C84" i="1"/>
  <c r="C85" i="1"/>
  <c r="C86" i="1"/>
  <c r="C87" i="1"/>
  <c r="C88" i="1"/>
  <c r="C89" i="1"/>
  <c r="C90" i="1"/>
  <c r="C91" i="1"/>
  <c r="C92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2" i="1"/>
  <c r="C113" i="1"/>
  <c r="C114" i="1"/>
  <c r="C115" i="1"/>
  <c r="C116" i="1"/>
  <c r="C117" i="1"/>
  <c r="C42" i="1"/>
  <c r="C43" i="1"/>
  <c r="C44" i="1"/>
  <c r="C19" i="1"/>
  <c r="C31" i="1"/>
  <c r="C20" i="1"/>
  <c r="C32" i="1"/>
  <c r="C21" i="1"/>
  <c r="C33" i="1"/>
  <c r="C22" i="1"/>
  <c r="C34" i="1"/>
  <c r="C23" i="1"/>
  <c r="C35" i="1"/>
  <c r="C24" i="1"/>
  <c r="C36" i="1"/>
  <c r="C25" i="1"/>
  <c r="C37" i="1"/>
  <c r="C26" i="1"/>
  <c r="C38" i="1"/>
  <c r="C28" i="1"/>
  <c r="C39" i="1"/>
  <c r="C29" i="1"/>
  <c r="C40" i="1"/>
  <c r="C30" i="1"/>
  <c r="C41" i="1"/>
  <c r="C71" i="1"/>
  <c r="C56" i="1"/>
  <c r="C58" i="1"/>
  <c r="C60" i="1"/>
  <c r="C45" i="1"/>
  <c r="C46" i="1"/>
  <c r="C47" i="1"/>
  <c r="C48" i="1"/>
  <c r="C66" i="1"/>
  <c r="C64" i="1"/>
  <c r="C62" i="1"/>
  <c r="AK55" i="1" l="1"/>
  <c r="AN55" i="1" s="1"/>
  <c r="AO55" i="1" s="1"/>
  <c r="AQ55" i="1"/>
  <c r="AQ7" i="1"/>
  <c r="AP7" i="1"/>
  <c r="AP64" i="1"/>
  <c r="AQ64" i="1"/>
  <c r="AS91" i="1"/>
  <c r="AQ25" i="1"/>
  <c r="AP25" i="1"/>
  <c r="AQ10" i="1"/>
  <c r="AP10" i="1"/>
  <c r="AT117" i="1"/>
  <c r="AK117" i="1"/>
  <c r="AN117" i="1" s="1"/>
  <c r="AP117" i="1"/>
  <c r="AK115" i="1"/>
  <c r="AP115" i="1"/>
  <c r="AK21" i="1"/>
  <c r="AN21" i="1" s="1"/>
  <c r="AP21" i="1"/>
  <c r="AK15" i="1"/>
  <c r="AN15" i="1" s="1"/>
  <c r="AO15" i="1" s="1"/>
  <c r="AP15" i="1"/>
  <c r="AK114" i="1"/>
  <c r="AP114" i="1"/>
  <c r="AK20" i="1"/>
  <c r="AN20" i="1" s="1"/>
  <c r="AQ20" i="1"/>
  <c r="AT105" i="1"/>
  <c r="AC75" i="1"/>
  <c r="AK75" i="1" s="1"/>
  <c r="AN75" i="1" s="1"/>
  <c r="AO75" i="1" s="1"/>
  <c r="AT114" i="1"/>
  <c r="AT90" i="1"/>
  <c r="AN105" i="1"/>
  <c r="AO105" i="1" s="1"/>
  <c r="AT116" i="1"/>
  <c r="AN89" i="1"/>
  <c r="AO89" i="1" s="1"/>
  <c r="AC74" i="1"/>
  <c r="AK74" i="1" s="1"/>
  <c r="AN74" i="1" s="1"/>
  <c r="AO74" i="1" s="1"/>
  <c r="AN114" i="1"/>
  <c r="AN90" i="1"/>
  <c r="AO90" i="1" s="1"/>
  <c r="AN115" i="1"/>
  <c r="AO115" i="1" s="1"/>
  <c r="AN116" i="1"/>
  <c r="AT115" i="1"/>
  <c r="AS12" i="1"/>
  <c r="AS60" i="1"/>
  <c r="AY79" i="1"/>
  <c r="AC81" i="1"/>
  <c r="AK81" i="1" s="1"/>
  <c r="AN81" i="1" s="1"/>
  <c r="AY33" i="1"/>
  <c r="AW66" i="1"/>
  <c r="AS94" i="1"/>
  <c r="AY64" i="1"/>
  <c r="AS64" i="1"/>
  <c r="AW79" i="1"/>
  <c r="AV54" i="1"/>
  <c r="AW74" i="1"/>
  <c r="AS47" i="1"/>
  <c r="AW86" i="1"/>
  <c r="AS48" i="1"/>
  <c r="AS63" i="1"/>
  <c r="AY21" i="1"/>
  <c r="AX47" i="1"/>
  <c r="AY41" i="1"/>
  <c r="AW105" i="1"/>
  <c r="AS98" i="1"/>
  <c r="AC98" i="1"/>
  <c r="AY84" i="1"/>
  <c r="AW82" i="1"/>
  <c r="AX77" i="1"/>
  <c r="AW52" i="1"/>
  <c r="AC91" i="1"/>
  <c r="AK91" i="1" s="1"/>
  <c r="AN91" i="1" s="1"/>
  <c r="AO91" i="1" s="1"/>
  <c r="AY82" i="1"/>
  <c r="AW48" i="1"/>
  <c r="AX43" i="1"/>
  <c r="AS43" i="1"/>
  <c r="AW41" i="1"/>
  <c r="AC18" i="1"/>
  <c r="AS81" i="1"/>
  <c r="AY55" i="1"/>
  <c r="AY105" i="1"/>
  <c r="AX82" i="1"/>
  <c r="AV69" i="1"/>
  <c r="AX45" i="1"/>
  <c r="AW43" i="1"/>
  <c r="AW40" i="1"/>
  <c r="AC22" i="1"/>
  <c r="AP22" i="1" s="1"/>
  <c r="AS108" i="1"/>
  <c r="AC108" i="1"/>
  <c r="AW107" i="1"/>
  <c r="AC106" i="1"/>
  <c r="AK106" i="1" s="1"/>
  <c r="AN106" i="1" s="1"/>
  <c r="AO106" i="1" s="1"/>
  <c r="AX101" i="1"/>
  <c r="AX99" i="1"/>
  <c r="AS87" i="1"/>
  <c r="AC87" i="1"/>
  <c r="AX86" i="1"/>
  <c r="AS86" i="1"/>
  <c r="AC86" i="1"/>
  <c r="AS84" i="1"/>
  <c r="AC84" i="1"/>
  <c r="AX83" i="1"/>
  <c r="AS82" i="1"/>
  <c r="AC82" i="1"/>
  <c r="AT21" i="1"/>
  <c r="AY90" i="1"/>
  <c r="AV50" i="1"/>
  <c r="AY49" i="1"/>
  <c r="AS114" i="1"/>
  <c r="AW90" i="1"/>
  <c r="AW88" i="1"/>
  <c r="AX87" i="1"/>
  <c r="AV86" i="1"/>
  <c r="AX84" i="1"/>
  <c r="AS83" i="1"/>
  <c r="AC83" i="1"/>
  <c r="AW68" i="1"/>
  <c r="AS51" i="1"/>
  <c r="AV45" i="1"/>
  <c r="AC12" i="1"/>
  <c r="AX70" i="1"/>
  <c r="AW51" i="1"/>
  <c r="AV47" i="1"/>
  <c r="AW42" i="1"/>
  <c r="AX41" i="1"/>
  <c r="AC29" i="1"/>
  <c r="AP29" i="1" s="1"/>
  <c r="AC19" i="1"/>
  <c r="AP19" i="1" s="1"/>
  <c r="AY10" i="1"/>
  <c r="AX66" i="1"/>
  <c r="AT41" i="1"/>
  <c r="AY117" i="1"/>
  <c r="AX107" i="1"/>
  <c r="AS107" i="1"/>
  <c r="AC107" i="1"/>
  <c r="AV105" i="1"/>
  <c r="AS104" i="1"/>
  <c r="AC104" i="1"/>
  <c r="AW103" i="1"/>
  <c r="AX102" i="1"/>
  <c r="AW101" i="1"/>
  <c r="AW99" i="1"/>
  <c r="AS97" i="1"/>
  <c r="AC97" i="1"/>
  <c r="AK97" i="1" s="1"/>
  <c r="AN97" i="1" s="1"/>
  <c r="AO97" i="1" s="1"/>
  <c r="AY92" i="1"/>
  <c r="AS92" i="1"/>
  <c r="AC92" i="1"/>
  <c r="AV90" i="1"/>
  <c r="AS89" i="1"/>
  <c r="AY88" i="1"/>
  <c r="AS75" i="1"/>
  <c r="AV75" i="1"/>
  <c r="AW45" i="1"/>
  <c r="AS37" i="1"/>
  <c r="AS33" i="1"/>
  <c r="AW67" i="1"/>
  <c r="AC65" i="1"/>
  <c r="AY14" i="1"/>
  <c r="AS14" i="1"/>
  <c r="AC14" i="1"/>
  <c r="AP14" i="1" s="1"/>
  <c r="AC13" i="1"/>
  <c r="AP13" i="1" s="1"/>
  <c r="AY12" i="1"/>
  <c r="AS113" i="1"/>
  <c r="AC113" i="1"/>
  <c r="AY109" i="1"/>
  <c r="AS109" i="1"/>
  <c r="AC109" i="1"/>
  <c r="AP109" i="1" s="1"/>
  <c r="AV107" i="1"/>
  <c r="AX105" i="1"/>
  <c r="AS105" i="1"/>
  <c r="AS102" i="1"/>
  <c r="AC102" i="1"/>
  <c r="AS101" i="1"/>
  <c r="AC101" i="1"/>
  <c r="AY99" i="1"/>
  <c r="AS99" i="1"/>
  <c r="AC99" i="1"/>
  <c r="AS96" i="1"/>
  <c r="AC96" i="1"/>
  <c r="AX90" i="1"/>
  <c r="AS90" i="1"/>
  <c r="AV76" i="1"/>
  <c r="AW75" i="1"/>
  <c r="AN69" i="1"/>
  <c r="AO69" i="1" s="1"/>
  <c r="AN73" i="1"/>
  <c r="AO73" i="1" s="1"/>
  <c r="AY70" i="1"/>
  <c r="AW80" i="1"/>
  <c r="AV79" i="1"/>
  <c r="AY51" i="1"/>
  <c r="AS45" i="1"/>
  <c r="AV43" i="1"/>
  <c r="AT33" i="1"/>
  <c r="AS31" i="1"/>
  <c r="AV68" i="1"/>
  <c r="AW73" i="1"/>
  <c r="AX51" i="1"/>
  <c r="AS35" i="1"/>
  <c r="AX67" i="1"/>
  <c r="AY85" i="1"/>
  <c r="AC85" i="1"/>
  <c r="AS85" i="1"/>
  <c r="BB55" i="1"/>
  <c r="AS55" i="1"/>
  <c r="AY39" i="1"/>
  <c r="AC39" i="1"/>
  <c r="AQ39" i="1" s="1"/>
  <c r="AY113" i="1"/>
  <c r="AS112" i="1"/>
  <c r="AC112" i="1"/>
  <c r="AQ112" i="1" s="1"/>
  <c r="AX104" i="1"/>
  <c r="AX103" i="1"/>
  <c r="AS103" i="1"/>
  <c r="AC103" i="1"/>
  <c r="AY101" i="1"/>
  <c r="AS100" i="1"/>
  <c r="AC100" i="1"/>
  <c r="AS95" i="1"/>
  <c r="AC95" i="1"/>
  <c r="AC88" i="1"/>
  <c r="AS88" i="1"/>
  <c r="AX88" i="1"/>
  <c r="AX85" i="1"/>
  <c r="AX75" i="1"/>
  <c r="AY73" i="1"/>
  <c r="AN72" i="1"/>
  <c r="AK53" i="1"/>
  <c r="AN53" i="1" s="1"/>
  <c r="AO53" i="1" s="1"/>
  <c r="AT53" i="1"/>
  <c r="AY23" i="1"/>
  <c r="AC23" i="1"/>
  <c r="AP23" i="1" s="1"/>
  <c r="AK10" i="1"/>
  <c r="AN10" i="1" s="1"/>
  <c r="AO10" i="1" s="1"/>
  <c r="AC6" i="1"/>
  <c r="AP6" i="1" s="1"/>
  <c r="AY6" i="1"/>
  <c r="AY16" i="1"/>
  <c r="AC16" i="1"/>
  <c r="AC11" i="1"/>
  <c r="AX112" i="1"/>
  <c r="AV103" i="1"/>
  <c r="AX100" i="1"/>
  <c r="AY89" i="1"/>
  <c r="BB41" i="1"/>
  <c r="AS41" i="1"/>
  <c r="AS39" i="1"/>
  <c r="AT25" i="1"/>
  <c r="AS11" i="1"/>
  <c r="AY37" i="1"/>
  <c r="AC37" i="1"/>
  <c r="AQ37" i="1" s="1"/>
  <c r="AY35" i="1"/>
  <c r="AC35" i="1"/>
  <c r="AP35" i="1" s="1"/>
  <c r="AY60" i="1"/>
  <c r="AY56" i="1"/>
  <c r="AC56" i="1"/>
  <c r="AK56" i="1" s="1"/>
  <c r="AN56" i="1" s="1"/>
  <c r="AO56" i="1" s="1"/>
  <c r="AW56" i="1"/>
  <c r="AS117" i="1"/>
  <c r="AY115" i="1"/>
  <c r="AS115" i="1"/>
  <c r="AX108" i="1"/>
  <c r="AX98" i="1"/>
  <c r="AY94" i="1"/>
  <c r="AC94" i="1"/>
  <c r="AX91" i="1"/>
  <c r="AW84" i="1"/>
  <c r="AS68" i="1"/>
  <c r="AY68" i="1"/>
  <c r="AS70" i="1"/>
  <c r="BB70" i="1"/>
  <c r="BB67" i="1"/>
  <c r="AS67" i="1"/>
  <c r="AC63" i="1"/>
  <c r="AQ63" i="1" s="1"/>
  <c r="AY8" i="1"/>
  <c r="AC8" i="1"/>
  <c r="AP8" i="1" s="1"/>
  <c r="AW81" i="1"/>
  <c r="AN79" i="1"/>
  <c r="AS52" i="1"/>
  <c r="BB51" i="1"/>
  <c r="AY47" i="1"/>
  <c r="AY45" i="1"/>
  <c r="AY43" i="1"/>
  <c r="AV41" i="1"/>
  <c r="BB33" i="1"/>
  <c r="AY31" i="1"/>
  <c r="AY28" i="1"/>
  <c r="AS28" i="1"/>
  <c r="AY25" i="1"/>
  <c r="AS25" i="1"/>
  <c r="AY53" i="1"/>
  <c r="AV51" i="1"/>
  <c r="AW47" i="1"/>
  <c r="AC47" i="1"/>
  <c r="AK47" i="1" s="1"/>
  <c r="AN47" i="1" s="1"/>
  <c r="AO47" i="1" s="1"/>
  <c r="AC45" i="1"/>
  <c r="AC43" i="1"/>
  <c r="AC31" i="1"/>
  <c r="AP31" i="1" s="1"/>
  <c r="BB22" i="1"/>
  <c r="BB63" i="1"/>
  <c r="AS66" i="1"/>
  <c r="AS61" i="1"/>
  <c r="AC61" i="1"/>
  <c r="AY59" i="1"/>
  <c r="AN68" i="1"/>
  <c r="AK49" i="1"/>
  <c r="AN49" i="1" s="1"/>
  <c r="AO49" i="1" s="1"/>
  <c r="AC38" i="1"/>
  <c r="AP38" i="1" s="1"/>
  <c r="AY38" i="1"/>
  <c r="AS38" i="1"/>
  <c r="AN67" i="1"/>
  <c r="AO67" i="1" s="1"/>
  <c r="AW116" i="1"/>
  <c r="AY114" i="1"/>
  <c r="AC78" i="1"/>
  <c r="AX78" i="1"/>
  <c r="AV78" i="1"/>
  <c r="AS78" i="1"/>
  <c r="AY78" i="1"/>
  <c r="AW78" i="1"/>
  <c r="AC46" i="1"/>
  <c r="AT46" i="1" s="1"/>
  <c r="AX46" i="1"/>
  <c r="AW46" i="1"/>
  <c r="AS46" i="1"/>
  <c r="AY46" i="1"/>
  <c r="AV46" i="1"/>
  <c r="AC30" i="1"/>
  <c r="AP30" i="1" s="1"/>
  <c r="AY30" i="1"/>
  <c r="AS30" i="1"/>
  <c r="AV116" i="1"/>
  <c r="AY116" i="1"/>
  <c r="AX72" i="1"/>
  <c r="AW72" i="1"/>
  <c r="AS72" i="1"/>
  <c r="AY72" i="1"/>
  <c r="AV72" i="1"/>
  <c r="AK33" i="1"/>
  <c r="AN33" i="1" s="1"/>
  <c r="AO33" i="1" s="1"/>
  <c r="AY17" i="1"/>
  <c r="AC17" i="1"/>
  <c r="AP17" i="1" s="1"/>
  <c r="AS17" i="1"/>
  <c r="AS8" i="1"/>
  <c r="BB8" i="1"/>
  <c r="AS116" i="1"/>
  <c r="AV71" i="1"/>
  <c r="AX71" i="1"/>
  <c r="AS71" i="1"/>
  <c r="AY71" i="1"/>
  <c r="AW71" i="1"/>
  <c r="BB73" i="1"/>
  <c r="AY9" i="1"/>
  <c r="AC9" i="1"/>
  <c r="AP9" i="1" s="1"/>
  <c r="AS9" i="1"/>
  <c r="AX116" i="1"/>
  <c r="AX69" i="1"/>
  <c r="AS69" i="1"/>
  <c r="AW69" i="1"/>
  <c r="AY69" i="1"/>
  <c r="AS73" i="1"/>
  <c r="AC58" i="1"/>
  <c r="AK58" i="1" s="1"/>
  <c r="AN58" i="1" s="1"/>
  <c r="AO58" i="1" s="1"/>
  <c r="AX58" i="1"/>
  <c r="AS58" i="1"/>
  <c r="AY58" i="1"/>
  <c r="AV58" i="1"/>
  <c r="AW58" i="1"/>
  <c r="AV80" i="1"/>
  <c r="AS80" i="1"/>
  <c r="AY80" i="1"/>
  <c r="AX80" i="1"/>
  <c r="AT49" i="1"/>
  <c r="AK41" i="1"/>
  <c r="AN41" i="1" s="1"/>
  <c r="AO41" i="1" s="1"/>
  <c r="BB26" i="1"/>
  <c r="AS21" i="1"/>
  <c r="BB21" i="1"/>
  <c r="AY20" i="1"/>
  <c r="AS20" i="1"/>
  <c r="AT20" i="1"/>
  <c r="AS6" i="1"/>
  <c r="BB6" i="1"/>
  <c r="AV112" i="1"/>
  <c r="AV108" i="1"/>
  <c r="AV104" i="1"/>
  <c r="AV102" i="1"/>
  <c r="AV100" i="1"/>
  <c r="AV98" i="1"/>
  <c r="AV91" i="1"/>
  <c r="AV87" i="1"/>
  <c r="AV85" i="1"/>
  <c r="AV83" i="1"/>
  <c r="AV57" i="1"/>
  <c r="AS57" i="1"/>
  <c r="AX57" i="1"/>
  <c r="AV77" i="1"/>
  <c r="AW77" i="1"/>
  <c r="BB68" i="1"/>
  <c r="AX73" i="1"/>
  <c r="AV73" i="1"/>
  <c r="BB81" i="1"/>
  <c r="BB52" i="1"/>
  <c r="AV52" i="1"/>
  <c r="AC40" i="1"/>
  <c r="AX40" i="1"/>
  <c r="AY40" i="1"/>
  <c r="AS40" i="1"/>
  <c r="AV40" i="1"/>
  <c r="AC32" i="1"/>
  <c r="AP32" i="1" s="1"/>
  <c r="AY32" i="1"/>
  <c r="AS32" i="1"/>
  <c r="AS26" i="1"/>
  <c r="AY24" i="1"/>
  <c r="AS24" i="1"/>
  <c r="AC24" i="1"/>
  <c r="AP24" i="1" s="1"/>
  <c r="AS16" i="1"/>
  <c r="BB16" i="1"/>
  <c r="AS106" i="1"/>
  <c r="AC76" i="1"/>
  <c r="AK76" i="1" s="1"/>
  <c r="AN76" i="1" s="1"/>
  <c r="AO76" i="1" s="1"/>
  <c r="AX76" i="1"/>
  <c r="AV74" i="1"/>
  <c r="AS74" i="1"/>
  <c r="AX74" i="1"/>
  <c r="AN70" i="1"/>
  <c r="AO70" i="1" s="1"/>
  <c r="BB72" i="1"/>
  <c r="AV56" i="1"/>
  <c r="AS56" i="1"/>
  <c r="AX56" i="1"/>
  <c r="AC50" i="1"/>
  <c r="AT50" i="1" s="1"/>
  <c r="AX50" i="1"/>
  <c r="AW50" i="1"/>
  <c r="AS50" i="1"/>
  <c r="AY50" i="1"/>
  <c r="AV49" i="1"/>
  <c r="AW49" i="1"/>
  <c r="AS49" i="1"/>
  <c r="AX49" i="1"/>
  <c r="AC44" i="1"/>
  <c r="AK44" i="1" s="1"/>
  <c r="AN44" i="1" s="1"/>
  <c r="AO44" i="1" s="1"/>
  <c r="AX44" i="1"/>
  <c r="AY44" i="1"/>
  <c r="AS44" i="1"/>
  <c r="AV44" i="1"/>
  <c r="AC36" i="1"/>
  <c r="AY36" i="1"/>
  <c r="AS36" i="1"/>
  <c r="AW112" i="1"/>
  <c r="AW108" i="1"/>
  <c r="AW104" i="1"/>
  <c r="AW102" i="1"/>
  <c r="AW100" i="1"/>
  <c r="AW98" i="1"/>
  <c r="AW91" i="1"/>
  <c r="AW87" i="1"/>
  <c r="AW85" i="1"/>
  <c r="AW83" i="1"/>
  <c r="AC59" i="1"/>
  <c r="AP59" i="1" s="1"/>
  <c r="AS59" i="1"/>
  <c r="AY57" i="1"/>
  <c r="AC57" i="1"/>
  <c r="AC77" i="1"/>
  <c r="AK77" i="1" s="1"/>
  <c r="AN77" i="1" s="1"/>
  <c r="AO77" i="1" s="1"/>
  <c r="AY76" i="1"/>
  <c r="AS76" i="1"/>
  <c r="AV70" i="1"/>
  <c r="AW70" i="1"/>
  <c r="AC60" i="1"/>
  <c r="AP60" i="1" s="1"/>
  <c r="AX81" i="1"/>
  <c r="AV81" i="1"/>
  <c r="BB79" i="1"/>
  <c r="AS79" i="1"/>
  <c r="AC54" i="1"/>
  <c r="AT54" i="1" s="1"/>
  <c r="AX54" i="1"/>
  <c r="AW54" i="1"/>
  <c r="AS54" i="1"/>
  <c r="AY54" i="1"/>
  <c r="AV53" i="1"/>
  <c r="AW53" i="1"/>
  <c r="AS53" i="1"/>
  <c r="AX53" i="1"/>
  <c r="BB48" i="1"/>
  <c r="AV48" i="1"/>
  <c r="AW44" i="1"/>
  <c r="AC42" i="1"/>
  <c r="AX42" i="1"/>
  <c r="AY42" i="1"/>
  <c r="AS42" i="1"/>
  <c r="AV42" i="1"/>
  <c r="AC34" i="1"/>
  <c r="AP34" i="1" s="1"/>
  <c r="AY34" i="1"/>
  <c r="AS34" i="1"/>
  <c r="AS29" i="1"/>
  <c r="BB29" i="1"/>
  <c r="AK25" i="1"/>
  <c r="AN25" i="1" s="1"/>
  <c r="AO25" i="1" s="1"/>
  <c r="AK7" i="1"/>
  <c r="AN7" i="1" s="1"/>
  <c r="AO7" i="1" s="1"/>
  <c r="AN51" i="1"/>
  <c r="AO51" i="1" s="1"/>
  <c r="AK28" i="1"/>
  <c r="AN28" i="1" s="1"/>
  <c r="AO28" i="1" s="1"/>
  <c r="AT28" i="1"/>
  <c r="AY26" i="1"/>
  <c r="AC26" i="1"/>
  <c r="AY7" i="1"/>
  <c r="AS7" i="1"/>
  <c r="AK66" i="1"/>
  <c r="AN66" i="1" s="1"/>
  <c r="AO66" i="1" s="1"/>
  <c r="AT66" i="1"/>
  <c r="AN71" i="1"/>
  <c r="AO71" i="1" s="1"/>
  <c r="AX68" i="1"/>
  <c r="BB69" i="1"/>
  <c r="AN80" i="1"/>
  <c r="AO80" i="1" s="1"/>
  <c r="AX79" i="1"/>
  <c r="AT55" i="1"/>
  <c r="AC52" i="1"/>
  <c r="AK52" i="1" s="1"/>
  <c r="AN52" i="1" s="1"/>
  <c r="AO52" i="1" s="1"/>
  <c r="AX52" i="1"/>
  <c r="AT51" i="1"/>
  <c r="AC48" i="1"/>
  <c r="AK48" i="1" s="1"/>
  <c r="AN48" i="1" s="1"/>
  <c r="AO48" i="1" s="1"/>
  <c r="AX48" i="1"/>
  <c r="BB44" i="1"/>
  <c r="BB42" i="1"/>
  <c r="BB40" i="1"/>
  <c r="BB38" i="1"/>
  <c r="BB36" i="1"/>
  <c r="BB34" i="1"/>
  <c r="BB32" i="1"/>
  <c r="BB30" i="1"/>
  <c r="AS23" i="1"/>
  <c r="BB23" i="1"/>
  <c r="AY15" i="1"/>
  <c r="AS15" i="1"/>
  <c r="AS19" i="1"/>
  <c r="BB19" i="1"/>
  <c r="AY67" i="1"/>
  <c r="AV67" i="1"/>
  <c r="AY13" i="1"/>
  <c r="AY66" i="1"/>
  <c r="AV66" i="1"/>
  <c r="BB24" i="1"/>
  <c r="AS22" i="1"/>
  <c r="AT67" i="1"/>
  <c r="AS65" i="1"/>
  <c r="BB65" i="1"/>
  <c r="AY63" i="1"/>
  <c r="AS18" i="1"/>
  <c r="BB18" i="1"/>
  <c r="AS13" i="1"/>
  <c r="AY11" i="1"/>
  <c r="AS10" i="1"/>
  <c r="BB10" i="1"/>
  <c r="AK64" i="1"/>
  <c r="AN64" i="1" s="1"/>
  <c r="AO64" i="1" s="1"/>
  <c r="AT64" i="1"/>
  <c r="AL5" i="1"/>
  <c r="AM5" i="1"/>
  <c r="AL62" i="1"/>
  <c r="AM62" i="1"/>
  <c r="AM4" i="1"/>
  <c r="AL4" i="1"/>
  <c r="AK42" i="1" l="1"/>
  <c r="AN42" i="1" s="1"/>
  <c r="AO42" i="1" s="1"/>
  <c r="AQ42" i="1"/>
  <c r="AP36" i="1"/>
  <c r="AQ36" i="1"/>
  <c r="AK94" i="1"/>
  <c r="AN94" i="1" s="1"/>
  <c r="AO94" i="1" s="1"/>
  <c r="AQ94" i="1"/>
  <c r="AQ11" i="1"/>
  <c r="AP11" i="1"/>
  <c r="AK96" i="1"/>
  <c r="AN96" i="1" s="1"/>
  <c r="AO96" i="1" s="1"/>
  <c r="AQ96" i="1"/>
  <c r="AK92" i="1"/>
  <c r="AN92" i="1" s="1"/>
  <c r="AO92" i="1" s="1"/>
  <c r="AQ92" i="1"/>
  <c r="AK95" i="1"/>
  <c r="AN95" i="1" s="1"/>
  <c r="AO95" i="1" s="1"/>
  <c r="AQ95" i="1"/>
  <c r="AP61" i="1"/>
  <c r="AQ61" i="1"/>
  <c r="AP65" i="1"/>
  <c r="AQ65" i="1"/>
  <c r="AQ113" i="1"/>
  <c r="AP113" i="1"/>
  <c r="AT31" i="1"/>
  <c r="AQ31" i="1"/>
  <c r="AK63" i="1"/>
  <c r="AN63" i="1" s="1"/>
  <c r="AO63" i="1" s="1"/>
  <c r="AP63" i="1"/>
  <c r="AK12" i="1"/>
  <c r="AN12" i="1" s="1"/>
  <c r="AO12" i="1" s="1"/>
  <c r="AP12" i="1"/>
  <c r="AT22" i="1"/>
  <c r="AQ22" i="1"/>
  <c r="AK8" i="1"/>
  <c r="AN8" i="1" s="1"/>
  <c r="AO8" i="1" s="1"/>
  <c r="AQ8" i="1"/>
  <c r="AK37" i="1"/>
  <c r="AN37" i="1" s="1"/>
  <c r="AO37" i="1" s="1"/>
  <c r="AP37" i="1"/>
  <c r="AK16" i="1"/>
  <c r="AN16" i="1" s="1"/>
  <c r="AO16" i="1" s="1"/>
  <c r="AP16" i="1"/>
  <c r="AT39" i="1"/>
  <c r="AP39" i="1"/>
  <c r="AK29" i="1"/>
  <c r="AN29" i="1" s="1"/>
  <c r="AO29" i="1" s="1"/>
  <c r="AQ29" i="1"/>
  <c r="AK32" i="1"/>
  <c r="AN32" i="1" s="1"/>
  <c r="AO32" i="1" s="1"/>
  <c r="AQ32" i="1"/>
  <c r="AK18" i="1"/>
  <c r="AN18" i="1" s="1"/>
  <c r="AO18" i="1" s="1"/>
  <c r="AP18" i="1"/>
  <c r="AK38" i="1"/>
  <c r="AN38" i="1" s="1"/>
  <c r="AO38" i="1" s="1"/>
  <c r="AQ38" i="1"/>
  <c r="AK26" i="1"/>
  <c r="AN26" i="1" s="1"/>
  <c r="AO26" i="1" s="1"/>
  <c r="AP26" i="1"/>
  <c r="AK24" i="1"/>
  <c r="AN24" i="1" s="1"/>
  <c r="AO24" i="1" s="1"/>
  <c r="AQ24" i="1"/>
  <c r="AK30" i="1"/>
  <c r="AN30" i="1" s="1"/>
  <c r="AO30" i="1" s="1"/>
  <c r="AQ30" i="1"/>
  <c r="AK40" i="1"/>
  <c r="AN40" i="1" s="1"/>
  <c r="AO40" i="1" s="1"/>
  <c r="AU105" i="1"/>
  <c r="AU89" i="1"/>
  <c r="AU81" i="1"/>
  <c r="AO81" i="1"/>
  <c r="AU20" i="1"/>
  <c r="AO20" i="1"/>
  <c r="AU116" i="1"/>
  <c r="AO116" i="1"/>
  <c r="AU115" i="1"/>
  <c r="AU90" i="1"/>
  <c r="AU72" i="1"/>
  <c r="AO72" i="1"/>
  <c r="AU21" i="1"/>
  <c r="AO21" i="1"/>
  <c r="AU117" i="1"/>
  <c r="AO117" i="1"/>
  <c r="AU68" i="1"/>
  <c r="AO68" i="1"/>
  <c r="AU79" i="1"/>
  <c r="AO79" i="1"/>
  <c r="AU114" i="1"/>
  <c r="AO114" i="1"/>
  <c r="AU106" i="1"/>
  <c r="AU97" i="1"/>
  <c r="AU91" i="1"/>
  <c r="AK34" i="1"/>
  <c r="AN34" i="1" s="1"/>
  <c r="AO34" i="1" s="1"/>
  <c r="AK100" i="1"/>
  <c r="AN100" i="1" s="1"/>
  <c r="AO100" i="1" s="1"/>
  <c r="AT100" i="1"/>
  <c r="AK112" i="1"/>
  <c r="AN112" i="1" s="1"/>
  <c r="AO112" i="1" s="1"/>
  <c r="AT112" i="1"/>
  <c r="AK88" i="1"/>
  <c r="AN88" i="1" s="1"/>
  <c r="AO88" i="1" s="1"/>
  <c r="AT88" i="1"/>
  <c r="AK103" i="1"/>
  <c r="AN103" i="1" s="1"/>
  <c r="AO103" i="1" s="1"/>
  <c r="AT103" i="1"/>
  <c r="AK85" i="1"/>
  <c r="AN85" i="1" s="1"/>
  <c r="AO85" i="1" s="1"/>
  <c r="AT85" i="1"/>
  <c r="AK109" i="1"/>
  <c r="AN109" i="1" s="1"/>
  <c r="AO109" i="1" s="1"/>
  <c r="AT109" i="1"/>
  <c r="AK13" i="1"/>
  <c r="AN13" i="1" s="1"/>
  <c r="AO13" i="1" s="1"/>
  <c r="AK82" i="1"/>
  <c r="AN82" i="1" s="1"/>
  <c r="AO82" i="1" s="1"/>
  <c r="AT82" i="1"/>
  <c r="AK87" i="1"/>
  <c r="AN87" i="1" s="1"/>
  <c r="AO87" i="1" s="1"/>
  <c r="AT87" i="1"/>
  <c r="AK98" i="1"/>
  <c r="AN98" i="1" s="1"/>
  <c r="AO98" i="1" s="1"/>
  <c r="AT98" i="1"/>
  <c r="AT91" i="1"/>
  <c r="AK78" i="1"/>
  <c r="AN78" i="1" s="1"/>
  <c r="AO78" i="1" s="1"/>
  <c r="AK83" i="1"/>
  <c r="AN83" i="1" s="1"/>
  <c r="AO83" i="1" s="1"/>
  <c r="AT83" i="1"/>
  <c r="AK86" i="1"/>
  <c r="AN86" i="1" s="1"/>
  <c r="AO86" i="1" s="1"/>
  <c r="AT86" i="1"/>
  <c r="AK11" i="1"/>
  <c r="AN11" i="1" s="1"/>
  <c r="AO11" i="1" s="1"/>
  <c r="AK23" i="1"/>
  <c r="AN23" i="1" s="1"/>
  <c r="AO23" i="1" s="1"/>
  <c r="AK99" i="1"/>
  <c r="AN99" i="1" s="1"/>
  <c r="AO99" i="1" s="1"/>
  <c r="AT99" i="1"/>
  <c r="AK104" i="1"/>
  <c r="AN104" i="1" s="1"/>
  <c r="AO104" i="1" s="1"/>
  <c r="AT104" i="1"/>
  <c r="AK101" i="1"/>
  <c r="AN101" i="1" s="1"/>
  <c r="AO101" i="1" s="1"/>
  <c r="AT101" i="1"/>
  <c r="AK14" i="1"/>
  <c r="AN14" i="1" s="1"/>
  <c r="AK107" i="1"/>
  <c r="AN107" i="1" s="1"/>
  <c r="AO107" i="1" s="1"/>
  <c r="AT107" i="1"/>
  <c r="AK36" i="1"/>
  <c r="AN36" i="1" s="1"/>
  <c r="AO36" i="1" s="1"/>
  <c r="AK102" i="1"/>
  <c r="AN102" i="1" s="1"/>
  <c r="AO102" i="1" s="1"/>
  <c r="AT102" i="1"/>
  <c r="AK113" i="1"/>
  <c r="AN113" i="1" s="1"/>
  <c r="AO113" i="1" s="1"/>
  <c r="AT113" i="1"/>
  <c r="AT19" i="1"/>
  <c r="AK84" i="1"/>
  <c r="AN84" i="1" s="1"/>
  <c r="AO84" i="1" s="1"/>
  <c r="AT84" i="1"/>
  <c r="AK108" i="1"/>
  <c r="AN108" i="1" s="1"/>
  <c r="AO108" i="1" s="1"/>
  <c r="AT108" i="1"/>
  <c r="AU69" i="1"/>
  <c r="AT29" i="1"/>
  <c r="AK19" i="1"/>
  <c r="AN19" i="1" s="1"/>
  <c r="AO19" i="1" s="1"/>
  <c r="AK22" i="1"/>
  <c r="AN22" i="1" s="1"/>
  <c r="AO22" i="1" s="1"/>
  <c r="AT37" i="1"/>
  <c r="AT47" i="1"/>
  <c r="AK39" i="1"/>
  <c r="AN39" i="1" s="1"/>
  <c r="AO39" i="1" s="1"/>
  <c r="AT48" i="1"/>
  <c r="AT52" i="1"/>
  <c r="AT32" i="1"/>
  <c r="AK31" i="1"/>
  <c r="AN31" i="1" s="1"/>
  <c r="AT44" i="1"/>
  <c r="AK43" i="1"/>
  <c r="AN43" i="1" s="1"/>
  <c r="AU73" i="1"/>
  <c r="AK65" i="1"/>
  <c r="AN65" i="1" s="1"/>
  <c r="AO65" i="1" s="1"/>
  <c r="AT65" i="1"/>
  <c r="AT30" i="1"/>
  <c r="AT23" i="1"/>
  <c r="AT34" i="1"/>
  <c r="AK45" i="1"/>
  <c r="AN45" i="1" s="1"/>
  <c r="AO45" i="1" s="1"/>
  <c r="AK35" i="1"/>
  <c r="AN35" i="1" s="1"/>
  <c r="AO35" i="1" s="1"/>
  <c r="AT43" i="1"/>
  <c r="AT35" i="1"/>
  <c r="AT38" i="1"/>
  <c r="AT45" i="1"/>
  <c r="AT63" i="1"/>
  <c r="AK6" i="1"/>
  <c r="AN6" i="1" s="1"/>
  <c r="AO6" i="1" s="1"/>
  <c r="AT56" i="1"/>
  <c r="AK61" i="1"/>
  <c r="AN61" i="1" s="1"/>
  <c r="AO61" i="1" s="1"/>
  <c r="AT61" i="1"/>
  <c r="AK57" i="1"/>
  <c r="AN57" i="1" s="1"/>
  <c r="AO57" i="1" s="1"/>
  <c r="AT57" i="1"/>
  <c r="AK59" i="1"/>
  <c r="AN59" i="1" s="1"/>
  <c r="AO59" i="1" s="1"/>
  <c r="AT59" i="1"/>
  <c r="AU41" i="1"/>
  <c r="AU49" i="1"/>
  <c r="AU66" i="1"/>
  <c r="AU33" i="1"/>
  <c r="AU74" i="1"/>
  <c r="AU15" i="1"/>
  <c r="AU28" i="1"/>
  <c r="AU7" i="1"/>
  <c r="AU42" i="1"/>
  <c r="AU77" i="1"/>
  <c r="AU53" i="1"/>
  <c r="AU55" i="1"/>
  <c r="AU10" i="1"/>
  <c r="AU44" i="1"/>
  <c r="AK46" i="1"/>
  <c r="AN46" i="1" s="1"/>
  <c r="AO46" i="1" s="1"/>
  <c r="AU67" i="1"/>
  <c r="AT26" i="1"/>
  <c r="AU48" i="1"/>
  <c r="AU52" i="1"/>
  <c r="AU80" i="1"/>
  <c r="AK54" i="1"/>
  <c r="AN54" i="1" s="1"/>
  <c r="AO54" i="1" s="1"/>
  <c r="AU70" i="1"/>
  <c r="AT24" i="1"/>
  <c r="AT40" i="1"/>
  <c r="AT58" i="1"/>
  <c r="AU64" i="1"/>
  <c r="AU51" i="1"/>
  <c r="AU25" i="1"/>
  <c r="AK60" i="1"/>
  <c r="AN60" i="1" s="1"/>
  <c r="AO60" i="1" s="1"/>
  <c r="AT60" i="1"/>
  <c r="AU75" i="1"/>
  <c r="AU56" i="1"/>
  <c r="AU71" i="1"/>
  <c r="AU47" i="1"/>
  <c r="AT42" i="1"/>
  <c r="AT36" i="1"/>
  <c r="AK50" i="1"/>
  <c r="AN50" i="1" s="1"/>
  <c r="AO50" i="1" s="1"/>
  <c r="AU76" i="1"/>
  <c r="AU58" i="1"/>
  <c r="AK9" i="1"/>
  <c r="AN9" i="1" s="1"/>
  <c r="AO9" i="1" s="1"/>
  <c r="AK17" i="1"/>
  <c r="AN17" i="1" s="1"/>
  <c r="AO17" i="1" s="1"/>
  <c r="F6" i="6"/>
  <c r="F3" i="6"/>
  <c r="E6" i="6"/>
  <c r="E3" i="6"/>
  <c r="AU92" i="1" l="1"/>
  <c r="AU95" i="1"/>
  <c r="AU94" i="1"/>
  <c r="AU96" i="1"/>
  <c r="AU29" i="1"/>
  <c r="AU18" i="1"/>
  <c r="AU12" i="1"/>
  <c r="AU37" i="1"/>
  <c r="AU30" i="1"/>
  <c r="AU8" i="1"/>
  <c r="AU16" i="1"/>
  <c r="AU24" i="1"/>
  <c r="AU63" i="1"/>
  <c r="AU38" i="1"/>
  <c r="AU32" i="1"/>
  <c r="AU26" i="1"/>
  <c r="AU40" i="1"/>
  <c r="AU22" i="1"/>
  <c r="AU78" i="1"/>
  <c r="AU34" i="1"/>
  <c r="AU23" i="1"/>
  <c r="AU13" i="1"/>
  <c r="AU11" i="1"/>
  <c r="AU31" i="1"/>
  <c r="AO31" i="1"/>
  <c r="AU36" i="1"/>
  <c r="AU43" i="1"/>
  <c r="AO43" i="1"/>
  <c r="AU14" i="1"/>
  <c r="AO14" i="1"/>
  <c r="AU102" i="1"/>
  <c r="AU107" i="1"/>
  <c r="AU104" i="1"/>
  <c r="AU87" i="1"/>
  <c r="AU85" i="1"/>
  <c r="AU88" i="1"/>
  <c r="AU100" i="1"/>
  <c r="AU113" i="1"/>
  <c r="AU99" i="1"/>
  <c r="AU98" i="1"/>
  <c r="AU82" i="1"/>
  <c r="AU109" i="1"/>
  <c r="AU103" i="1"/>
  <c r="AU84" i="1"/>
  <c r="AU86" i="1"/>
  <c r="AU108" i="1"/>
  <c r="AU101" i="1"/>
  <c r="AU83" i="1"/>
  <c r="AU112" i="1"/>
  <c r="AU19" i="1"/>
  <c r="AU39" i="1"/>
  <c r="AU35" i="1"/>
  <c r="AU65" i="1"/>
  <c r="AU45" i="1"/>
  <c r="AU6" i="1"/>
  <c r="AU57" i="1"/>
  <c r="AU59" i="1"/>
  <c r="AU61" i="1"/>
  <c r="AU50" i="1"/>
  <c r="AU54" i="1"/>
  <c r="AU46" i="1"/>
  <c r="AU60" i="1"/>
  <c r="AU17" i="1"/>
  <c r="AU9" i="1"/>
  <c r="AO2" i="1" l="1"/>
  <c r="AP2" i="1" l="1"/>
  <c r="AQ2" i="1" l="1"/>
  <c r="AN2" i="1"/>
  <c r="AT2" i="1" l="1"/>
  <c r="C80" i="1"/>
  <c r="AT80" i="1" s="1"/>
  <c r="C79" i="1"/>
  <c r="AT79" i="1" s="1"/>
  <c r="C73" i="1"/>
  <c r="C68" i="1"/>
  <c r="C74" i="1"/>
  <c r="C72" i="1"/>
  <c r="C69" i="1"/>
  <c r="C75" i="1"/>
  <c r="C70" i="1"/>
  <c r="C81" i="1"/>
  <c r="AT81" i="1" s="1"/>
  <c r="AG5" i="1" l="1"/>
  <c r="AG62" i="1"/>
  <c r="AG4" i="1"/>
  <c r="AD4" i="1" l="1"/>
  <c r="BB4" i="1"/>
  <c r="AF4" i="1"/>
  <c r="AR4" i="1"/>
  <c r="AD5" i="1"/>
  <c r="BB5" i="1"/>
  <c r="AF5" i="1"/>
  <c r="AR5" i="1"/>
  <c r="AD62" i="1"/>
  <c r="AF62" i="1"/>
  <c r="AR62" i="1"/>
  <c r="AB4" i="1"/>
  <c r="AC4" i="1" s="1"/>
  <c r="AK4" i="1" s="1"/>
  <c r="AN4" i="1" s="1"/>
  <c r="AB5" i="1"/>
  <c r="AB62" i="1"/>
  <c r="AT4" i="1" l="1"/>
  <c r="AC5" i="1"/>
  <c r="AK5" i="1" s="1"/>
  <c r="AN5" i="1" s="1"/>
  <c r="BB62" i="1"/>
  <c r="AS4" i="1"/>
  <c r="AX4" i="1"/>
  <c r="AY4" i="1"/>
  <c r="AV4" i="1"/>
  <c r="AW4" i="1"/>
  <c r="AY62" i="1"/>
  <c r="AC62" i="1"/>
  <c r="AS62" i="1"/>
  <c r="AX5" i="1"/>
  <c r="AY5" i="1"/>
  <c r="AV5" i="1"/>
  <c r="AS5" i="1"/>
  <c r="AW5" i="1"/>
  <c r="AU4" i="1"/>
  <c r="C11" i="1"/>
  <c r="AT11" i="1" s="1"/>
  <c r="C16" i="1"/>
  <c r="AT16" i="1" s="1"/>
  <c r="C18" i="1"/>
  <c r="AT18" i="1" s="1"/>
  <c r="C77" i="1"/>
  <c r="C12" i="1"/>
  <c r="AT12" i="1" s="1"/>
  <c r="C14" i="1"/>
  <c r="AT14" i="1" s="1"/>
  <c r="C15" i="1"/>
  <c r="AT15" i="1" s="1"/>
  <c r="C17" i="1"/>
  <c r="AT17" i="1" s="1"/>
  <c r="C6" i="1"/>
  <c r="AT6" i="1" s="1"/>
  <c r="C7" i="1"/>
  <c r="AT7" i="1" s="1"/>
  <c r="C8" i="1"/>
  <c r="AT8" i="1" s="1"/>
  <c r="C9" i="1"/>
  <c r="AT9" i="1" s="1"/>
  <c r="C10" i="1"/>
  <c r="AT10" i="1" s="1"/>
  <c r="C13" i="1"/>
  <c r="AT13" i="1" s="1"/>
  <c r="C78" i="1"/>
  <c r="AT78" i="1" s="1"/>
  <c r="C76" i="1"/>
  <c r="AP62" i="1" l="1"/>
  <c r="AQ62" i="1"/>
  <c r="AK62" i="1"/>
  <c r="AN62" i="1" s="1"/>
  <c r="AO62" i="1" s="1"/>
  <c r="AT62" i="1"/>
  <c r="AT5" i="1"/>
  <c r="AU62" i="1" l="1"/>
  <c r="AU5" i="1"/>
  <c r="AX1" i="1"/>
  <c r="AW1" i="1"/>
  <c r="AW93" i="1" l="1"/>
  <c r="AW123" i="1"/>
  <c r="AW122" i="1"/>
  <c r="AX93" i="1"/>
  <c r="AX122" i="1"/>
  <c r="AX123" i="1"/>
  <c r="AW110" i="1"/>
  <c r="AW111" i="1"/>
  <c r="AX110" i="1"/>
  <c r="AX111" i="1"/>
  <c r="AW125" i="1"/>
  <c r="AW119" i="1"/>
  <c r="AW127" i="1"/>
  <c r="AW124" i="1"/>
  <c r="AW120" i="1"/>
  <c r="AW121" i="1"/>
  <c r="AW118" i="1"/>
  <c r="AW55" i="1"/>
  <c r="AX118" i="1"/>
  <c r="AX124" i="1"/>
  <c r="AX125" i="1"/>
  <c r="AX119" i="1"/>
  <c r="AX120" i="1"/>
  <c r="AX127" i="1"/>
  <c r="AX121" i="1"/>
  <c r="AX55" i="1"/>
  <c r="AW117" i="1"/>
  <c r="AW97" i="1"/>
  <c r="AW25" i="1"/>
  <c r="AW34" i="1"/>
  <c r="AW20" i="1"/>
  <c r="AW63" i="1"/>
  <c r="AW19" i="1"/>
  <c r="AW39" i="1"/>
  <c r="AW6" i="1"/>
  <c r="AW30" i="1"/>
  <c r="AW17" i="1"/>
  <c r="AW9" i="1"/>
  <c r="AW24" i="1"/>
  <c r="AW59" i="1"/>
  <c r="AW11" i="1"/>
  <c r="AW18" i="1"/>
  <c r="AW35" i="1"/>
  <c r="AW38" i="1"/>
  <c r="AW96" i="1"/>
  <c r="AW26" i="1"/>
  <c r="AW109" i="1"/>
  <c r="AW12" i="1"/>
  <c r="AW28" i="1"/>
  <c r="AW114" i="1"/>
  <c r="AW21" i="1"/>
  <c r="AW95" i="1"/>
  <c r="AW33" i="1"/>
  <c r="AW37" i="1"/>
  <c r="AW16" i="1"/>
  <c r="AW65" i="1"/>
  <c r="AW106" i="1"/>
  <c r="AW89" i="1"/>
  <c r="AW61" i="1"/>
  <c r="AW36" i="1"/>
  <c r="AW7" i="1"/>
  <c r="AW32" i="1"/>
  <c r="AW113" i="1"/>
  <c r="AW31" i="1"/>
  <c r="AW115" i="1"/>
  <c r="AW92" i="1"/>
  <c r="AW64" i="1"/>
  <c r="AW29" i="1"/>
  <c r="AW10" i="1"/>
  <c r="AW22" i="1"/>
  <c r="AW15" i="1"/>
  <c r="AW14" i="1"/>
  <c r="AW60" i="1"/>
  <c r="AW23" i="1"/>
  <c r="AW94" i="1"/>
  <c r="AW13" i="1"/>
  <c r="AW8" i="1"/>
  <c r="AX61" i="1"/>
  <c r="AX59" i="1"/>
  <c r="AX109" i="1"/>
  <c r="AX113" i="1"/>
  <c r="AX31" i="1"/>
  <c r="AX39" i="1"/>
  <c r="AX95" i="1"/>
  <c r="AX11" i="1"/>
  <c r="AX16" i="1"/>
  <c r="AX18" i="1"/>
  <c r="AX30" i="1"/>
  <c r="AX22" i="1"/>
  <c r="AX23" i="1"/>
  <c r="AX65" i="1"/>
  <c r="AX10" i="1"/>
  <c r="AX20" i="1"/>
  <c r="AX115" i="1"/>
  <c r="AX60" i="1"/>
  <c r="AX13" i="1"/>
  <c r="AX14" i="1"/>
  <c r="AX92" i="1"/>
  <c r="AX33" i="1"/>
  <c r="AX114" i="1"/>
  <c r="AX63" i="1"/>
  <c r="AX8" i="1"/>
  <c r="AX19" i="1"/>
  <c r="AX17" i="1"/>
  <c r="AX9" i="1"/>
  <c r="AX36" i="1"/>
  <c r="AX26" i="1"/>
  <c r="AX29" i="1"/>
  <c r="AX25" i="1"/>
  <c r="AX97" i="1"/>
  <c r="AX38" i="1"/>
  <c r="AX32" i="1"/>
  <c r="AX24" i="1"/>
  <c r="AX7" i="1"/>
  <c r="AX94" i="1"/>
  <c r="AX64" i="1"/>
  <c r="AX12" i="1"/>
  <c r="AX28" i="1"/>
  <c r="AX21" i="1"/>
  <c r="AX106" i="1"/>
  <c r="AX96" i="1"/>
  <c r="AX89" i="1"/>
  <c r="AX37" i="1"/>
  <c r="AX35" i="1"/>
  <c r="AX117" i="1"/>
  <c r="AX15" i="1"/>
  <c r="AX6" i="1"/>
  <c r="AX34" i="1"/>
  <c r="AW62" i="1"/>
  <c r="AX62" i="1"/>
  <c r="B62" i="1"/>
  <c r="B5" i="1"/>
  <c r="B76" i="1"/>
  <c r="B8" i="1"/>
  <c r="B9" i="1"/>
  <c r="B11" i="1"/>
  <c r="B7" i="1"/>
  <c r="B16" i="1"/>
  <c r="B18" i="1"/>
  <c r="B14" i="1"/>
  <c r="B12" i="1"/>
  <c r="B64" i="1"/>
  <c r="B77" i="1"/>
  <c r="B66" i="1"/>
  <c r="B78" i="1"/>
  <c r="B13" i="1"/>
  <c r="B10" i="1"/>
  <c r="B4" i="1"/>
  <c r="B6" i="1" l="1"/>
  <c r="AV1" i="1"/>
  <c r="AV93" i="1" l="1"/>
  <c r="AV122" i="1"/>
  <c r="AV123" i="1"/>
  <c r="AV110" i="1"/>
  <c r="AV111" i="1"/>
  <c r="AV118" i="1"/>
  <c r="AV127" i="1"/>
  <c r="AV125" i="1"/>
  <c r="AV124" i="1"/>
  <c r="AV119" i="1"/>
  <c r="AV120" i="1"/>
  <c r="AV121" i="1"/>
  <c r="AV55" i="1"/>
  <c r="AV59" i="1"/>
  <c r="AV113" i="1"/>
  <c r="AV10" i="1"/>
  <c r="AV22" i="1"/>
  <c r="AV28" i="1"/>
  <c r="AV106" i="1"/>
  <c r="AV89" i="1"/>
  <c r="AV61" i="1"/>
  <c r="AV36" i="1"/>
  <c r="AV24" i="1"/>
  <c r="AV13" i="1"/>
  <c r="AV37" i="1"/>
  <c r="AV35" i="1"/>
  <c r="AV8" i="1"/>
  <c r="AV9" i="1"/>
  <c r="AV94" i="1"/>
  <c r="AV34" i="1"/>
  <c r="AV64" i="1"/>
  <c r="AV117" i="1"/>
  <c r="AV65" i="1"/>
  <c r="AV25" i="1"/>
  <c r="AV38" i="1"/>
  <c r="AV114" i="1"/>
  <c r="AV21" i="1"/>
  <c r="AV6" i="1"/>
  <c r="AV96" i="1"/>
  <c r="AV32" i="1"/>
  <c r="AV60" i="1"/>
  <c r="AV26" i="1"/>
  <c r="AV7" i="1"/>
  <c r="AV11" i="1"/>
  <c r="AV109" i="1"/>
  <c r="AV18" i="1"/>
  <c r="AV31" i="1"/>
  <c r="AV115" i="1"/>
  <c r="AV97" i="1"/>
  <c r="AV33" i="1"/>
  <c r="AV17" i="1"/>
  <c r="AV15" i="1"/>
  <c r="AV92" i="1"/>
  <c r="AV14" i="1"/>
  <c r="AV12" i="1"/>
  <c r="AV39" i="1"/>
  <c r="AV95" i="1"/>
  <c r="AV16" i="1"/>
  <c r="AV23" i="1"/>
  <c r="AV29" i="1"/>
  <c r="AV19" i="1"/>
  <c r="AV30" i="1"/>
  <c r="AV20" i="1"/>
  <c r="AV63" i="1"/>
  <c r="AV62" i="1"/>
  <c r="B15" i="1"/>
  <c r="B17" i="1"/>
  <c r="AI3" i="1" l="1"/>
  <c r="AH3" i="1"/>
  <c r="B5" i="2"/>
  <c r="D3" i="2"/>
  <c r="H20" i="4"/>
  <c r="H21" i="4"/>
  <c r="H22" i="4"/>
  <c r="H19" i="4"/>
  <c r="I22" i="4"/>
  <c r="I21" i="4"/>
  <c r="I20" i="4"/>
  <c r="I19" i="4"/>
  <c r="E8" i="4"/>
  <c r="H8" i="4" s="1"/>
  <c r="I8" i="4"/>
  <c r="H9" i="4"/>
  <c r="I9" i="4"/>
  <c r="E10" i="4"/>
  <c r="I10" i="4"/>
  <c r="H10" i="4"/>
  <c r="H11" i="4"/>
  <c r="I11" i="4"/>
  <c r="D17" i="3"/>
  <c r="D18" i="3"/>
</calcChain>
</file>

<file path=xl/comments1.xml><?xml version="1.0" encoding="utf-8"?>
<comments xmlns="http://schemas.openxmlformats.org/spreadsheetml/2006/main">
  <authors>
    <author>afsharn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afsharn:</t>
        </r>
        <r>
          <rPr>
            <sz val="9"/>
            <color indexed="81"/>
            <rFont val="Tahoma"/>
            <family val="2"/>
          </rPr>
          <t xml:space="preserve">
pmac internal</t>
        </r>
      </text>
    </comment>
  </commentList>
</comments>
</file>

<file path=xl/sharedStrings.xml><?xml version="1.0" encoding="utf-8"?>
<sst xmlns="http://schemas.openxmlformats.org/spreadsheetml/2006/main" count="2393" uniqueCount="823">
  <si>
    <t>RaScan</t>
  </si>
  <si>
    <t>Module</t>
  </si>
  <si>
    <t>Definition</t>
  </si>
  <si>
    <t>Controller governed X-Y PassCan</t>
  </si>
  <si>
    <t>Kinematic definitions</t>
  </si>
  <si>
    <t>Function</t>
  </si>
  <si>
    <t>PMAC</t>
  </si>
  <si>
    <t>Definied</t>
  </si>
  <si>
    <t>m1</t>
  </si>
  <si>
    <t>m2</t>
  </si>
  <si>
    <t>m3</t>
  </si>
  <si>
    <t>m4</t>
  </si>
  <si>
    <t>X</t>
  </si>
  <si>
    <t>Y</t>
  </si>
  <si>
    <t>BACKWARD multiplier</t>
  </si>
  <si>
    <t>k_Yth</t>
  </si>
  <si>
    <t>Deg</t>
  </si>
  <si>
    <t>T_X_Gear</t>
  </si>
  <si>
    <t>Deg/mm</t>
  </si>
  <si>
    <t>Pos FORWARD</t>
  </si>
  <si>
    <t>Pos INVERSE</t>
  </si>
  <si>
    <t>10000*YY</t>
  </si>
  <si>
    <t>XX*-sin(Yth)</t>
  </si>
  <si>
    <t>XX*cos(Yth)+YY</t>
  </si>
  <si>
    <t>Epics</t>
  </si>
  <si>
    <t>Description</t>
  </si>
  <si>
    <t>Flags</t>
  </si>
  <si>
    <t>enum</t>
  </si>
  <si>
    <t>EPICS DB</t>
  </si>
  <si>
    <t>EPICS Format</t>
  </si>
  <si>
    <t>pmac Code</t>
  </si>
  <si>
    <t>p</t>
  </si>
  <si>
    <t>int</t>
  </si>
  <si>
    <t>gs</t>
  </si>
  <si>
    <t>real</t>
  </si>
  <si>
    <t>g</t>
  </si>
  <si>
    <t>Num_Formats</t>
  </si>
  <si>
    <t>EPICS_Formats</t>
  </si>
  <si>
    <t>Max pmac integer</t>
  </si>
  <si>
    <t>%s</t>
  </si>
  <si>
    <t>%d</t>
  </si>
  <si>
    <t>none</t>
  </si>
  <si>
    <t>%f</t>
  </si>
  <si>
    <t>string</t>
  </si>
  <si>
    <t>Changed</t>
  </si>
  <si>
    <t>expand("pmacRascanGSVar.vdb", GSVar~VAR) {
  macro(VAR, "~VAR")
  macro(EGU, "~EGU")
  macro(P, "$(P)")
  macro(Q, ":~PVNAME")
  macro(PORT, "$(PORT)")
  macro(CanGet, "~CANGET")
  macro(CanSet, "~CANSET")
  macro(PREC, "$(PREC=~PREC)")
  macro(DESC,"~DESC")
}</t>
  </si>
  <si>
    <t>Archiver</t>
  </si>
  <si>
    <t xml:space="preserve">      &lt;channel&gt;
         &lt;name&gt;~PREFIX~PVNAME&lt;/name&gt;
         &lt;period&gt;~PERIOD&lt;/period&gt;
         &lt;monitor/&gt;
      &lt;/channel&gt;</t>
  </si>
  <si>
    <t xml:space="preserve">Key                                 </t>
  </si>
  <si>
    <t xml:space="preserve">Type  </t>
  </si>
  <si>
    <t xml:space="preserve">Value                 </t>
  </si>
  <si>
    <t xml:space="preserve">Default value         </t>
  </si>
  <si>
    <t xml:space="preserve">Name                   </t>
  </si>
  <si>
    <t xml:space="preserve">    Min</t>
  </si>
  <si>
    <t xml:space="preserve">         Max</t>
  </si>
  <si>
    <t xml:space="preserve">   Inc</t>
  </si>
  <si>
    <t xml:space="preserve">Units  </t>
  </si>
  <si>
    <t>Access</t>
  </si>
  <si>
    <t>Source</t>
  </si>
  <si>
    <t>Options</t>
  </si>
  <si>
    <t xml:space="preserve">afe.attn                            </t>
  </si>
  <si>
    <t>option</t>
  </si>
  <si>
    <t xml:space="preserve">-6dB                  </t>
  </si>
  <si>
    <t xml:space="preserve">0dB                   </t>
  </si>
  <si>
    <t xml:space="preserve">Attenuation         </t>
  </si>
  <si>
    <t xml:space="preserve">      -</t>
  </si>
  <si>
    <t xml:space="preserve">           -</t>
  </si>
  <si>
    <t xml:space="preserve">     -</t>
  </si>
  <si>
    <t xml:space="preserve">       </t>
  </si>
  <si>
    <t>r/w</t>
  </si>
  <si>
    <t>brd</t>
  </si>
  <si>
    <t>[0dB, -6dB, ground]</t>
  </si>
  <si>
    <t xml:space="preserve">afe.coupling                        </t>
  </si>
  <si>
    <t xml:space="preserve">ac                    </t>
  </si>
  <si>
    <t xml:space="preserve">Coupling            </t>
  </si>
  <si>
    <t>[ac, dc]</t>
  </si>
  <si>
    <t xml:space="preserve">afe.dacGain                         </t>
  </si>
  <si>
    <t>float</t>
  </si>
  <si>
    <t xml:space="preserve">Gain                </t>
  </si>
  <si>
    <t xml:space="preserve">afe.dacOffset                       </t>
  </si>
  <si>
    <t xml:space="preserve">Offset              </t>
  </si>
  <si>
    <t xml:space="preserve">afe.decayTime                       </t>
  </si>
  <si>
    <t xml:space="preserve">short                 </t>
  </si>
  <si>
    <t xml:space="preserve">Decay time          </t>
  </si>
  <si>
    <t>[long, medium, short, very-short]</t>
  </si>
  <si>
    <t xml:space="preserve">afe.invert                          </t>
  </si>
  <si>
    <t>bool</t>
  </si>
  <si>
    <t xml:space="preserve">false                 </t>
  </si>
  <si>
    <t xml:space="preserve">Invert              </t>
  </si>
  <si>
    <t xml:space="preserve">afe.sampleRate                      </t>
  </si>
  <si>
    <t xml:space="preserve">-                   </t>
  </si>
  <si>
    <t xml:space="preserve">Sample Rate         </t>
  </si>
  <si>
    <t xml:space="preserve">Mhz    </t>
  </si>
  <si>
    <t>r/o</t>
  </si>
  <si>
    <t>-</t>
  </si>
  <si>
    <t xml:space="preserve">afe.termination                     </t>
  </si>
  <si>
    <t xml:space="preserve">1kohm                 </t>
  </si>
  <si>
    <t xml:space="preserve">Termination         </t>
  </si>
  <si>
    <t>[1kohm, 50ohm]</t>
  </si>
  <si>
    <t xml:space="preserve">baseline.dcOffset                   </t>
  </si>
  <si>
    <t xml:space="preserve">DC Offset           </t>
  </si>
  <si>
    <t xml:space="preserve">baseline.dcTrackingMode             </t>
  </si>
  <si>
    <t xml:space="preserve">off                   </t>
  </si>
  <si>
    <t xml:space="preserve">DC Tracking Mode    </t>
  </si>
  <si>
    <t>[off, slow, medium, fast]</t>
  </si>
  <si>
    <t xml:space="preserve">blanking.enable                     </t>
  </si>
  <si>
    <t xml:space="preserve">true                  </t>
  </si>
  <si>
    <t xml:space="preserve">Enable              </t>
  </si>
  <si>
    <t xml:space="preserve">blanking.postSamples                </t>
  </si>
  <si>
    <t xml:space="preserve">Post Samples        </t>
  </si>
  <si>
    <t xml:space="preserve">blanking.preSamples                 </t>
  </si>
  <si>
    <t xml:space="preserve">Pre Samples         </t>
  </si>
  <si>
    <t xml:space="preserve">blanking.threshold                  </t>
  </si>
  <si>
    <t xml:space="preserve">Threshold           </t>
  </si>
  <si>
    <t xml:space="preserve">channel.id                          </t>
  </si>
  <si>
    <t xml:space="preserve">Channel Id          </t>
  </si>
  <si>
    <t xml:space="preserve">channel.state                       </t>
  </si>
  <si>
    <t xml:space="preserve">ready                 </t>
  </si>
  <si>
    <t xml:space="preserve">Channel State       </t>
  </si>
  <si>
    <t>[ready, error, osc, histo, fft, listMode, calibrate, dcOffset]</t>
  </si>
  <si>
    <t xml:space="preserve">gate.statsCollectionMode            </t>
  </si>
  <si>
    <t xml:space="preserve">always                </t>
  </si>
  <si>
    <t xml:space="preserve">Collection Mode     </t>
  </si>
  <si>
    <t>[off, risingEdge, fallingEdge, whenHigh, whenLow, always]</t>
  </si>
  <si>
    <t xml:space="preserve">histogram.binSubRegion.highIndex    </t>
  </si>
  <si>
    <t xml:space="preserve">High Bin Index      </t>
  </si>
  <si>
    <t xml:space="preserve">histogram.binSubRegion.lowIndex     </t>
  </si>
  <si>
    <t xml:space="preserve">Low Bin Index       </t>
  </si>
  <si>
    <t xml:space="preserve">histogram.coarseBinScaleDown        </t>
  </si>
  <si>
    <t>Coarse Bin Scale Down</t>
  </si>
  <si>
    <t xml:space="preserve">histogram.coarseBinScaling          </t>
  </si>
  <si>
    <t xml:space="preserve">Coarse Bin Scaling  </t>
  </si>
  <si>
    <t xml:space="preserve">histogram.datagram.enable           </t>
  </si>
  <si>
    <t xml:space="preserve">Datagram tx enable  </t>
  </si>
  <si>
    <t>conn</t>
  </si>
  <si>
    <t xml:space="preserve">histogram.datagram.ip               </t>
  </si>
  <si>
    <t xml:space="preserve">10.114.2.117          </t>
  </si>
  <si>
    <t xml:space="preserve">Datagram dest. IP   </t>
  </si>
  <si>
    <t xml:space="preserve">histogram.datagram.port             </t>
  </si>
  <si>
    <t xml:space="preserve">Datagram dest. port </t>
  </si>
  <si>
    <t xml:space="preserve">histogram.fixedInputCount.count     </t>
  </si>
  <si>
    <t xml:space="preserve">Fixed Input Count   </t>
  </si>
  <si>
    <t xml:space="preserve">histogram.fixedOutputCount.count    </t>
  </si>
  <si>
    <t xml:space="preserve">Fixed Output Count  </t>
  </si>
  <si>
    <t xml:space="preserve">histogram.fixedTime.duration        </t>
  </si>
  <si>
    <t xml:space="preserve">Fixed Time Duration </t>
  </si>
  <si>
    <t xml:space="preserve">s      </t>
  </si>
  <si>
    <t xml:space="preserve">histogram.mode                      </t>
  </si>
  <si>
    <t xml:space="preserve">movingAverage         </t>
  </si>
  <si>
    <t xml:space="preserve">continuous            </t>
  </si>
  <si>
    <t xml:space="preserve">Histogram Mode      </t>
  </si>
  <si>
    <t>[continuous, fixedTime, fixedInputCount, fixedOutputCount, movingAverage, gated, spatial]</t>
  </si>
  <si>
    <t>histogram.movingAverage.windowPeriod</t>
  </si>
  <si>
    <t>Moving Average Window</t>
  </si>
  <si>
    <t xml:space="preserve">histogram.options                   </t>
  </si>
  <si>
    <t xml:space="preserve">                      </t>
  </si>
  <si>
    <t xml:space="preserve">Histogram Options   </t>
  </si>
  <si>
    <t xml:space="preserve">histogram.refreshRate               </t>
  </si>
  <si>
    <t xml:space="preserve">Refresh Rate        </t>
  </si>
  <si>
    <t xml:space="preserve">histogram.spectrumSelect.accepted   </t>
  </si>
  <si>
    <t xml:space="preserve">Accepted Spectrum   </t>
  </si>
  <si>
    <t xml:space="preserve">histogram.spectrumSelect.rejected   </t>
  </si>
  <si>
    <t xml:space="preserve">Rejected Spectrum   </t>
  </si>
  <si>
    <t xml:space="preserve">instrument.analog.modStrike         </t>
  </si>
  <si>
    <t xml:space="preserve">Analog Mod Level    </t>
  </si>
  <si>
    <t>brd,ins</t>
  </si>
  <si>
    <t xml:space="preserve">instrument.analog.partNumber        </t>
  </si>
  <si>
    <t xml:space="preserve">GA3FG00004            </t>
  </si>
  <si>
    <t xml:space="preserve">Analog Board Part#  </t>
  </si>
  <si>
    <t xml:space="preserve">instrument.analog.revision          </t>
  </si>
  <si>
    <t xml:space="preserve">Analog Revision     </t>
  </si>
  <si>
    <t xml:space="preserve">instrument.analog.serialNumber      </t>
  </si>
  <si>
    <t xml:space="preserve">017233002-0001        </t>
  </si>
  <si>
    <t xml:space="preserve">Analog Board Ser#   </t>
  </si>
  <si>
    <t xml:space="preserve">instrument.assembly.serialNumber    </t>
  </si>
  <si>
    <t xml:space="preserve">016454001-0002        </t>
  </si>
  <si>
    <t xml:space="preserve">Assembly Ser#       </t>
  </si>
  <si>
    <t xml:space="preserve">instrument.digital.config           </t>
  </si>
  <si>
    <t xml:space="preserve">16in-16out            </t>
  </si>
  <si>
    <t xml:space="preserve">Digital GPIO Config </t>
  </si>
  <si>
    <t>ins</t>
  </si>
  <si>
    <t>[16in-16out, 8in-24out]</t>
  </si>
  <si>
    <t xml:space="preserve">instrument.digital.modStrike        </t>
  </si>
  <si>
    <t xml:space="preserve">Digital Mod Level   </t>
  </si>
  <si>
    <t xml:space="preserve">instrument.digital.partNumber       </t>
  </si>
  <si>
    <t xml:space="preserve">GA3FG00001            </t>
  </si>
  <si>
    <t xml:space="preserve">Digital Board Part# </t>
  </si>
  <si>
    <t xml:space="preserve">instrument.digital.revision         </t>
  </si>
  <si>
    <t xml:space="preserve">Digital Revision    </t>
  </si>
  <si>
    <t xml:space="preserve">instrument.digital.serialNumber     </t>
  </si>
  <si>
    <t xml:space="preserve">Digital Board Ser#  </t>
  </si>
  <si>
    <t xml:space="preserve">instrument.firmwareVersion          </t>
  </si>
  <si>
    <t xml:space="preserve">0.8.3                 </t>
  </si>
  <si>
    <t xml:space="preserve">Firmware Version    </t>
  </si>
  <si>
    <t xml:space="preserve">instrument.hash.fpga                </t>
  </si>
  <si>
    <t xml:space="preserve">57a9e077              </t>
  </si>
  <si>
    <t xml:space="preserve">FPGA Hash Id        </t>
  </si>
  <si>
    <t xml:space="preserve">instrument.hash.software            </t>
  </si>
  <si>
    <t xml:space="preserve">508f388               </t>
  </si>
  <si>
    <t xml:space="preserve">Software Hash Id    </t>
  </si>
  <si>
    <t xml:space="preserve">instrument.network.hostName         </t>
  </si>
  <si>
    <t xml:space="preserve">SITORO-016454001-0002 </t>
  </si>
  <si>
    <t xml:space="preserve">Network host name   </t>
  </si>
  <si>
    <t xml:space="preserve">instrument.network.mac              </t>
  </si>
  <si>
    <t xml:space="preserve">00:0c:79:01:1c:12     </t>
  </si>
  <si>
    <t xml:space="preserve">MAC network address </t>
  </si>
  <si>
    <t xml:space="preserve">instrument.numChannels              </t>
  </si>
  <si>
    <t xml:space="preserve">Number of Channels  </t>
  </si>
  <si>
    <t xml:space="preserve">instrument.productName              </t>
  </si>
  <si>
    <t xml:space="preserve">Falcon X1             </t>
  </si>
  <si>
    <t xml:space="preserve">Product Name        </t>
  </si>
  <si>
    <t xml:space="preserve">instrument.protocolVersion          </t>
  </si>
  <si>
    <t xml:space="preserve">instrument.sca.generationTrigger    </t>
  </si>
  <si>
    <t xml:space="preserve">Generation Trigger  </t>
  </si>
  <si>
    <t>[off, whenHigh, whenLow, always]</t>
  </si>
  <si>
    <t xml:space="preserve">instrument.sca.pulseDuration        </t>
  </si>
  <si>
    <t xml:space="preserve">Ns Per Pulse        </t>
  </si>
  <si>
    <t xml:space="preserve">ns     </t>
  </si>
  <si>
    <t xml:space="preserve">instrument.temperature              </t>
  </si>
  <si>
    <t xml:space="preserve">Temperature         </t>
  </si>
  <si>
    <t xml:space="preserve">°C    </t>
  </si>
  <si>
    <t xml:space="preserve">instrument.temperatureMax           </t>
  </si>
  <si>
    <t xml:space="preserve">Temperature Max     </t>
  </si>
  <si>
    <t xml:space="preserve">listMode.enableTimeOfArrival        </t>
  </si>
  <si>
    <t xml:space="preserve">Enable TOA Data     </t>
  </si>
  <si>
    <t xml:space="preserve">oscilloscope.options                </t>
  </si>
  <si>
    <t xml:space="preserve">fullRate              </t>
  </si>
  <si>
    <t>Oscilloscope Options</t>
  </si>
  <si>
    <t xml:space="preserve">oscilloscope.range.max              </t>
  </si>
  <si>
    <t xml:space="preserve">Maximum Value       </t>
  </si>
  <si>
    <t xml:space="preserve">oscilloscope.range.min              </t>
  </si>
  <si>
    <t xml:space="preserve">Minimum Value       </t>
  </si>
  <si>
    <t xml:space="preserve">oscilloscope.runContinuously        </t>
  </si>
  <si>
    <t xml:space="preserve">Run Continuously    </t>
  </si>
  <si>
    <t xml:space="preserve">oscilloscope.samples                </t>
  </si>
  <si>
    <t>Oscilloscope Samples</t>
  </si>
  <si>
    <t xml:space="preserve">pulse.calibrated                    </t>
  </si>
  <si>
    <t xml:space="preserve">Calibrated          </t>
  </si>
  <si>
    <t xml:space="preserve">pulse.calibration.optPercent        </t>
  </si>
  <si>
    <t xml:space="preserve">Percent Optimized   </t>
  </si>
  <si>
    <t xml:space="preserve">pulse.calibration.optimize          </t>
  </si>
  <si>
    <t xml:space="preserve">Enable Optimization </t>
  </si>
  <si>
    <t xml:space="preserve">pulse.detectionThreshold            </t>
  </si>
  <si>
    <t xml:space="preserve">Detection Threshold </t>
  </si>
  <si>
    <t xml:space="preserve">pulse.minPulsePairSeparation        </t>
  </si>
  <si>
    <t xml:space="preserve">Min Pulse Pair Sep. </t>
  </si>
  <si>
    <t xml:space="preserve">Scale Factor        </t>
  </si>
  <si>
    <t xml:space="preserve">pulse.sourceType                    </t>
  </si>
  <si>
    <t xml:space="preserve">lowEnergy             </t>
  </si>
  <si>
    <t xml:space="preserve">midRate               </t>
  </si>
  <si>
    <t xml:space="preserve">Source Type         </t>
  </si>
  <si>
    <t>[lowEnergy, lowRate, midRate, highRate, maxThroughput]</t>
  </si>
  <si>
    <t xml:space="preserve">sca.numRegions                      </t>
  </si>
  <si>
    <t xml:space="preserve">Number of Regions   </t>
  </si>
  <si>
    <t xml:space="preserve">sca.region_01.endBin                </t>
  </si>
  <si>
    <t xml:space="preserve">Region End Bin      </t>
  </si>
  <si>
    <t xml:space="preserve">sca.region_01.startBin              </t>
  </si>
  <si>
    <t xml:space="preserve">Region Start Bin    </t>
  </si>
  <si>
    <t xml:space="preserve">sca.region_02.endBin                </t>
  </si>
  <si>
    <t xml:space="preserve">sca.region_02.startBin              </t>
  </si>
  <si>
    <t xml:space="preserve">sca.region_03.endBin                </t>
  </si>
  <si>
    <t xml:space="preserve">sca.region_03.startBin              </t>
  </si>
  <si>
    <t xml:space="preserve">sca.region_04.endBin                </t>
  </si>
  <si>
    <t xml:space="preserve">sca.region_04.startBin              </t>
  </si>
  <si>
    <t xml:space="preserve">sca.region_05.endBin                </t>
  </si>
  <si>
    <t xml:space="preserve">sca.region_05.startBin              </t>
  </si>
  <si>
    <t xml:space="preserve">sca.region_06.endBin                </t>
  </si>
  <si>
    <t xml:space="preserve">sca.region_06.startBin              </t>
  </si>
  <si>
    <t xml:space="preserve">sca.region_07.endBin                </t>
  </si>
  <si>
    <t xml:space="preserve">sca.region_07.startBin              </t>
  </si>
  <si>
    <t xml:space="preserve">sca.region_08.endBin                </t>
  </si>
  <si>
    <t xml:space="preserve">sca.region_08.startBin              </t>
  </si>
  <si>
    <t xml:space="preserve">sca.region_09.endBin                </t>
  </si>
  <si>
    <t xml:space="preserve">sca.region_09.startBin              </t>
  </si>
  <si>
    <t xml:space="preserve">sca.region_10.endBin                </t>
  </si>
  <si>
    <t xml:space="preserve">sca.region_10.startBin              </t>
  </si>
  <si>
    <t xml:space="preserve">sca.region_11.endBin                </t>
  </si>
  <si>
    <t xml:space="preserve">sca.region_11.startBin              </t>
  </si>
  <si>
    <t xml:space="preserve">sca.region_12.endBin                </t>
  </si>
  <si>
    <t xml:space="preserve">sca.region_12.startBin              </t>
  </si>
  <si>
    <t xml:space="preserve">sca.region_13.endBin                </t>
  </si>
  <si>
    <t xml:space="preserve">sca.region_13.startBin              </t>
  </si>
  <si>
    <t xml:space="preserve">sca.region_14.endBin                </t>
  </si>
  <si>
    <t xml:space="preserve">sca.region_14.startBin              </t>
  </si>
  <si>
    <t xml:space="preserve">sca.region_15.endBin                </t>
  </si>
  <si>
    <t xml:space="preserve">sca.region_15.startBin              </t>
  </si>
  <si>
    <t xml:space="preserve">sca.region_16.endBin                </t>
  </si>
  <si>
    <t xml:space="preserve">sca.region_16.startBin              </t>
  </si>
  <si>
    <t xml:space="preserve">sca.region_17.endBin                </t>
  </si>
  <si>
    <t xml:space="preserve">no value              </t>
  </si>
  <si>
    <t xml:space="preserve">sca.region_17.startBin              </t>
  </si>
  <si>
    <t xml:space="preserve">sca.region_18.endBin                </t>
  </si>
  <si>
    <t xml:space="preserve">sca.region_18.startBin              </t>
  </si>
  <si>
    <t xml:space="preserve">sca.region_19.endBin                </t>
  </si>
  <si>
    <t xml:space="preserve">sca.region_19.startBin              </t>
  </si>
  <si>
    <t xml:space="preserve">sca.region_20.endBin                </t>
  </si>
  <si>
    <t xml:space="preserve">sca.region_20.startBin              </t>
  </si>
  <si>
    <t xml:space="preserve">sca.region_21.endBin                </t>
  </si>
  <si>
    <t xml:space="preserve">sca.region_21.startBin              </t>
  </si>
  <si>
    <t xml:space="preserve">sca.region_22.endBin                </t>
  </si>
  <si>
    <t xml:space="preserve">sca.region_22.startBin              </t>
  </si>
  <si>
    <t xml:space="preserve">sca.region_23.endBin                </t>
  </si>
  <si>
    <t xml:space="preserve">sca.region_23.startBin              </t>
  </si>
  <si>
    <t xml:space="preserve">sca.region_24.endBin                </t>
  </si>
  <si>
    <t xml:space="preserve">sca.region_24.startBin              </t>
  </si>
  <si>
    <t xml:space="preserve">spatial.axis_1.enable               </t>
  </si>
  <si>
    <t xml:space="preserve">Axis Enable         </t>
  </si>
  <si>
    <t xml:space="preserve">spatial.axis_1.inputType            </t>
  </si>
  <si>
    <t xml:space="preserve">quadrature            </t>
  </si>
  <si>
    <t xml:space="preserve">stepDirection         </t>
  </si>
  <si>
    <t xml:space="preserve">Input Type          </t>
  </si>
  <si>
    <t>[quadrature, stepDirection]</t>
  </si>
  <si>
    <t xml:space="preserve">spatial.axis_1.stepPosOnReset       </t>
  </si>
  <si>
    <t>Step Position on Reset</t>
  </si>
  <si>
    <t xml:space="preserve">spatial.axis_1.stepsPerUnit         </t>
  </si>
  <si>
    <t xml:space="preserve">Steps Per Unit      </t>
  </si>
  <si>
    <t xml:space="preserve">spatial.axis_1.unitPosOnReset       </t>
  </si>
  <si>
    <t>Unit Position on Reset</t>
  </si>
  <si>
    <t xml:space="preserve">spatial.axis_2.enable               </t>
  </si>
  <si>
    <t xml:space="preserve">spatial.axis_2.inputType            </t>
  </si>
  <si>
    <t xml:space="preserve">spatial.axis_2.stepPosOnReset       </t>
  </si>
  <si>
    <t xml:space="preserve">spatial.axis_2.stepsPerUnit         </t>
  </si>
  <si>
    <t xml:space="preserve">spatial.axis_2.unitPosOnReset       </t>
  </si>
  <si>
    <t xml:space="preserve">spatial.axis_3.enable               </t>
  </si>
  <si>
    <t xml:space="preserve">spatial.axis_3.inputType            </t>
  </si>
  <si>
    <t xml:space="preserve">spatial.axis_3.stepPosOnReset       </t>
  </si>
  <si>
    <t xml:space="preserve">spatial.axis_3.stepsPerUnit         </t>
  </si>
  <si>
    <t xml:space="preserve">spatial.axis_3.unitPosOnReset       </t>
  </si>
  <si>
    <t xml:space="preserve">spatial.axis_4.enable               </t>
  </si>
  <si>
    <t xml:space="preserve">spatial.axis_4.inputType            </t>
  </si>
  <si>
    <t xml:space="preserve">spatial.axis_4.stepPosOnReset       </t>
  </si>
  <si>
    <t xml:space="preserve">spatial.axis_4.stepsPerUnit         </t>
  </si>
  <si>
    <t xml:space="preserve">spatial.axis_4.unitPosOnReset       </t>
  </si>
  <si>
    <t xml:space="preserve">spatial.enableGateReset             </t>
  </si>
  <si>
    <t xml:space="preserve">Enable Gate Reset   </t>
  </si>
  <si>
    <t xml:space="preserve">spatial.enableStatistics            </t>
  </si>
  <si>
    <t xml:space="preserve">Enable Statistics   </t>
  </si>
  <si>
    <t xml:space="preserve">spatial.enableUnitEvents            </t>
  </si>
  <si>
    <t xml:space="preserve">Enable Unit Events  </t>
  </si>
  <si>
    <t xml:space="preserve">spatial.numAxes                     </t>
  </si>
  <si>
    <t xml:space="preserve">Number of Axes      </t>
  </si>
  <si>
    <t>DeviceKey</t>
  </si>
  <si>
    <t>VarName.Old</t>
  </si>
  <si>
    <t>./torero -h 10.114.2.50 -- listparams &gt; FalconX_parameters.txt</t>
  </si>
  <si>
    <t>EPICS Type</t>
  </si>
  <si>
    <t>device varname</t>
  </si>
  <si>
    <t>PV name</t>
  </si>
  <si>
    <t>PV name OLD</t>
  </si>
  <si>
    <t>device varname OLD</t>
  </si>
  <si>
    <t>c:\p4c\RaScanFR.AF9</t>
  </si>
  <si>
    <t>bi</t>
  </si>
  <si>
    <t>bo</t>
  </si>
  <si>
    <t>$(DTYP)</t>
  </si>
  <si>
    <t>dataType</t>
  </si>
  <si>
    <t>datOut</t>
  </si>
  <si>
    <t>datIn</t>
  </si>
  <si>
    <t>ai</t>
  </si>
  <si>
    <t>ao</t>
  </si>
  <si>
    <t>pulse.scaleFactor</t>
  </si>
  <si>
    <t>UPDATED</t>
  </si>
  <si>
    <t>options</t>
  </si>
  <si>
    <t>MBBIO enum</t>
  </si>
  <si>
    <t>mbbi</t>
  </si>
  <si>
    <t>gsu</t>
  </si>
  <si>
    <t>e</t>
  </si>
  <si>
    <t>s</t>
  </si>
  <si>
    <t>deg</t>
  </si>
  <si>
    <t>stream</t>
  </si>
  <si>
    <t>@pmac.proto setVar($(VAR)) $(PORT)</t>
  </si>
  <si>
    <t>@pmac.proto getVar($(VAR)) $(PORT)</t>
  </si>
  <si>
    <t>epics ONLY not part of the map</t>
  </si>
  <si>
    <t>Base PV</t>
  </si>
  <si>
    <t>yes</t>
  </si>
  <si>
    <t>No</t>
  </si>
  <si>
    <t>device var</t>
  </si>
  <si>
    <t>Part of the map if and only if left char is "g": g, gs, gsu. Actual get or set status is defined by get and set strobes GetSB SetSB</t>
  </si>
  <si>
    <t>User set ONLY. No change by device, nor by the solver</t>
  </si>
  <si>
    <t>Device mapped record</t>
  </si>
  <si>
    <t>Single PV</t>
  </si>
  <si>
    <t>Yes</t>
  </si>
  <si>
    <t>yes devicename has an additional "U" at the end (right)</t>
  </si>
  <si>
    <t>g,gs (leading "g")</t>
  </si>
  <si>
    <t>gsu (trailing "u")</t>
  </si>
  <si>
    <t>DevMap record</t>
  </si>
  <si>
    <t>e (leading "e")</t>
  </si>
  <si>
    <t>device internal. Define in the device.</t>
  </si>
  <si>
    <t>db</t>
  </si>
  <si>
    <t>d (leading "d")</t>
  </si>
  <si>
    <t>device definition</t>
  </si>
  <si>
    <t>EPICS length limits</t>
  </si>
  <si>
    <t xml:space="preserve">DESC </t>
  </si>
  <si>
    <t>setSB PV</t>
  </si>
  <si>
    <t>getSB PV</t>
  </si>
  <si>
    <t>PV Name</t>
  </si>
  <si>
    <t>map</t>
  </si>
  <si>
    <t>pmacCS</t>
  </si>
  <si>
    <t>IF(OR(LEFT(J4)="d",LEFT(J4)="g"),"#define",";")</t>
  </si>
  <si>
    <t>epics</t>
  </si>
  <si>
    <t>PV List</t>
  </si>
  <si>
    <t>Sort order</t>
  </si>
  <si>
    <t>GUICtrl_UI</t>
  </si>
  <si>
    <t>GUIMon_UI</t>
  </si>
  <si>
    <t xml:space="preserve">                
        &lt;/layout&gt;
       &lt;/item&gt;
      &lt;/layout&gt;
     &lt;/widget&gt;
    &lt;/widget&gt;
   &lt;/item&gt;
  &lt;/layout&gt;
 &lt;/widget&gt;
 &lt;customwidgets&gt;
  &lt;customwidget&gt;
   &lt;class&gt;QELabel&lt;/class&gt;
   &lt;extends&gt;QLabel&lt;/extends&gt;
   &lt;header&gt;QELabel.h&lt;/header&gt;
  &lt;/customwidget&gt;
  &lt;customwidget&gt;
   &lt;class&gt;QELineEdit&lt;/class&gt;
   &lt;extends&gt;QLineEdit&lt;/extends&gt;
   &lt;header&gt;QELineEdit.h&lt;/header&gt;
  &lt;/customwidget&gt;
 &lt;/customwidgets&gt;
 &lt;resources/&gt;
 &lt;connections/&gt;
&lt;/ui&gt;
</t>
  </si>
  <si>
    <t xml:space="preserve">&lt;item row="~ROW" column="0"&gt;
         &lt;widget class="QLabel" name="L_~NAME"&gt;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&lt;string&gt;~NAME&lt;/string&gt;
          &lt;/property&gt;
          &lt;property name="margin"&gt;
           &lt;number&gt;3&lt;/number&gt;
          &lt;/property&gt;
         &lt;/widget&gt;
        &lt;/item&gt;
</t>
  </si>
  <si>
    <t xml:space="preserve">&lt;item row="~ROW" column="1"&gt;
         &lt;widget class="QELabel" name="QL_~NAME"&gt;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&lt;string&gt;$(P)$(R)~PVNAME&lt;/string&gt;
          &lt;/property&gt;
         &lt;/widget&gt;
   &lt;/item&gt;
</t>
  </si>
  <si>
    <t>&lt;item row="~ROW" column="2"&gt;
            &lt;widget class="QELineEdit" name="QLD_~NAME"&gt;
             &lt;property name="variable" stdset="0"&gt;
              &lt;string&gt;$(P)$(R)~PVNAME&lt;/string&gt;
             &lt;/property&gt;
             &lt;property name="addUnits"&gt;
             &lt;bool&gt;true&lt;/bool&gt;
             &lt;/property&gt;
            &lt;/widget&gt;
           &lt;/item&gt;</t>
  </si>
  <si>
    <t xml:space="preserve">&lt;?xml version="1.0" encoding="UTF-8"?&gt;
&lt;ui version="4.0"&gt;
 &lt;class&gt;Form&lt;/class&gt;
 &lt;widget class="QWidget" name="Form"&gt;
  &lt;property name="geometry"&gt;
   &lt;rect&gt;
    &lt;x&gt;0&lt;/x&gt;
    &lt;y&gt;0&lt;/y&gt;
    &lt;width&gt;460&lt;/width&gt;
    &lt;height&gt;700&lt;/height&gt;
   &lt;/rect&gt;
  &lt;/property&gt;
  &lt;property name="windowTitle"&gt;
   &lt;string&gt;$(P)$(R) param list&lt;/string&gt;
  &lt;/property&gt;
  &lt;layout class="QVBoxLayout" name="verticalLayout_2"&gt;
   &lt;item&gt;
    &lt;widget class="QScrollArea" name="scrollArea"&gt;
     &lt;property name="widgetResizable"&gt;
      &lt;bool&gt;true&lt;/bool&gt;
     &lt;/property&gt;
     &lt;widget class="QWidget" name="scrollAreaWidgetContents"&gt;
      &lt;property name="geometry"&gt;
       &lt;rect&gt;
        &lt;x&gt;0&lt;/x&gt;
        &lt;y&gt;0&lt;/y&gt;
        &lt;width&gt;420&lt;/width&gt;
        &lt;height&gt;700&lt;/height&gt;
       &lt;/rect&gt;
      &lt;/property&gt;
      &lt;layout class="QVBoxLayout" name="verticalLayout"&gt;
       &lt;item&gt;
        &lt;layout class="QGridLayout" name="gd_ParamGrid"&gt;
         &lt;property name="margin"&gt;
          &lt;number&gt;2&lt;/number&gt;
         &lt;/property&gt;
         &lt;property name="spacing"&gt;
          &lt;number&gt;1&lt;/number&gt;
         &lt;/property&gt;
&lt;!-- Insert Auto-generated Param list here --&gt;    </t>
  </si>
  <si>
    <t xml:space="preserve">&lt;?xml version="1.0" encoding="UTF-8"?&gt;
&lt;ui version="4.0"&gt;
 &lt;class&gt;Form&lt;/class&gt;
 &lt;widget class="QWidget" name="Form"&gt;
  &lt;property name="geometry"&gt;
   &lt;rect&gt;
    &lt;x&gt;0&lt;/x&gt;
    &lt;y&gt;0&lt;/y&gt;
    &lt;width&gt;300&lt;/width&gt;
    &lt;height&gt;700&lt;/height&gt;
   &lt;/rect&gt;
  &lt;/property&gt;
  &lt;property name="windowTitle"&gt;
   &lt;string&gt;$(P)$(R) param list&lt;/string&gt;
  &lt;/property&gt;
  &lt;layout class="QVBoxLayout" name="verticalLayout_2"&gt;
   &lt;item&gt;
    &lt;widget class="QScrollArea" name="scrollArea"&gt;
     &lt;property name="widgetResizable"&gt;
      &lt;bool&gt;true&lt;/bool&gt;
     &lt;/property&gt;
     &lt;widget class="QWidget" name="scrollAreaWidgetContents"&gt;
      &lt;property name="geometry"&gt;
       &lt;rect&gt;
        &lt;x&gt;0&lt;/x&gt;
        &lt;y&gt;0&lt;/y&gt;
        &lt;width&gt;300&lt;/width&gt;
        &lt;height&gt;700&lt;/height&gt;
       &lt;/rect&gt;
      &lt;/property&gt;
      &lt;layout class="QVBoxLayout" name="verticalLayout"&gt;
       &lt;item&gt;
        &lt;layout class="QGridLayout" name="gd_ParamGrid"&gt;
         &lt;property name="margin"&gt;
          &lt;number&gt;2&lt;/number&gt;
         &lt;/property&gt;
         &lt;property name="spacing"&gt;
          &lt;number&gt;1&lt;/number&gt;
         &lt;/property&gt;
&lt;!-- Insert Auto-generated Param list here --&gt;    </t>
  </si>
  <si>
    <t>;</t>
  </si>
  <si>
    <t>Default Value</t>
  </si>
  <si>
    <t>Unit</t>
  </si>
  <si>
    <t>LOPR</t>
  </si>
  <si>
    <t>HOPR</t>
  </si>
  <si>
    <t>PREC</t>
  </si>
  <si>
    <t>pmacMotionProgram</t>
  </si>
  <si>
    <t>epicsControl</t>
  </si>
  <si>
    <t>epicsMonitor</t>
  </si>
  <si>
    <t>servicePyEpics</t>
  </si>
  <si>
    <t>GUI1</t>
  </si>
  <si>
    <t>GUI2</t>
  </si>
  <si>
    <t xml:space="preserve">ArchiverPeriod </t>
  </si>
  <si>
    <t>getEnabler</t>
  </si>
  <si>
    <t>setEnabler</t>
  </si>
  <si>
    <t>epicsState</t>
  </si>
  <si>
    <t>Signal</t>
  </si>
  <si>
    <t>serviceModule2</t>
  </si>
  <si>
    <t>Motion Channel</t>
  </si>
  <si>
    <t>J1Y</t>
  </si>
  <si>
    <t>J2Y</t>
  </si>
  <si>
    <t>J3Y</t>
  </si>
  <si>
    <t>dedicatedCS</t>
  </si>
  <si>
    <t>devPrefix</t>
  </si>
  <si>
    <t>Systems</t>
  </si>
  <si>
    <t>QEGUILoadSavepcf</t>
  </si>
  <si>
    <t>&amp;7Q128</t>
  </si>
  <si>
    <t>&amp;7Q129</t>
  </si>
  <si>
    <t>&amp;7Q130</t>
  </si>
  <si>
    <t>&amp;7Q131</t>
  </si>
  <si>
    <t>&amp;7Q132</t>
  </si>
  <si>
    <t>&amp;7Q136</t>
  </si>
  <si>
    <t>&amp;7Q137</t>
  </si>
  <si>
    <t>&amp;7Q138</t>
  </si>
  <si>
    <t>&amp;7Q228</t>
  </si>
  <si>
    <t>&amp;7Q229</t>
  </si>
  <si>
    <t>&amp;7Q230</t>
  </si>
  <si>
    <t>&amp;7Q231</t>
  </si>
  <si>
    <t>&amp;7Q232</t>
  </si>
  <si>
    <t>&amp;7Q233</t>
  </si>
  <si>
    <t>&amp;7Q234</t>
  </si>
  <si>
    <t>&amp;7Q235</t>
  </si>
  <si>
    <t>&amp;7Q236</t>
  </si>
  <si>
    <t>&amp;7Q237</t>
  </si>
  <si>
    <t>&amp;7Q238</t>
  </si>
  <si>
    <t>&amp;7Q239</t>
  </si>
  <si>
    <t>&amp;7Q240</t>
  </si>
  <si>
    <t>&amp;7Q241</t>
  </si>
  <si>
    <t>&amp;7Q133</t>
  </si>
  <si>
    <t>&amp;7Q134</t>
  </si>
  <si>
    <t>&amp;7Q135</t>
  </si>
  <si>
    <t>jPf</t>
  </si>
  <si>
    <t>jRf</t>
  </si>
  <si>
    <t>uXf</t>
  </si>
  <si>
    <t>uYf</t>
  </si>
  <si>
    <t>uZf</t>
  </si>
  <si>
    <t>vXf</t>
  </si>
  <si>
    <t>vYf</t>
  </si>
  <si>
    <t>vZf</t>
  </si>
  <si>
    <t>wXf</t>
  </si>
  <si>
    <t>wYf</t>
  </si>
  <si>
    <t>wZf</t>
  </si>
  <si>
    <t>jPi</t>
  </si>
  <si>
    <t>jRi</t>
  </si>
  <si>
    <t>uXi</t>
  </si>
  <si>
    <t>uYi</t>
  </si>
  <si>
    <t>uZi</t>
  </si>
  <si>
    <t>vXi</t>
  </si>
  <si>
    <t>vYi</t>
  </si>
  <si>
    <t>vZi</t>
  </si>
  <si>
    <t>wXi</t>
  </si>
  <si>
    <t>wYi</t>
  </si>
  <si>
    <t>wZi</t>
  </si>
  <si>
    <t>#end</t>
  </si>
  <si>
    <t>Jack [mm]</t>
  </si>
  <si>
    <t>Roll [Rad]</t>
  </si>
  <si>
    <t xml:space="preserve">Yaw [Rad] </t>
  </si>
  <si>
    <t>Roll delta[Rad/mm]</t>
  </si>
  <si>
    <t>Yaw [Rad/mm]</t>
  </si>
  <si>
    <t>J2X</t>
  </si>
  <si>
    <t>J2Z</t>
  </si>
  <si>
    <t>Analog</t>
  </si>
  <si>
    <t>Option</t>
  </si>
  <si>
    <t>$(ENUMS)</t>
  </si>
  <si>
    <t>Bool</t>
  </si>
  <si>
    <t>Longint</t>
  </si>
  <si>
    <t xml:space="preserve">  field(EGU, "$(EGU)")</t>
  </si>
  <si>
    <t>String</t>
  </si>
  <si>
    <t>""</t>
  </si>
  <si>
    <t>order</t>
  </si>
  <si>
    <t>$(in)</t>
  </si>
  <si>
    <t>longin</t>
  </si>
  <si>
    <t>stringin</t>
  </si>
  <si>
    <t>$(out)</t>
  </si>
  <si>
    <t>mbbo</t>
  </si>
  <si>
    <t>longout</t>
  </si>
  <si>
    <t>stringout</t>
  </si>
  <si>
    <t>$(string)</t>
  </si>
  <si>
    <t>#</t>
  </si>
  <si>
    <t>$(nonstring)</t>
  </si>
  <si>
    <t xml:space="preserve">  field(EGU, "$(EGU)") field(PREC, "$(PREC)")</t>
  </si>
  <si>
    <t xml:space="preserve">  field(ZNAM, "No") field(ONAM, "Yes")</t>
  </si>
  <si>
    <t>$(vartype)</t>
  </si>
  <si>
    <t>@pmac.proto getIntVar($(VAR)) $(PORT)</t>
  </si>
  <si>
    <t>@pmac.proto setIntVar($(VAR)) $(PORT)</t>
  </si>
  <si>
    <t>getProto</t>
  </si>
  <si>
    <t>setProto</t>
  </si>
  <si>
    <t>mapVarTemplate</t>
  </si>
  <si>
    <t>@pmac.proto sendString() $(PORT)</t>
  </si>
  <si>
    <t>LUT shall be sorted</t>
  </si>
  <si>
    <t>FALCONX</t>
  </si>
  <si>
    <t>reserved</t>
  </si>
  <si>
    <t>A0001</t>
  </si>
  <si>
    <t>A0002</t>
  </si>
  <si>
    <t>Dev Sort based on DevKey</t>
  </si>
  <si>
    <t>a1_HLM</t>
  </si>
  <si>
    <t>P2002</t>
  </si>
  <si>
    <t>Fly axis accel. desired limit</t>
  </si>
  <si>
    <t>EGU/s2</t>
  </si>
  <si>
    <t>a1_In</t>
  </si>
  <si>
    <t>P2057</t>
  </si>
  <si>
    <t xml:space="preserve">Fly axis inner-skip accel. </t>
  </si>
  <si>
    <t>a1_Out</t>
  </si>
  <si>
    <t xml:space="preserve">Fly axis outer-skip accel. </t>
  </si>
  <si>
    <t>a2_HLM</t>
  </si>
  <si>
    <t>Inc. axis accel. high limit</t>
  </si>
  <si>
    <t>EGU/s</t>
  </si>
  <si>
    <t>a2_Max</t>
  </si>
  <si>
    <t>P2056</t>
  </si>
  <si>
    <t>Inc. axis trajectory max accel.</t>
  </si>
  <si>
    <t>a2_Out</t>
  </si>
  <si>
    <t>P2062</t>
  </si>
  <si>
    <t>Inc. axis trajectory accel. Out</t>
  </si>
  <si>
    <t>cs_Active</t>
  </si>
  <si>
    <t>P2090</t>
  </si>
  <si>
    <t>Active CS number on pmac</t>
  </si>
  <si>
    <t>cs_AngleXY</t>
  </si>
  <si>
    <t>P2017</t>
  </si>
  <si>
    <t>X-Y scan angle</t>
  </si>
  <si>
    <t>cs_AngleXZ</t>
  </si>
  <si>
    <t>P2009</t>
  </si>
  <si>
    <t>X-Z scan angle</t>
  </si>
  <si>
    <t>cs_GearTX</t>
  </si>
  <si>
    <t>P2010</t>
  </si>
  <si>
    <t>Tomo-X scan gear ratio</t>
  </si>
  <si>
    <t>deg/mm</t>
  </si>
  <si>
    <t>cs_Status</t>
  </si>
  <si>
    <t>P2091</t>
  </si>
  <si>
    <t>Active CS status (CSSTRS)</t>
  </si>
  <si>
    <t>d1_Centre</t>
  </si>
  <si>
    <t>P2013</t>
  </si>
  <si>
    <t>Fly axis scan starting position</t>
  </si>
  <si>
    <t>EGU</t>
  </si>
  <si>
    <t>d1_In</t>
  </si>
  <si>
    <t>P2052</t>
  </si>
  <si>
    <t>Fly axis inner-skip distance</t>
  </si>
  <si>
    <t>d1_In_HLM</t>
  </si>
  <si>
    <t>Fly axis inner-skip high limit</t>
  </si>
  <si>
    <t>d1_Ind_HLM</t>
  </si>
  <si>
    <t>P2050</t>
  </si>
  <si>
    <t>Fly axis total indent HLM</t>
  </si>
  <si>
    <t>d1_IndL</t>
  </si>
  <si>
    <t>P2079</t>
  </si>
  <si>
    <t>Fly axis indent from Left</t>
  </si>
  <si>
    <t>d1_IndL_Req</t>
  </si>
  <si>
    <t>P2018</t>
  </si>
  <si>
    <t>Fly axis Left indent request</t>
  </si>
  <si>
    <t>d1_IndR</t>
  </si>
  <si>
    <t>P2080</t>
  </si>
  <si>
    <t>Fly axis indent from Right</t>
  </si>
  <si>
    <t>d1_IndR_Req</t>
  </si>
  <si>
    <t>P2019</t>
  </si>
  <si>
    <t>Fly axis Right indent request</t>
  </si>
  <si>
    <t>d1_IndSt</t>
  </si>
  <si>
    <t>P2016</t>
  </si>
  <si>
    <t>Device indentation live switch</t>
  </si>
  <si>
    <t>d1_Out</t>
  </si>
  <si>
    <t>P2045</t>
  </si>
  <si>
    <t>Fly axis outer-skip band</t>
  </si>
  <si>
    <t>d1_Span</t>
  </si>
  <si>
    <t>P2001</t>
  </si>
  <si>
    <t>Fly axis span (span)</t>
  </si>
  <si>
    <t>d2_Edge</t>
  </si>
  <si>
    <t>P2065</t>
  </si>
  <si>
    <t>Inc. axis Edge-skip distance</t>
  </si>
  <si>
    <t>d2_In</t>
  </si>
  <si>
    <t>P2053</t>
  </si>
  <si>
    <t>Inc. axis inner-skip distance</t>
  </si>
  <si>
    <t>d2_Out</t>
  </si>
  <si>
    <t>P2054</t>
  </si>
  <si>
    <t>Inc. axis skip distance</t>
  </si>
  <si>
    <t>d2_Span</t>
  </si>
  <si>
    <t>P2048</t>
  </si>
  <si>
    <t>Inc. axis scan span (span)</t>
  </si>
  <si>
    <t>d2_Start</t>
  </si>
  <si>
    <t>P2014</t>
  </si>
  <si>
    <t>Inc. axis scan start position</t>
  </si>
  <si>
    <t>d2_Step</t>
  </si>
  <si>
    <t>P2006</t>
  </si>
  <si>
    <t>Inc. axis line separation</t>
  </si>
  <si>
    <t>d2_TolRatio</t>
  </si>
  <si>
    <t>Inc. axis tolerance ratio</t>
  </si>
  <si>
    <t>dev_CMD</t>
  </si>
  <si>
    <t>P2000</t>
  </si>
  <si>
    <t>Scan control word</t>
  </si>
  <si>
    <t>dev_Error</t>
  </si>
  <si>
    <t>P2055</t>
  </si>
  <si>
    <t>SkipScan fault code</t>
  </si>
  <si>
    <t>P2011</t>
  </si>
  <si>
    <t>dev_State</t>
  </si>
  <si>
    <t>P2040</t>
  </si>
  <si>
    <t>Scan state word</t>
  </si>
  <si>
    <t>DIR</t>
  </si>
  <si>
    <t>x</t>
  </si>
  <si>
    <t>dum</t>
  </si>
  <si>
    <t>P2066</t>
  </si>
  <si>
    <t>Pmac internal variable</t>
  </si>
  <si>
    <t>d</t>
  </si>
  <si>
    <t>er_a1_In</t>
  </si>
  <si>
    <t>Inner-skip accel. exceeds limits</t>
  </si>
  <si>
    <t>er_d1_In</t>
  </si>
  <si>
    <t>inner-skip range non-consistent</t>
  </si>
  <si>
    <t>er_ERROR4</t>
  </si>
  <si>
    <t>er_ERROR8</t>
  </si>
  <si>
    <t>er_NONE</t>
  </si>
  <si>
    <t>No Fault</t>
  </si>
  <si>
    <t>er_Range1</t>
  </si>
  <si>
    <t>Motion range exceeds Fly axis limits</t>
  </si>
  <si>
    <t>er_Range2</t>
  </si>
  <si>
    <t>Motion range exceeds Inc. axis limits</t>
  </si>
  <si>
    <t>er_Standby</t>
  </si>
  <si>
    <t>er_TrjBuilder</t>
  </si>
  <si>
    <t>trajectory builder error</t>
  </si>
  <si>
    <t>er_v1_Delta</t>
  </si>
  <si>
    <t>Velocity parameters non-consistent</t>
  </si>
  <si>
    <t>HLMM</t>
  </si>
  <si>
    <t>j1_HLM</t>
  </si>
  <si>
    <t>P2020</t>
  </si>
  <si>
    <t>Fly axis jerk desired limit</t>
  </si>
  <si>
    <t>j2_HLM</t>
  </si>
  <si>
    <t>P2021</t>
  </si>
  <si>
    <t>Inc. axis jerk desired limit</t>
  </si>
  <si>
    <t>line_Dir</t>
  </si>
  <si>
    <t>P2049</t>
  </si>
  <si>
    <t>Current line direction</t>
  </si>
  <si>
    <t>line_End</t>
  </si>
  <si>
    <t>P2012</t>
  </si>
  <si>
    <t>Scan line End count</t>
  </si>
  <si>
    <t>line_N</t>
  </si>
  <si>
    <t>P2041</t>
  </si>
  <si>
    <t>line_SubEnd</t>
  </si>
  <si>
    <t>P2060</t>
  </si>
  <si>
    <t>Number of subsegments</t>
  </si>
  <si>
    <t>line_SubN</t>
  </si>
  <si>
    <t>P2063</t>
  </si>
  <si>
    <t>subsegment counter</t>
  </si>
  <si>
    <t>LLMM</t>
  </si>
  <si>
    <t>MRES</t>
  </si>
  <si>
    <t>OFF</t>
  </si>
  <si>
    <t>p_alpha</t>
  </si>
  <si>
    <t>P2067</t>
  </si>
  <si>
    <t>p_Cos</t>
  </si>
  <si>
    <t>Q402</t>
  </si>
  <si>
    <t>CS specific Cos(angle)</t>
  </si>
  <si>
    <t>p_delta</t>
  </si>
  <si>
    <t>P2072</t>
  </si>
  <si>
    <t>p_E1Res</t>
  </si>
  <si>
    <t>Q403</t>
  </si>
  <si>
    <t>CS specific axis1 resolution</t>
  </si>
  <si>
    <t>p_E2Res</t>
  </si>
  <si>
    <t>Q404</t>
  </si>
  <si>
    <t>CS specific axis2 resolution</t>
  </si>
  <si>
    <t>p_Sin</t>
  </si>
  <si>
    <t>Q401</t>
  </si>
  <si>
    <t>CS specific Sin(angle)</t>
  </si>
  <si>
    <t>p_tau</t>
  </si>
  <si>
    <t>P2073</t>
  </si>
  <si>
    <t>p_X0</t>
  </si>
  <si>
    <t>P2058</t>
  </si>
  <si>
    <t>p_X1</t>
  </si>
  <si>
    <t>P2059</t>
  </si>
  <si>
    <t>p_Y0</t>
  </si>
  <si>
    <t>P2068</t>
  </si>
  <si>
    <t>p_Y1</t>
  </si>
  <si>
    <t>P2069</t>
  </si>
  <si>
    <t>n</t>
  </si>
  <si>
    <t>st_Blank</t>
  </si>
  <si>
    <t>st_Ready</t>
  </si>
  <si>
    <t>Setup is being verified</t>
  </si>
  <si>
    <t>st_Reserved</t>
  </si>
  <si>
    <t>rscn program terminated via CTRL</t>
  </si>
  <si>
    <t>st_Resetting</t>
  </si>
  <si>
    <t>st_Running</t>
  </si>
  <si>
    <t>Running scan</t>
  </si>
  <si>
    <t>st_Set</t>
  </si>
  <si>
    <t>Compiled and moved into position to start scan</t>
  </si>
  <si>
    <t>st_Setting</t>
  </si>
  <si>
    <t>Moving to begin position to start scan</t>
  </si>
  <si>
    <t>st_Standby</t>
  </si>
  <si>
    <t>Standby, waiting for user setup</t>
  </si>
  <si>
    <t>st_Terminated</t>
  </si>
  <si>
    <t>t_AHLM</t>
  </si>
  <si>
    <t>Absolute high limit for time vars</t>
  </si>
  <si>
    <t>t_ALLM</t>
  </si>
  <si>
    <t>absolute low limit for time vars</t>
  </si>
  <si>
    <t>t_Edge</t>
  </si>
  <si>
    <t>P2064</t>
  </si>
  <si>
    <t>Edge-skip move time</t>
  </si>
  <si>
    <t>t_HLM</t>
  </si>
  <si>
    <t>High limit for time vars</t>
  </si>
  <si>
    <t>t_In</t>
  </si>
  <si>
    <t>P2044</t>
  </si>
  <si>
    <t>inner-skip move time</t>
  </si>
  <si>
    <t>t_In_LLM</t>
  </si>
  <si>
    <t>P2005</t>
  </si>
  <si>
    <t>Fly axis inner-skip time LLM</t>
  </si>
  <si>
    <t>t_Mid</t>
  </si>
  <si>
    <t>P2042</t>
  </si>
  <si>
    <t>Scanline middle segnment time</t>
  </si>
  <si>
    <t>t_Mid_LLM</t>
  </si>
  <si>
    <t>Low limit for tMid</t>
  </si>
  <si>
    <t>t_Out</t>
  </si>
  <si>
    <t>P2043</t>
  </si>
  <si>
    <t>outer-skip move time</t>
  </si>
  <si>
    <t>t_OvrHd</t>
  </si>
  <si>
    <t>P2081</t>
  </si>
  <si>
    <t>Calculated overhead time per line</t>
  </si>
  <si>
    <t>v1_Diff</t>
  </si>
  <si>
    <t>P2008</t>
  </si>
  <si>
    <t>Fly axis scan velocity delta</t>
  </si>
  <si>
    <t>v1_Out</t>
  </si>
  <si>
    <t>P2061</t>
  </si>
  <si>
    <t>Fly axis line exit velocity</t>
  </si>
  <si>
    <t>v1_Scan</t>
  </si>
  <si>
    <t>P2007</t>
  </si>
  <si>
    <t>Fly axis line scan velocity</t>
  </si>
  <si>
    <t>v2_In</t>
  </si>
  <si>
    <t>P2047</t>
  </si>
  <si>
    <t>Inc. axis line exit velocity</t>
  </si>
  <si>
    <t>v2_Out</t>
  </si>
  <si>
    <t>P2046</t>
  </si>
  <si>
    <t>Inc. axis line entry velocity</t>
  </si>
  <si>
    <t>Xd1</t>
  </si>
  <si>
    <t>P2051</t>
  </si>
  <si>
    <t>SR05ID01FST01</t>
  </si>
  <si>
    <t>:RSCN</t>
  </si>
  <si>
    <t>Auto generated varMap interface mapping</t>
  </si>
  <si>
    <t>zzzzzz</t>
  </si>
  <si>
    <t>C:\P4C\tec\mc\pmacConfig\trunk\varMapApp\Db\</t>
  </si>
  <si>
    <t>C:\P4C\tec\mc\pmacRascan\trunk\documentation</t>
  </si>
  <si>
    <t>_RSCN</t>
  </si>
  <si>
    <t>Solved flag set by midlayer</t>
  </si>
  <si>
    <t># non-mapped PV
#% autosave 0 VAL
record(ai, "$(P)$(Q)") {
  field(DESC, "$(DESC)")
  field(PINI, "YES")
  field(EGU, "$(EGU)")
  field(PREC, "$(PREC)")
  field(VAL,"$(DEFAULT)")
  field(SDIS, "$(SetSB) CP MS")
  field(DISV, "0")
  field(DISS, "INVALID")
}
#--------------</t>
  </si>
  <si>
    <t>P2004</t>
  </si>
  <si>
    <t>dev_SLVD</t>
  </si>
  <si>
    <t>Scan line pointer</t>
  </si>
  <si>
    <t>er_Solution</t>
  </si>
  <si>
    <t>Solver didn’t converge</t>
  </si>
  <si>
    <t>t_Line</t>
  </si>
  <si>
    <t>P2039</t>
  </si>
  <si>
    <t>Total line move time</t>
  </si>
  <si>
    <t>P2038</t>
  </si>
  <si>
    <t>t_Scan</t>
  </si>
  <si>
    <t>Total scan move time</t>
  </si>
  <si>
    <t>stage is disarmed, not scanning</t>
  </si>
  <si>
    <t>st_Compiled</t>
  </si>
  <si>
    <t>Rascan trajectiory compiled and verified</t>
  </si>
  <si>
    <t>en_Always</t>
  </si>
  <si>
    <t>en_AutoSync</t>
  </si>
  <si>
    <t>en_Disarmed</t>
  </si>
  <si>
    <t>en_Global</t>
  </si>
  <si>
    <t>en_InProg</t>
  </si>
  <si>
    <t>en_Monitor</t>
  </si>
  <si>
    <t>en_Never</t>
  </si>
  <si>
    <t>en_TrajSet</t>
  </si>
  <si>
    <t>en_CSSetup</t>
  </si>
  <si>
    <t>EN_TRAJSET</t>
  </si>
  <si>
    <t>EN_MONITOR</t>
  </si>
  <si>
    <t>EN_NEVER</t>
  </si>
  <si>
    <t>EN_ALWAYS</t>
  </si>
  <si>
    <t>EN_CSSETUP</t>
  </si>
  <si>
    <t>EN_GLOBAL</t>
  </si>
  <si>
    <t>EN_INPROG</t>
  </si>
  <si>
    <t>Enabled at all times</t>
  </si>
  <si>
    <t xml:space="preserve">Enables map forced sync </t>
  </si>
  <si>
    <t>Enables CS setup</t>
  </si>
  <si>
    <t>Enables Global var setting</t>
  </si>
  <si>
    <t>In motion program</t>
  </si>
  <si>
    <t>Never enables</t>
  </si>
  <si>
    <t>Enables setting specific params</t>
  </si>
  <si>
    <t>Enables polling specific params</t>
  </si>
  <si>
    <t>v1_ScanHLM</t>
  </si>
  <si>
    <t>v1_ScanLLM</t>
  </si>
  <si>
    <t xml:space="preserve">LLM Fly axis line scan velocity </t>
  </si>
  <si>
    <t xml:space="preserve">HLM Fly axis line scan velocity </t>
  </si>
  <si>
    <t>d1_OutHDM</t>
  </si>
  <si>
    <t>Fly axis outer distance desired lim</t>
  </si>
  <si>
    <t>EN_DISARMED</t>
  </si>
  <si>
    <t>sys_Warns</t>
  </si>
  <si>
    <t>system warnings</t>
  </si>
  <si>
    <t>system errors</t>
  </si>
  <si>
    <t>sys_Errors</t>
  </si>
  <si>
    <t>waveform</t>
  </si>
  <si>
    <t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t>
  </si>
  <si>
    <t>_x000D_
# PVs mapping to $(VAR) of type Longint_x000D_
record(longout, "$(P)$(Q)") {_x000D_
  field(DESC, "$(DESC)")_x000D_
  field(OUT, "$(P)$(Q):SET PP MS")_x000D_
  field(PINI, "NO")_x000D_
  field(EGU, "$(EGU)")_x000D_
  field(SDIS, "$(P)$(Q):SCD MS")_x000D_
  field(DISV, "999999")  _x000D_
}_x000D_
record(longin,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"$(EGU)")_x000D_
}_x000D_
#% autosave 0 VAL_x000D_
record(longout,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"B=A?1:0")_x000D_
 field(INPA, "$(P)$(Q):RBV CP MS")_x000D_
 field(INPB, "$(P)$(Q):SET CP")_x000D_
 field(PINI, "YES")_x000D_
 field(VAL,"0")_x000D_
 field(LOLO, "0.5")_x000D_
 field(LLSV, "MINOR") _x000D_
}_x000D_
# -----------------------------_x000D_
#</t>
  </si>
  <si>
    <t>_x000D_
# PVs mapping to $(VAR) of type Bool_x000D_
record(bo, "$(P)$(Q)") {_x000D_
  field(DESC, "$(DESC)")_x000D_
  field(OUT, "$(P)$(Q):SET PP MS")_x000D_
  field(PINI, "NO")_x000D_
  field(ZNAM, "No") field(ONAM, "Yes")_x000D_
  field(SDIS, "$(P)$(Q):SCD MS")_x000D_
  field(DISV, "999999")  _x000D_
}_x000D_
record(bi, "$(P)$(Q):RBV") {_x000D_
  field(DESC, "$(DESC) readback")_x000D_
  field(DTYP, "$(DTYP)")_x000D_
  field(INP, "$(GETPROTO)")_x000D_
  field(SDIS, "$(GetSB) NPP MS")_x000D_
  field(DISV, "0")_x000D_
  field(PINI, "NO")_x000D_
  field(DISS, "INVALID")_x000D_
  field(ZNAM, "No") field(ONAM, "Yes")_x000D_
}_x000D_
#% autosave 0 VAL_x000D_
record(bo,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"B=A?1:0")_x000D_
 field(INPA, "$(P)$(Q):RBV CP MS")_x000D_
 field(INPB, "$(P)$(Q):SET CP")_x000D_
 field(PINI, "YES")_x000D_
 field(VAL,"0")_x000D_
 field(LOLO, "0.5")_x000D_
 field(LLSV, "MINOR") _x000D_
}_x000D_
# -----------------------------_x000D_
#</t>
  </si>
  <si>
    <t>_x000D_
# PVs mapping to $(VAR) of type String_x000D_
record(stringout, "$(P)$(Q)") {_x000D_
  field(DESC, "$(DESC)")_x000D_
  field(OUT, "$(P)$(Q):SET PP MS")_x000D_
  field(PINI, "NO")_x000D_
  field(SDIS, "$(P)$(Q):SCD MS")_x000D_
  field(DISV, "999999")  _x000D_
}_x000D_
record(stringin, "$(P)$(Q):RBV") {_x000D_
  field(DESC, "$(DESC) readback")_x000D_
  field(DTYP, "$(DTYP)")_x000D_
  field(INP, "$(GETPROTO)")_x000D_
  field(SDIS, "$(GetSB) NPP MS")_x000D_
  field(DISV, "0")_x000D_
  field(PINI, "NO")_x000D_
  field(DISS, "INVALID")_x000D_
}_x000D_
#% autosave 0 VAL_x000D_
record(stringout,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record(scalcout, "$(P)$(Q):SYN") {_x000D_
 field(INAA, "$(P)$(Q):RBV PP")_x000D_
 field(INPB, "$(GetSB) CP MS")_x000D_
 field(INPC, "$(SetSB) NPP")_x000D_
 field(INPD, "$(P)$(Q):SCD CP MS")_x000D_
 field(INEE, "$(P)$(Q):SET NPP")_x000D_
 field(INPF, "$(P):EN_AUTOSYNC CP")_x000D_
 field(SDIS, "$(P)$(Q):SET.PACT")_x000D_
 field(DISS, "INVALID")_x000D_
 field(CALC, "((D&gt;0)||(F&gt;0))?AA:EE")_x000D_
 field(OUT, "$(P)$(Q) PP MS")_x000D_
 field(PINI, "NO")_x000D_
}_x000D_
record(calc, "$(P)$(Q):SCD") {_x000D_
 field(CALC, "BB=AA?1:0")_x000D_
 field(INAA, "$(P)$(Q):RBV CP MS")_x000D_
 field(INBB, "$(P)$(Q):SET CP")_x000D_
 field(PINI, "YES")_x000D_
 field(VAL,"0")_x000D_
 field(LOLO, "0.5")_x000D_
 field(LLSV, "MINOR") _x000D_
}_x000D_
# -----------------------------_x000D_
#</t>
  </si>
  <si>
    <t>_x000D_
# PVs mapping to $(VAR) of type Option_x000D_
record(mbbo, "$(P)$(Q)") {_x000D_
  field(DESC, "$(DESC)")_x000D_
  field(OUT, "$(P)$(Q):SET PP MS")_x000D_
  field(PINI, "NO")_x000D_
$(ENUMS)_x000D_
  field(SDIS, "$(P)$(Q):SCD MS")_x000D_
  field(DISV, "999999")  _x000D_
}_x000D_
record(mbbi, "$(P)$(Q):RBV") {_x000D_
  field(DESC, "$(DESC) readback")_x000D_
  field(DTYP, "$(DTYP)")_x000D_
  field(INP, "$(GETPROTO)")_x000D_
  field(SDIS, "$(GetSB) NPP MS")_x000D_
  field(DISV, "0")_x000D_
  field(PINI, "NO")_x000D_
  field(DISS, "INVALID")_x000D_
$(ENUMS)_x000D_
}_x000D_
#% autosave 0 VAL_x000D_
record(mbbo,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"B=A?1:0")_x000D_
 field(INPA, "$(P)$(Q):RBV CP MS")_x000D_
 field(INPB, "$(P)$(Q):SET CP")_x000D_
 field(PINI, "YES")_x000D_
 field(VAL,"0")_x000D_
 field(LOLO, "0.5")_x000D_
 field(LLSV, "MINOR") _x000D_
}_x000D_
# -----------------------------_x000D_
#_x000D_
#</t>
  </si>
  <si>
    <t>t_Ind_Total</t>
  </si>
  <si>
    <t>P2070</t>
  </si>
  <si>
    <t>P2071</t>
  </si>
  <si>
    <t>pCos</t>
  </si>
  <si>
    <t>OBS Pmac internal variable</t>
  </si>
  <si>
    <t>pSin</t>
  </si>
  <si>
    <t>P2074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</si>
</sst>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5" fillId="5" borderId="1" applyNumberFormat="0" applyFont="0" applyAlignment="0" applyProtection="0"/>
    <xf numFmtId="0" fontId="7" fillId="6" borderId="2" applyNumberFormat="0" applyAlignment="0" applyProtection="0"/>
  </cellStyleXfs>
  <cellXfs count="99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0" applyFont="1" applyProtection="1"/>
    <xf numFmtId="0" fontId="3" fillId="2" borderId="0" xfId="1" applyProtection="1"/>
    <xf numFmtId="0" fontId="3" fillId="4" borderId="0" xfId="0" applyFont="1" applyFill="1" applyProtection="1"/>
    <xf numFmtId="38" fontId="6" fillId="3" borderId="0" xfId="0" applyNumberFormat="1" applyFont="1" applyFill="1" applyProtection="1">
      <protection locked="0"/>
    </xf>
    <xf numFmtId="0" fontId="0" fillId="5" borderId="1" xfId="2" applyFont="1" applyProtection="1"/>
    <xf numFmtId="0" fontId="0" fillId="5" borderId="1" xfId="2" applyFont="1" applyBorder="1" applyProtection="1">
      <protection locked="0"/>
    </xf>
    <xf numFmtId="0" fontId="0" fillId="0" borderId="0" xfId="0" applyFill="1" applyProtection="1"/>
    <xf numFmtId="38" fontId="6" fillId="3" borderId="0" xfId="0" applyNumberFormat="1" applyFont="1" applyFill="1" applyProtection="1"/>
    <xf numFmtId="0" fontId="0" fillId="0" borderId="0" xfId="0" applyProtection="1"/>
    <xf numFmtId="0" fontId="0" fillId="0" borderId="0" xfId="0" applyAlignment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Alignment="1" applyProtection="1"/>
    <xf numFmtId="0" fontId="0" fillId="0" borderId="0" xfId="0" quotePrefix="1"/>
    <xf numFmtId="0" fontId="0" fillId="0" borderId="0" xfId="0" applyFill="1" applyBorder="1" applyProtection="1"/>
    <xf numFmtId="11" fontId="0" fillId="0" borderId="0" xfId="0" applyNumberFormat="1" applyFill="1" applyProtection="1"/>
    <xf numFmtId="0" fontId="0" fillId="0" borderId="0" xfId="0" quotePrefix="1" applyProtection="1">
      <protection locked="0"/>
    </xf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4" fillId="0" borderId="0" xfId="0" applyFont="1" applyFill="1" applyProtection="1"/>
    <xf numFmtId="0" fontId="0" fillId="0" borderId="0" xfId="0" applyFill="1" applyProtection="1">
      <protection locked="0"/>
    </xf>
    <xf numFmtId="0" fontId="3" fillId="2" borderId="0" xfId="1" applyProtection="1"/>
    <xf numFmtId="0" fontId="0" fillId="0" borderId="0" xfId="0" applyFill="1" applyBorder="1" applyProtection="1">
      <protection locked="0"/>
    </xf>
    <xf numFmtId="0" fontId="3" fillId="4" borderId="0" xfId="0" applyFont="1" applyFill="1" applyProtection="1"/>
    <xf numFmtId="0" fontId="0" fillId="5" borderId="1" xfId="2" applyFont="1" applyProtection="1"/>
    <xf numFmtId="0" fontId="0" fillId="5" borderId="1" xfId="2" applyFont="1" applyProtection="1">
      <protection locked="0"/>
    </xf>
    <xf numFmtId="0" fontId="0" fillId="7" borderId="0" xfId="0" applyFill="1" applyProtection="1"/>
    <xf numFmtId="0" fontId="7" fillId="0" borderId="2" xfId="3" applyFill="1" applyProtection="1">
      <protection locked="0"/>
    </xf>
    <xf numFmtId="0" fontId="8" fillId="5" borderId="1" xfId="2" applyFont="1" applyProtection="1"/>
    <xf numFmtId="0" fontId="8" fillId="0" borderId="0" xfId="0" applyFont="1" applyFill="1" applyBorder="1" applyProtection="1">
      <protection locked="0"/>
    </xf>
    <xf numFmtId="0" fontId="0" fillId="0" borderId="4" xfId="0" applyBorder="1" applyAlignment="1" applyProtection="1">
      <alignment horizontal="center" textRotation="180" wrapText="1"/>
      <protection locked="0"/>
    </xf>
    <xf numFmtId="0" fontId="4" fillId="0" borderId="0" xfId="0" applyFont="1" applyBorder="1" applyAlignment="1" applyProtection="1">
      <alignment horizontal="center" textRotation="180" wrapText="1"/>
    </xf>
    <xf numFmtId="0" fontId="0" fillId="7" borderId="0" xfId="0" applyFill="1" applyBorder="1" applyAlignment="1" applyProtection="1">
      <alignment horizontal="center" textRotation="180" wrapText="1"/>
    </xf>
    <xf numFmtId="0" fontId="0" fillId="5" borderId="1" xfId="2" applyFont="1" applyBorder="1" applyAlignment="1" applyProtection="1">
      <alignment horizontal="center" textRotation="180" wrapText="1"/>
    </xf>
    <xf numFmtId="0" fontId="0" fillId="0" borderId="0" xfId="0" applyBorder="1" applyAlignment="1" applyProtection="1">
      <alignment horizontal="center" textRotation="180" wrapText="1"/>
      <protection locked="0"/>
    </xf>
    <xf numFmtId="0" fontId="7" fillId="0" borderId="2" xfId="3" applyFill="1" applyBorder="1" applyAlignment="1" applyProtection="1">
      <alignment horizontal="center" textRotation="180" wrapText="1"/>
      <protection locked="0"/>
    </xf>
    <xf numFmtId="0" fontId="3" fillId="4" borderId="0" xfId="0" applyFont="1" applyFill="1" applyBorder="1" applyAlignment="1" applyProtection="1">
      <alignment horizontal="center" textRotation="180" wrapText="1"/>
    </xf>
    <xf numFmtId="0" fontId="3" fillId="2" borderId="0" xfId="1" applyBorder="1" applyAlignment="1" applyProtection="1">
      <alignment horizontal="center" textRotation="180" wrapText="1"/>
    </xf>
    <xf numFmtId="38" fontId="6" fillId="3" borderId="0" xfId="0" applyNumberFormat="1" applyFont="1" applyFill="1" applyBorder="1" applyAlignment="1" applyProtection="1">
      <alignment horizontal="center" textRotation="180" wrapText="1"/>
    </xf>
    <xf numFmtId="0" fontId="0" fillId="0" borderId="0" xfId="0" applyBorder="1" applyAlignment="1" applyProtection="1">
      <alignment horizontal="center" textRotation="180" wrapText="1"/>
    </xf>
    <xf numFmtId="0" fontId="0" fillId="8" borderId="4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8" borderId="4" xfId="0" applyFill="1" applyBorder="1" applyAlignment="1" applyProtection="1">
      <alignment horizontal="center" textRotation="180" wrapText="1"/>
      <protection locked="0"/>
    </xf>
    <xf numFmtId="0" fontId="0" fillId="8" borderId="0" xfId="0" applyFill="1" applyBorder="1" applyAlignment="1" applyProtection="1">
      <alignment horizontal="center" textRotation="180" wrapText="1"/>
      <protection locked="0"/>
    </xf>
    <xf numFmtId="0" fontId="0" fillId="8" borderId="4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3" fillId="2" borderId="3" xfId="1" applyBorder="1" applyAlignment="1" applyProtection="1">
      <alignment horizontal="center"/>
      <protection locked="0"/>
    </xf>
    <xf numFmtId="0" fontId="3" fillId="2" borderId="3" xfId="1" applyBorder="1" applyAlignment="1" applyProtection="1">
      <alignment horizontal="center" textRotation="180" wrapText="1"/>
      <protection locked="0"/>
    </xf>
    <xf numFmtId="0" fontId="3" fillId="2" borderId="3" xfId="1" applyBorder="1" applyAlignment="1" applyProtection="1">
      <alignment horizontal="center"/>
    </xf>
    <xf numFmtId="0" fontId="3" fillId="2" borderId="0" xfId="1" applyBorder="1" applyAlignment="1" applyProtection="1">
      <alignment horizontal="center"/>
      <protection locked="0"/>
    </xf>
    <xf numFmtId="0" fontId="3" fillId="2" borderId="0" xfId="1" applyBorder="1" applyAlignment="1" applyProtection="1">
      <alignment horizontal="center" textRotation="180" wrapText="1"/>
      <protection locked="0"/>
    </xf>
    <xf numFmtId="0" fontId="3" fillId="2" borderId="0" xfId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 textRotation="180" wrapText="1"/>
      <protection locked="0"/>
    </xf>
    <xf numFmtId="0" fontId="3" fillId="10" borderId="0" xfId="1" applyFill="1" applyAlignment="1" applyProtection="1">
      <alignment wrapText="1"/>
    </xf>
    <xf numFmtId="0" fontId="10" fillId="0" borderId="0" xfId="0" applyFont="1" applyAlignment="1" applyProtection="1">
      <alignment wrapText="1"/>
      <protection locked="0"/>
    </xf>
    <xf numFmtId="0" fontId="10" fillId="0" borderId="0" xfId="0" applyFont="1" applyBorder="1" applyAlignment="1" applyProtection="1">
      <alignment horizontal="center" textRotation="180" wrapText="1"/>
      <protection locked="0"/>
    </xf>
    <xf numFmtId="0" fontId="10" fillId="0" borderId="0" xfId="0" applyFont="1" applyFill="1" applyAlignment="1" applyProtection="1">
      <alignment wrapText="1"/>
      <protection locked="0"/>
    </xf>
    <xf numFmtId="0" fontId="10" fillId="0" borderId="0" xfId="0" applyFont="1" applyFill="1" applyAlignment="1" applyProtection="1">
      <alignment wrapText="1"/>
    </xf>
    <xf numFmtId="0" fontId="10" fillId="0" borderId="0" xfId="0" applyFont="1" applyFill="1" applyProtection="1"/>
    <xf numFmtId="0" fontId="0" fillId="5" borderId="5" xfId="2" applyFont="1" applyBorder="1" applyProtection="1"/>
    <xf numFmtId="0" fontId="7" fillId="0" borderId="6" xfId="3" applyFill="1" applyBorder="1" applyProtection="1">
      <protection locked="0"/>
    </xf>
    <xf numFmtId="0" fontId="0" fillId="5" borderId="7" xfId="2" applyFont="1" applyBorder="1" applyProtection="1"/>
    <xf numFmtId="0" fontId="7" fillId="0" borderId="8" xfId="3" applyFill="1" applyBorder="1" applyProtection="1">
      <protection locked="0"/>
    </xf>
    <xf numFmtId="11" fontId="0" fillId="0" borderId="0" xfId="0" applyNumberFormat="1"/>
    <xf numFmtId="0" fontId="0" fillId="5" borderId="1" xfId="2" applyFont="1" applyBorder="1" applyProtection="1"/>
    <xf numFmtId="0" fontId="7" fillId="0" borderId="2" xfId="3" applyFill="1" applyBorder="1" applyProtection="1">
      <protection locked="0"/>
    </xf>
    <xf numFmtId="0" fontId="0" fillId="0" borderId="0" xfId="0" applyBorder="1" applyProtection="1">
      <protection locked="0"/>
    </xf>
    <xf numFmtId="0" fontId="4" fillId="0" borderId="0" xfId="0" applyFont="1" applyFill="1" applyBorder="1" applyProtection="1"/>
    <xf numFmtId="0" fontId="0" fillId="7" borderId="0" xfId="0" applyFill="1" applyBorder="1" applyProtection="1"/>
    <xf numFmtId="0" fontId="10" fillId="0" borderId="0" xfId="0" applyFont="1" applyFill="1" applyBorder="1" applyAlignment="1" applyProtection="1">
      <alignment wrapText="1"/>
    </xf>
    <xf numFmtId="0" fontId="0" fillId="0" borderId="0" xfId="0" applyFill="1" applyBorder="1" applyAlignment="1" applyProtection="1"/>
    <xf numFmtId="0" fontId="4" fillId="0" borderId="9" xfId="0" applyFont="1" applyBorder="1" applyProtection="1"/>
    <xf numFmtId="0" fontId="0" fillId="7" borderId="9" xfId="0" applyFill="1" applyBorder="1" applyProtection="1"/>
    <xf numFmtId="0" fontId="0" fillId="5" borderId="10" xfId="2" applyFont="1" applyBorder="1" applyProtection="1"/>
    <xf numFmtId="0" fontId="0" fillId="0" borderId="9" xfId="0" applyBorder="1" applyProtection="1"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0" fillId="0" borderId="9" xfId="0" applyBorder="1" applyAlignment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9" xfId="0" applyFill="1" applyBorder="1" applyAlignment="1" applyProtection="1">
      <alignment horizontal="center"/>
      <protection locked="0"/>
    </xf>
    <xf numFmtId="0" fontId="7" fillId="0" borderId="12" xfId="3" applyFill="1" applyBorder="1" applyProtection="1">
      <protection locked="0"/>
    </xf>
    <xf numFmtId="0" fontId="3" fillId="2" borderId="9" xfId="1" applyBorder="1" applyAlignment="1" applyProtection="1">
      <alignment horizontal="center"/>
      <protection locked="0"/>
    </xf>
    <xf numFmtId="0" fontId="3" fillId="2" borderId="13" xfId="1" applyBorder="1" applyAlignment="1" applyProtection="1">
      <alignment horizontal="center"/>
      <protection locked="0"/>
    </xf>
    <xf numFmtId="0" fontId="3" fillId="4" borderId="9" xfId="0" applyFont="1" applyFill="1" applyBorder="1" applyProtection="1"/>
    <xf numFmtId="0" fontId="3" fillId="2" borderId="9" xfId="1" applyBorder="1" applyProtection="1"/>
    <xf numFmtId="0" fontId="0" fillId="0" borderId="9" xfId="0" applyBorder="1" applyProtection="1"/>
    <xf numFmtId="0" fontId="9" fillId="10" borderId="9" xfId="1" applyFont="1" applyFill="1" applyBorder="1" applyAlignment="1" applyProtection="1">
      <alignment wrapText="1"/>
    </xf>
    <xf numFmtId="38" fontId="6" fillId="3" borderId="9" xfId="0" applyNumberFormat="1" applyFont="1" applyFill="1" applyBorder="1" applyProtection="1"/>
    <xf numFmtId="0" fontId="0" fillId="5" borderId="0" xfId="2" applyFont="1" applyBorder="1" applyProtection="1"/>
    <xf numFmtId="0" fontId="7" fillId="0" borderId="0" xfId="3" applyFill="1" applyBorder="1" applyProtection="1">
      <protection locked="0"/>
    </xf>
    <xf numFmtId="0" fontId="3" fillId="4" borderId="0" xfId="0" applyFont="1" applyFill="1" applyBorder="1" applyProtection="1"/>
    <xf numFmtId="0" fontId="3" fillId="2" borderId="0" xfId="1" applyBorder="1" applyProtection="1"/>
    <xf numFmtId="0" fontId="0" fillId="0" borderId="0" xfId="0" applyBorder="1" applyProtection="1"/>
    <xf numFmtId="38" fontId="6" fillId="3" borderId="0" xfId="0" applyNumberFormat="1" applyFont="1" applyFill="1" applyBorder="1" applyProtection="1"/>
    <xf numFmtId="0" fontId="0" fillId="10" borderId="0" xfId="0" applyFill="1" applyBorder="1" applyProtection="1">
      <protection locked="0"/>
    </xf>
    <xf numFmtId="0" fontId="0" fillId="9" borderId="0" xfId="0" applyFill="1" applyProtection="1"/>
  </cellXfs>
  <cellStyles count="4">
    <cellStyle name="Good" xfId="1" builtinId="26"/>
    <cellStyle name="Input" xfId="3" builtinId="20"/>
    <cellStyle name="Normal" xfId="0" builtinId="0"/>
    <cellStyle name="Note" xfId="2" builtinId="10"/>
  </cellStyles>
  <dxfs count="44"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ont>
        <strike val="0"/>
        <u val="double"/>
        <color rgb="FFFF000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ont>
        <strike val="0"/>
        <u val="double"/>
        <color rgb="FFFF000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ont>
        <u val="double"/>
        <color rgb="FFFF0000"/>
      </font>
    </dxf>
    <dxf>
      <font>
        <strike val="0"/>
        <u val="double"/>
        <color rgb="FFFF000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257175</xdr:colOff>
          <xdr:row>1</xdr:row>
          <xdr:rowOff>0</xdr:rowOff>
        </xdr:from>
        <xdr:to>
          <xdr:col>24</xdr:col>
          <xdr:colOff>685800</xdr:colOff>
          <xdr:row>2</xdr:row>
          <xdr:rowOff>419100</xdr:rowOff>
        </xdr:to>
        <xdr:sp macro="" textlink="">
          <xdr:nvSpPr>
            <xdr:cNvPr id="3077" name="L_ExportPMAC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1</xdr:row>
          <xdr:rowOff>28575</xdr:rowOff>
        </xdr:from>
        <xdr:to>
          <xdr:col>18</xdr:col>
          <xdr:colOff>200025</xdr:colOff>
          <xdr:row>2</xdr:row>
          <xdr:rowOff>504825</xdr:rowOff>
        </xdr:to>
        <xdr:sp macro="" textlink="">
          <xdr:nvSpPr>
            <xdr:cNvPr id="3079" name="L_ExportEPIC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0</xdr:row>
          <xdr:rowOff>190500</xdr:rowOff>
        </xdr:from>
        <xdr:to>
          <xdr:col>27</xdr:col>
          <xdr:colOff>304800</xdr:colOff>
          <xdr:row>2</xdr:row>
          <xdr:rowOff>295275</xdr:rowOff>
        </xdr:to>
        <xdr:sp macro="" textlink="">
          <xdr:nvSpPr>
            <xdr:cNvPr id="3080" name="L_ExportArchiverXML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85725</xdr:rowOff>
        </xdr:from>
        <xdr:to>
          <xdr:col>0</xdr:col>
          <xdr:colOff>428625</xdr:colOff>
          <xdr:row>2</xdr:row>
          <xdr:rowOff>447675</xdr:rowOff>
        </xdr:to>
        <xdr:sp macro="" textlink="">
          <xdr:nvSpPr>
            <xdr:cNvPr id="3081" name="L_ExportFindReplace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2</xdr:row>
          <xdr:rowOff>47625</xdr:rowOff>
        </xdr:from>
        <xdr:to>
          <xdr:col>6</xdr:col>
          <xdr:colOff>38100</xdr:colOff>
          <xdr:row>2</xdr:row>
          <xdr:rowOff>676275</xdr:rowOff>
        </xdr:to>
        <xdr:sp macro="" textlink="">
          <xdr:nvSpPr>
            <xdr:cNvPr id="3082" name="CB_PVNAMES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333375</xdr:colOff>
          <xdr:row>0</xdr:row>
          <xdr:rowOff>180975</xdr:rowOff>
        </xdr:from>
        <xdr:to>
          <xdr:col>22</xdr:col>
          <xdr:colOff>381000</xdr:colOff>
          <xdr:row>2</xdr:row>
          <xdr:rowOff>457200</xdr:rowOff>
        </xdr:to>
        <xdr:sp macro="" textlink="">
          <xdr:nvSpPr>
            <xdr:cNvPr id="3083" name="L_CtrlUI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0</xdr:row>
          <xdr:rowOff>171450</xdr:rowOff>
        </xdr:from>
        <xdr:to>
          <xdr:col>24</xdr:col>
          <xdr:colOff>66675</xdr:colOff>
          <xdr:row>2</xdr:row>
          <xdr:rowOff>447675</xdr:rowOff>
        </xdr:to>
        <xdr:sp macro="" textlink="">
          <xdr:nvSpPr>
            <xdr:cNvPr id="3084" name="L_MonUI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57150</xdr:rowOff>
        </xdr:from>
        <xdr:to>
          <xdr:col>11</xdr:col>
          <xdr:colOff>723900</xdr:colOff>
          <xdr:row>7</xdr:row>
          <xdr:rowOff>95250</xdr:rowOff>
        </xdr:to>
        <xdr:sp macro="" textlink="">
          <xdr:nvSpPr>
            <xdr:cNvPr id="2050" name="CB_LoadVarTemplat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7</xdr:row>
          <xdr:rowOff>57150</xdr:rowOff>
        </xdr:from>
        <xdr:to>
          <xdr:col>7</xdr:col>
          <xdr:colOff>590550</xdr:colOff>
          <xdr:row>9</xdr:row>
          <xdr:rowOff>152400</xdr:rowOff>
        </xdr:to>
        <xdr:sp macro="" textlink="">
          <xdr:nvSpPr>
            <xdr:cNvPr id="8193" name="CB_SubTemplates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B136"/>
  <sheetViews>
    <sheetView tabSelected="1" zoomScaleNormal="100" workbookViewId="0">
      <pane xSplit="5" ySplit="3" topLeftCell="O4" activePane="bottomRight" state="frozen"/>
      <selection pane="topRight" activeCell="E1" sqref="E1"/>
      <selection pane="bottomLeft" activeCell="A4" sqref="A4"/>
      <selection pane="bottomRight" activeCell="R24" sqref="R24"/>
    </sheetView>
  </sheetViews>
  <sheetFormatPr defaultColWidth="9.140625" defaultRowHeight="15.75" customHeight="1" x14ac:dyDescent="0.25"/>
  <cols>
    <col min="1" max="1" width="7" style="2" customWidth="1"/>
    <col min="2" max="2" width="1.7109375" style="4" customWidth="1"/>
    <col min="3" max="3" width="2" style="30" customWidth="1"/>
    <col min="4" max="4" width="14.140625" style="8" customWidth="1"/>
    <col min="5" max="5" width="15.42578125" style="2" customWidth="1"/>
    <col min="6" max="6" width="9.5703125" style="2" customWidth="1"/>
    <col min="7" max="7" width="8.28515625" style="2" bestFit="1" customWidth="1"/>
    <col min="8" max="8" width="3.85546875" style="2" customWidth="1"/>
    <col min="9" max="9" width="18.28515625" style="58" customWidth="1"/>
    <col min="10" max="10" width="4.85546875" style="2" customWidth="1"/>
    <col min="11" max="11" width="7.28515625" style="2" customWidth="1"/>
    <col min="12" max="12" width="7" style="2" customWidth="1"/>
    <col min="13" max="13" width="9.7109375" style="2" customWidth="1"/>
    <col min="14" max="14" width="5.5703125" style="2" customWidth="1"/>
    <col min="15" max="15" width="5.5703125" style="13" customWidth="1"/>
    <col min="16" max="16" width="5.85546875" style="44" customWidth="1"/>
    <col min="17" max="22" width="5.85546875" style="45" customWidth="1"/>
    <col min="23" max="24" width="5.85546875" style="98" customWidth="1"/>
    <col min="25" max="26" width="12.7109375" style="31" bestFit="1" customWidth="1"/>
    <col min="27" max="27" width="4.5703125" style="31" customWidth="1"/>
    <col min="28" max="28" width="6" style="53" customWidth="1"/>
    <col min="29" max="29" width="6" style="50" customWidth="1"/>
    <col min="30" max="30" width="6.28515625" style="6" customWidth="1"/>
    <col min="31" max="31" width="12.140625" style="5" customWidth="1"/>
    <col min="32" max="32" width="4.42578125" style="6" customWidth="1"/>
    <col min="33" max="33" width="4.140625" style="5" customWidth="1"/>
    <col min="34" max="34" width="12.28515625" style="5" customWidth="1"/>
    <col min="35" max="35" width="5.5703125" style="5" customWidth="1"/>
    <col min="36" max="36" width="5.7109375" style="5" customWidth="1"/>
    <col min="37" max="39" width="9.140625" style="12"/>
    <col min="40" max="40" width="7.140625" style="5" customWidth="1"/>
    <col min="41" max="41" width="8.85546875" style="5" customWidth="1"/>
    <col min="42" max="42" width="13" style="5" customWidth="1"/>
    <col min="43" max="43" width="10.140625" style="25" customWidth="1"/>
    <col min="44" max="44" width="10.140625" style="5" customWidth="1"/>
    <col min="45" max="45" width="5.42578125" style="5" customWidth="1"/>
    <col min="46" max="46" width="10.140625" style="5" customWidth="1"/>
    <col min="47" max="47" width="8.7109375" style="5" customWidth="1"/>
    <col min="48" max="51" width="4.5703125" style="7" customWidth="1"/>
    <col min="52" max="52" width="9.140625" style="12" customWidth="1"/>
    <col min="53" max="53" width="9.140625" style="12"/>
    <col min="54" max="54" width="35.140625" style="2" bestFit="1" customWidth="1"/>
    <col min="55" max="16384" width="9.140625" style="2"/>
  </cols>
  <sheetData>
    <row r="1" spans="1:54" ht="15.75" customHeight="1" x14ac:dyDescent="0.25">
      <c r="E1" s="8" t="s">
        <v>752</v>
      </c>
      <c r="F1" s="2" t="s">
        <v>431</v>
      </c>
      <c r="G1" s="28" t="s">
        <v>753</v>
      </c>
      <c r="I1" s="25" t="s">
        <v>758</v>
      </c>
      <c r="J1" s="19"/>
      <c r="AE1" s="5" t="str">
        <f>""</f>
        <v/>
      </c>
      <c r="AO1" s="5" t="s">
        <v>359</v>
      </c>
      <c r="AV1" s="11">
        <f>40-LEN(y_Prefix)-LEN("SYC.NAME")</f>
        <v>19</v>
      </c>
      <c r="AW1" s="11">
        <f>40-LEN(y_Prefix)-LEN("SYC.NAME")+LEN("$(P):")</f>
        <v>24</v>
      </c>
      <c r="AX1" s="11">
        <f>40-LEN(y_Prefix)-LEN("SYC.NAME")+LEN("$(P):")</f>
        <v>24</v>
      </c>
      <c r="AY1" s="11">
        <v>40</v>
      </c>
    </row>
    <row r="2" spans="1:54" ht="15.75" customHeight="1" x14ac:dyDescent="0.25">
      <c r="A2" s="2" t="s">
        <v>396</v>
      </c>
      <c r="B2" s="4" t="s">
        <v>349</v>
      </c>
      <c r="F2" s="2" t="s">
        <v>430</v>
      </c>
      <c r="G2" s="28"/>
      <c r="I2" s="58" t="s">
        <v>757</v>
      </c>
      <c r="P2" s="44" t="s">
        <v>432</v>
      </c>
      <c r="AD2" s="6" t="s">
        <v>24</v>
      </c>
      <c r="AE2" s="5" t="s">
        <v>24</v>
      </c>
      <c r="AN2" s="5" t="e">
        <f>SUBSTITUTE(,y_Prefix&amp;y_dev_prefix,":","_")</f>
        <v>#VALUE!</v>
      </c>
      <c r="AO2" s="5" t="str">
        <f>y_filenamebase&amp;"_Map.autogen.template"</f>
        <v>_RSCN_Map.autogen.template</v>
      </c>
      <c r="AP2" s="25" t="str">
        <f>y_filenamebase&amp;"-ControlUI.autogen.xml"</f>
        <v>_RSCN-ControlUI.autogen.xml</v>
      </c>
      <c r="AQ2" s="25" t="str">
        <f>y_filenamebase&amp;"-MonitorUI.autogen.xml"</f>
        <v>_RSCN-MonitorUI.autogen.xml</v>
      </c>
      <c r="AT2" s="5" t="str">
        <f>y_filenamebase&amp;"-def.autogen.pmc"</f>
        <v>_RSCN-def.autogen.pmc</v>
      </c>
      <c r="AU2" s="5" t="str">
        <f>y_filenamebase&amp;"-archive.autogen.xml"</f>
        <v>_RSCN-archive.autogen.xml</v>
      </c>
      <c r="AV2" s="11" t="s">
        <v>389</v>
      </c>
      <c r="AW2" s="11"/>
      <c r="AX2" s="11"/>
      <c r="AY2" s="11"/>
    </row>
    <row r="3" spans="1:54" s="38" customFormat="1" ht="112.7" customHeight="1" x14ac:dyDescent="0.25">
      <c r="A3" s="34" t="s">
        <v>399</v>
      </c>
      <c r="B3" s="35" t="s">
        <v>44</v>
      </c>
      <c r="C3" s="36" t="s">
        <v>388</v>
      </c>
      <c r="D3" s="37" t="s">
        <v>342</v>
      </c>
      <c r="E3" s="38" t="s">
        <v>424</v>
      </c>
      <c r="F3" s="38" t="s">
        <v>341</v>
      </c>
      <c r="G3" s="38" t="s">
        <v>344</v>
      </c>
      <c r="H3" s="38" t="s">
        <v>409</v>
      </c>
      <c r="I3" s="59" t="s">
        <v>25</v>
      </c>
      <c r="J3" s="38" t="s">
        <v>26</v>
      </c>
      <c r="K3" s="38" t="s">
        <v>410</v>
      </c>
      <c r="L3" s="38" t="s">
        <v>411</v>
      </c>
      <c r="M3" s="38" t="s">
        <v>412</v>
      </c>
      <c r="N3" s="38" t="s">
        <v>413</v>
      </c>
      <c r="O3" s="38" t="s">
        <v>360</v>
      </c>
      <c r="P3" s="46" t="s">
        <v>414</v>
      </c>
      <c r="Q3" s="47" t="s">
        <v>395</v>
      </c>
      <c r="R3" s="47" t="s">
        <v>415</v>
      </c>
      <c r="S3" s="47" t="s">
        <v>416</v>
      </c>
      <c r="T3" s="47" t="s">
        <v>417</v>
      </c>
      <c r="U3" s="47" t="s">
        <v>425</v>
      </c>
      <c r="V3" s="47" t="s">
        <v>423</v>
      </c>
      <c r="W3" s="56" t="s">
        <v>418</v>
      </c>
      <c r="X3" s="56" t="s">
        <v>419</v>
      </c>
      <c r="Y3" s="39" t="s">
        <v>421</v>
      </c>
      <c r="Z3" s="39" t="s">
        <v>422</v>
      </c>
      <c r="AA3" s="39" t="s">
        <v>420</v>
      </c>
      <c r="AB3" s="54" t="s">
        <v>397</v>
      </c>
      <c r="AC3" s="51" t="s">
        <v>394</v>
      </c>
      <c r="AD3" s="40" t="s">
        <v>347</v>
      </c>
      <c r="AE3" s="41" t="s">
        <v>346</v>
      </c>
      <c r="AF3" s="40" t="s">
        <v>348</v>
      </c>
      <c r="AG3" s="41" t="s">
        <v>345</v>
      </c>
      <c r="AH3" s="41" t="str">
        <f>IF(ISNUMBER(Y3),Y3,"$(P):$(Q):"&amp;Y3)</f>
        <v>$(P):$(Q):getEnabler</v>
      </c>
      <c r="AI3" s="41" t="str">
        <f>IF(ISNUMBER(Z3),Z3,"$(P):$(Q):"&amp;Z3)</f>
        <v>$(P):$(Q):setEnabler</v>
      </c>
      <c r="AJ3" s="41" t="s">
        <v>361</v>
      </c>
      <c r="AK3" s="43" t="s">
        <v>515</v>
      </c>
      <c r="AL3" s="43" t="s">
        <v>513</v>
      </c>
      <c r="AM3" s="43" t="s">
        <v>514</v>
      </c>
      <c r="AN3" s="41" t="s">
        <v>383</v>
      </c>
      <c r="AO3" s="41" t="s">
        <v>28</v>
      </c>
      <c r="AP3" s="41" t="s">
        <v>400</v>
      </c>
      <c r="AQ3" s="41" t="s">
        <v>401</v>
      </c>
      <c r="AR3" s="41" t="s">
        <v>29</v>
      </c>
      <c r="AS3" s="41" t="s">
        <v>433</v>
      </c>
      <c r="AT3" s="41" t="s">
        <v>30</v>
      </c>
      <c r="AU3" s="41" t="s">
        <v>46</v>
      </c>
      <c r="AV3" s="42" t="s">
        <v>393</v>
      </c>
      <c r="AW3" s="42" t="s">
        <v>392</v>
      </c>
      <c r="AX3" s="42" t="s">
        <v>391</v>
      </c>
      <c r="AY3" s="42" t="s">
        <v>390</v>
      </c>
      <c r="AZ3" s="43" t="s">
        <v>522</v>
      </c>
      <c r="BA3" s="43" t="s">
        <v>426</v>
      </c>
      <c r="BB3" s="38" t="s">
        <v>398</v>
      </c>
    </row>
    <row r="4" spans="1:54" ht="15.75" customHeight="1" x14ac:dyDescent="0.25">
      <c r="A4" s="22">
        <v>-11</v>
      </c>
      <c r="B4" s="23" t="str">
        <f>IF(AND(LEN(D4)&gt;3,D4&lt;&gt;E4),"&lt;FIND TYPE=ASC&gt;"&amp;AD4&amp;"&lt;/FIND&gt;&lt;REPLACE TYPE=ASC&gt;"&amp;AE4&amp;"&lt;/REPLACE&gt;"&amp;CHAR(10)&amp;"&lt;FIND TYPE=ASC&gt;"&amp;AF4&amp;"&lt;/FIND&gt;&lt;REPLACE TYPE=ASC&gt;"&amp;AG4&amp;"&lt;/REPLACE&gt;"&amp;CHAR(10)&amp;"&lt;FIND TYPE=ASC&gt;"&amp;D4&amp;"&lt;/FIND&gt;&lt;REPLACE TYPE=ASC&gt;"&amp;E4&amp;"&lt;/REPLACE&gt;",".")</f>
        <v>.</v>
      </c>
      <c r="C4" s="30" t="s">
        <v>408</v>
      </c>
      <c r="D4" s="29"/>
      <c r="E4" s="24">
        <v>-1</v>
      </c>
      <c r="F4" s="24" t="s">
        <v>520</v>
      </c>
      <c r="G4" s="24"/>
      <c r="H4" s="24"/>
      <c r="I4" s="60" t="s">
        <v>754</v>
      </c>
      <c r="J4" s="24"/>
      <c r="K4" s="24"/>
      <c r="L4" s="24"/>
      <c r="M4" s="24"/>
      <c r="N4" s="24"/>
      <c r="O4" s="14"/>
      <c r="P4" s="45" t="s">
        <v>35</v>
      </c>
      <c r="Z4" s="31">
        <v>-1</v>
      </c>
      <c r="AB4" s="55" t="str">
        <f>IF(LEN(R4&amp;S4&amp;T4&amp;U4&amp;V4)&gt;0,"epics","")</f>
        <v/>
      </c>
      <c r="AC4" s="52" t="str">
        <f>IF(NOT(ISBLANK(V4)),"base",IF(AB4="epics",IF(AND(ISBLANK(P4),ISBLANK(Q4)),"nmp","map"),""))</f>
        <v/>
      </c>
      <c r="AD4" s="27" t="str">
        <f>UPPER(AD$1&amp;":"&amp;D4)</f>
        <v>:</v>
      </c>
      <c r="AE4" s="25" t="str">
        <f>UPPER(AE$1&amp;":"&amp;E4)</f>
        <v>:-1</v>
      </c>
      <c r="AF4" s="27" t="str">
        <f>SUBSTITUTE(D4,"_","")</f>
        <v/>
      </c>
      <c r="AG4" s="25" t="str">
        <f>SUBSTITUTE(E4,"_","")&amp;IF(AND(RIGHT(P4)&lt;&gt;"s",RIGHT(Q4)&lt;&gt;"s"),"","")</f>
        <v>-1</v>
      </c>
      <c r="AH4" s="25" t="str">
        <f>IF(ISNUMBER(Y4),Y4,"$(P)"&amp;$AE$1&amp;":"&amp;Y4)</f>
        <v>$(P):</v>
      </c>
      <c r="AI4" s="25">
        <f>IF(ISNUMBER(Z4),Z4,"$(P)"&amp;$AE$1&amp;":"&amp;Z4)</f>
        <v>-1</v>
      </c>
      <c r="AJ4" s="25"/>
      <c r="AK4" s="12" t="str">
        <f>IF(AC4="map",IF(G4="float",y_varMapAnalog,IF(G4="int",y_varMapLongint,IF(G4="bool",y_varMapBool,IF(G4="string",y_varMapString,IF(G4="option",y_varMapOption,"#unknown Type"))))),IF(AC4="nmp",y_nonMappedAnalog,""))</f>
        <v/>
      </c>
      <c r="AL4" s="12" t="e">
        <f>VLOOKUP(G4,y_mapProtocolLUT,3)</f>
        <v>#N/A</v>
      </c>
      <c r="AM4" s="12" t="e">
        <f>VLOOKUP(G4,y_mapProtocolLUT,2)</f>
        <v>#N/A</v>
      </c>
      <c r="AN4" s="25" t="e">
        <f>IF(LEN(AG4)&gt;0,SUBSTITUTE(SUBSTITUTE(SUBSTITUTE(AK4,"$(DTYP)",y_DTYPE),"$(SETPROTO)",AM4),"$(GETPROTO)",AL4),"")</f>
        <v>#N/A</v>
      </c>
      <c r="AO4" s="57" t="str">
        <f>"### --- " &amp; I4</f>
        <v>### --- Auto generated varMap interface mapping</v>
      </c>
      <c r="AP4" s="57" t="s">
        <v>406</v>
      </c>
      <c r="AQ4" s="57" t="s">
        <v>407</v>
      </c>
      <c r="AR4" s="25" t="e">
        <f>VLOOKUP(G4,y_EPICS_Formats,2,FALSE)</f>
        <v>#N/A</v>
      </c>
      <c r="AS4" s="25" t="str">
        <f>IF(AB4="epics",y_Prefix&amp;AE4&amp;" = ","")</f>
        <v/>
      </c>
      <c r="AT4" s="25" t="str">
        <f>IF(LEN(P4&amp;Q4)&gt;0,IFERROR(";"&amp;I4&amp;"["&amp;K4&amp;"]"&amp;AB4&amp;"("&amp;AC4&amp;")"&amp;CHAR(10)&amp;C4 &amp;CHAR(9)&amp;AG4&amp;CHAR(9)&amp;F4 &amp;CHAR(9),";;Error!"),"")</f>
        <v xml:space="preserve">;Auto generated varMap interface mapping[]()
;	-1	A0001	</v>
      </c>
      <c r="AU4" s="25" t="str">
        <f>IF(IFERROR(AND(AA4&gt;0,LEN(AN4)&gt;0),FALSE),SUBSTITUTE(SUBSTITUTE(SUBSTITUTE(y_archiverXML,"~PVNAME",AE4),"~PREFIX",y_Prefix),"~PERIOD",MIN(30,AA4)),"")</f>
        <v/>
      </c>
      <c r="AV4" s="11" t="str">
        <f>IF($AB4="epics",AV$1-LEN(AE4),"")</f>
        <v/>
      </c>
      <c r="AW4" s="11" t="str">
        <f>IF($AB4="epics",AW$1-LEN(AH4),"")</f>
        <v/>
      </c>
      <c r="AX4" s="11" t="str">
        <f>IF($AB4="epics",AX$1-LEN(AI4),"")</f>
        <v/>
      </c>
      <c r="AY4" s="11" t="str">
        <f>IF($AB4="epics",AY$1-LEN(I4)-LEN(" readback"),"")</f>
        <v/>
      </c>
      <c r="AZ4" s="12">
        <f>IF(LEN(F4)&gt;0,IFERROR(VALUE(RIGHT(F4,LEN(F4)-1)),F4),"zzzzz")</f>
        <v>1</v>
      </c>
      <c r="BA4" s="12" t="str">
        <f>RIGHT(F4,LEN(F4)-1)</f>
        <v>0001</v>
      </c>
      <c r="BB4" s="22" t="str">
        <f>y_Prefix&amp;AE4</f>
        <v>SR05ID01FST01:-1</v>
      </c>
    </row>
    <row r="5" spans="1:54" ht="15.75" customHeight="1" x14ac:dyDescent="0.25">
      <c r="A5" s="22">
        <v>-1</v>
      </c>
      <c r="B5" s="23" t="str">
        <f>IF(AND(LEN(D5)&gt;3,D5&lt;&gt;E5),"&lt;FIND TYPE=ASC&gt;"&amp;AD5&amp;"&lt;/FIND&gt;&lt;REPLACE TYPE=ASC&gt;"&amp;AE5&amp;"&lt;/REPLACE&gt;"&amp;CHAR(10)&amp;"&lt;FIND TYPE=ASC&gt;"&amp;AF5&amp;"&lt;/FIND&gt;&lt;REPLACE TYPE=ASC&gt;"&amp;AG5&amp;"&lt;/REPLACE&gt;"&amp;CHAR(10)&amp;"&lt;FIND TYPE=ASC&gt;"&amp;D5&amp;"&lt;/FIND&gt;&lt;REPLACE TYPE=ASC&gt;"&amp;E5&amp;"&lt;/REPLACE&gt;",".")</f>
        <v>.</v>
      </c>
      <c r="C5" s="30" t="s">
        <v>408</v>
      </c>
      <c r="D5" s="29"/>
      <c r="E5" s="24">
        <v>-1</v>
      </c>
      <c r="F5" s="24" t="s">
        <v>521</v>
      </c>
      <c r="G5" s="24"/>
      <c r="H5" s="24"/>
      <c r="I5" s="61" t="str">
        <f ca="1">"From "&amp;CELL("filename") &amp;" on " &amp;TEXT(TODAY(),"dd/MMM/yyyy")</f>
        <v>From C:\P4C\tec\mc\pmacRascan\trunk\documentation\[varMap.Rascan2.WIP.xlsm]Interface on 20/Jan/2020</v>
      </c>
      <c r="J5" s="24"/>
      <c r="K5" s="24"/>
      <c r="L5" s="24"/>
      <c r="M5" s="24"/>
      <c r="N5" s="24"/>
      <c r="O5" s="14"/>
      <c r="P5" s="45" t="s">
        <v>35</v>
      </c>
      <c r="Z5" s="31">
        <v>-1</v>
      </c>
      <c r="AB5" s="55" t="str">
        <f>IF(LEN(R5&amp;S5&amp;T5&amp;U5&amp;V5)&gt;0,"epics","")</f>
        <v/>
      </c>
      <c r="AC5" s="52" t="str">
        <f>IF(NOT(ISBLANK(V5)),"base",IF(AB5="epics",IF(AND(ISBLANK(P5),ISBLANK(Q5)),"nmp","map"),""))</f>
        <v/>
      </c>
      <c r="AD5" s="27" t="str">
        <f>UPPER(AD$1&amp;":"&amp;D5)</f>
        <v>:</v>
      </c>
      <c r="AE5" s="25" t="str">
        <f>UPPER(AE$1&amp;":"&amp;E5)</f>
        <v>:-1</v>
      </c>
      <c r="AF5" s="27" t="str">
        <f>SUBSTITUTE(D5,"_","")</f>
        <v/>
      </c>
      <c r="AG5" s="25" t="str">
        <f>SUBSTITUTE(E5,"_","")&amp;IF(AND(RIGHT(P5)&lt;&gt;"s",RIGHT(Q5)&lt;&gt;"s"),"","")</f>
        <v>-1</v>
      </c>
      <c r="AH5" s="25" t="str">
        <f>IF(ISNUMBER(Y5),Y5,"$(P)"&amp;$AE$1&amp;":"&amp;Y5)</f>
        <v>$(P):</v>
      </c>
      <c r="AI5" s="25">
        <f>IF(ISNUMBER(Z5),Z5,"$(P)"&amp;$AE$1&amp;":"&amp;Z5)</f>
        <v>-1</v>
      </c>
      <c r="AJ5" s="25"/>
      <c r="AK5" s="12" t="str">
        <f>IF(AC5="map",IF(G5="float",y_varMapAnalog,IF(G5="int",y_varMapLongint,IF(G5="bool",y_varMapBool,IF(G5="string",y_varMapString,IF(G5="option",y_varMapOption,"#unknown Type"))))),IF(AC5="nmp",y_nonMappedAnalog,""))</f>
        <v/>
      </c>
      <c r="AL5" s="12" t="e">
        <f>VLOOKUP(G5,y_mapProtocolLUT,3)</f>
        <v>#N/A</v>
      </c>
      <c r="AM5" s="12" t="e">
        <f>VLOOKUP(G5,y_mapProtocolLUT,2)</f>
        <v>#N/A</v>
      </c>
      <c r="AN5" s="25" t="e">
        <f>IF(LEN(AG5)&gt;0,SUBSTITUTE(SUBSTITUTE(SUBSTITUTE(AK5,"$(DTYP)",y_DTYPE),"$(SETPROTO)",AM5),"$(GETPROTO)",AL5),"")</f>
        <v>#N/A</v>
      </c>
      <c r="AO5" s="57" t="str">
        <f ca="1">"### --- " &amp; I5</f>
        <v>### --- From C:\P4C\tec\mc\pmacRascan\trunk\documentation\[varMap.Rascan2.WIP.xlsm]Interface on 20/Jan/2020</v>
      </c>
      <c r="AP5" s="25" t="str">
        <f>IF(ISNUMBER(W5),SUBSTITUTE(SUBSTITUTE(SUBSTITUTE(SUBSTITUTE(SUBSTITUTE(SUBSTITUTE(SUBSTITUTE(SUBSTITUTE(y_QLabel &amp; IF(RIGHT(R5)="s",y_QELineEdit,y_QELabel),"~PVNAME",$AE5&amp;IF($AC5="map","","")),"~EGU",$K5),"~PREC",$N5),"~VAR",$F5),"~CANGET",$AH5),"~CANSET",$AI5),"~ROW",W5),"~NAME",$E5),"")</f>
        <v/>
      </c>
      <c r="AQ5" s="25" t="str">
        <f>IF(ISNUMBER(X5),SUBSTITUTE(SUBSTITUTE(SUBSTITUTE(SUBSTITUTE(SUBSTITUTE(SUBSTITUTE(SUBSTITUTE(SUBSTITUTE(y_QLabel &amp; IF(RIGHT(S5)="s",y_QELineEdit,y_QELabel),"~PVNAME",$AE5&amp;IF($AC5="map",":RBV","")),"~EGU",$K5),"~PREC",$N5),"~VAR",$F5),"~CANGET",$AH5),"~CANSET",$AI5),"~ROW",X5),"~NAME",$E5),"")</f>
        <v/>
      </c>
      <c r="AR5" s="25" t="e">
        <f>VLOOKUP(G5,y_EPICS_Formats,2,FALSE)</f>
        <v>#N/A</v>
      </c>
      <c r="AS5" s="25" t="str">
        <f>IF(AB5="epics",y_Prefix&amp;AE5&amp;" = ","")</f>
        <v/>
      </c>
      <c r="AT5" s="25" t="str">
        <f ca="1">IF(LEN(P5&amp;Q5)&gt;0,IFERROR(";"&amp;I5&amp;"["&amp;K5&amp;"]"&amp;AB5&amp;"("&amp;AC5&amp;")"&amp;CHAR(10)&amp;C5 &amp;CHAR(9)&amp;AG5&amp;CHAR(9)&amp;F5 &amp;CHAR(9),";;Error!"),"")</f>
        <v xml:space="preserve">;From C:\P4C\tec\mc\pmacRascan\trunk\documentation\[varMap.Rascan2.WIP.xlsm]Interface on 20/Jan/2020[]()
;	-1	A0002	</v>
      </c>
      <c r="AU5" s="25" t="str">
        <f>IF(IFERROR(AND(AA5&gt;0,LEN(AN5)&gt;0),FALSE),SUBSTITUTE(SUBSTITUTE(SUBSTITUTE(y_archiverXML,"~PVNAME",AE5),"~PREFIX",y_Prefix),"~PERIOD",MIN(30,AA5)),"")</f>
        <v/>
      </c>
      <c r="AV5" s="11" t="str">
        <f>IF($AB5="epics",AV$1-LEN(AE5),"")</f>
        <v/>
      </c>
      <c r="AW5" s="11" t="str">
        <f>IF($AB5="epics",AW$1-LEN(AH5),"")</f>
        <v/>
      </c>
      <c r="AX5" s="11" t="str">
        <f>IF($AB5="epics",AX$1-LEN(AI5),"")</f>
        <v/>
      </c>
      <c r="AY5" s="11" t="str">
        <f>IF($AB5="epics",AY$1-LEN(I5)-LEN(" readback"),"")</f>
        <v/>
      </c>
      <c r="AZ5" s="12">
        <f>IF(LEN(F5)&gt;0,IFERROR(VALUE(RIGHT(F5,LEN(F5)-1)),F5),"zzzzz")</f>
        <v>2</v>
      </c>
      <c r="BA5" s="12" t="str">
        <f>RIGHT(F5,LEN(F5)-1)</f>
        <v>0002</v>
      </c>
      <c r="BB5" s="22" t="str">
        <f>y_Prefix&amp;AE5</f>
        <v>SR05ID01FST01:-1</v>
      </c>
    </row>
    <row r="6" spans="1:54" ht="15.75" customHeight="1" x14ac:dyDescent="0.25">
      <c r="A6" s="22">
        <v>3</v>
      </c>
      <c r="B6" s="23" t="str">
        <f>IF(AND(LEN(D6)&gt;3,D6&lt;&gt;E6),"&lt;FIND TYPE=ASC&gt;"&amp;AD6&amp;"&lt;/FIND&gt;&lt;REPLACE TYPE=ASC&gt;"&amp;AE6&amp;"&lt;/REPLACE&gt;"&amp;CHAR(10)&amp;"&lt;FIND TYPE=ASC&gt;"&amp;AF6&amp;"&lt;/FIND&gt;&lt;REPLACE TYPE=ASC&gt;"&amp;AG6&amp;"&lt;/REPLACE&gt;"&amp;CHAR(10)&amp;"&lt;FIND TYPE=ASC&gt;"&amp;D6&amp;"&lt;/FIND&gt;&lt;REPLACE TYPE=ASC&gt;"&amp;E6&amp;"&lt;/REPLACE&gt;",".")</f>
        <v>.</v>
      </c>
      <c r="C6" s="30" t="str">
        <f>IF(AND(ISBLANK(P6),ISBLANK(Q6)),";","#define")</f>
        <v>#define</v>
      </c>
      <c r="D6" s="32"/>
      <c r="E6" s="33" t="s">
        <v>523</v>
      </c>
      <c r="F6" s="10" t="s">
        <v>524</v>
      </c>
      <c r="G6" s="10" t="s">
        <v>77</v>
      </c>
      <c r="H6" s="10"/>
      <c r="I6" s="61" t="s">
        <v>525</v>
      </c>
      <c r="J6" s="10" t="s">
        <v>363</v>
      </c>
      <c r="K6" s="10" t="s">
        <v>526</v>
      </c>
      <c r="L6" s="10">
        <v>-9999999</v>
      </c>
      <c r="M6" s="10">
        <v>9999999</v>
      </c>
      <c r="N6" s="10">
        <v>3</v>
      </c>
      <c r="O6" s="15"/>
      <c r="P6" s="49" t="s">
        <v>35</v>
      </c>
      <c r="Q6" s="49"/>
      <c r="R6" s="49" t="s">
        <v>365</v>
      </c>
      <c r="S6" s="49"/>
      <c r="T6" s="49" t="s">
        <v>35</v>
      </c>
      <c r="U6" s="49"/>
      <c r="V6" s="49"/>
      <c r="W6" s="98">
        <v>1</v>
      </c>
      <c r="Y6" s="31" t="s">
        <v>784</v>
      </c>
      <c r="Z6" s="31" t="s">
        <v>784</v>
      </c>
      <c r="AA6" s="31">
        <v>30</v>
      </c>
      <c r="AB6" s="55" t="str">
        <f>IF(LEN(R6&amp;S6&amp;T6&amp;U6&amp;V6)&gt;0,"epics","")</f>
        <v>epics</v>
      </c>
      <c r="AC6" s="52" t="str">
        <f>IF(NOT(ISBLANK(V6)),"base",IF(AB6="epics",IF(AND(ISBLANK(P6),ISBLANK(Q6)),"nmp","map"),""))</f>
        <v>map</v>
      </c>
      <c r="AD6" s="27" t="str">
        <f>UPPER(AD$1&amp;":"&amp;D6)</f>
        <v>:</v>
      </c>
      <c r="AE6" s="25" t="str">
        <f>UPPER(AE$1&amp;":"&amp;E6)</f>
        <v>:A1_HLM</v>
      </c>
      <c r="AF6" s="27" t="str">
        <f>SUBSTITUTE(D6,"_","")</f>
        <v/>
      </c>
      <c r="AG6" s="25" t="str">
        <f>SUBSTITUTE(E6,"_","")&amp;IF(AND(RIGHT(P6)&lt;&gt;"s",RIGHT(Q6)&lt;&gt;"s"),"","")</f>
        <v>a1HLM</v>
      </c>
      <c r="AH6" s="25" t="str">
        <f>IF(ISNUMBER(Y6),Y6,"$(P)"&amp;$AE$1&amp;":"&amp;Y6)</f>
        <v>$(P):EN_TRAJSET</v>
      </c>
      <c r="AI6" s="25" t="str">
        <f>IF(ISNUMBER(Z6),Z6,"$(P)"&amp;$AE$1&amp;":"&amp;Z6)</f>
        <v>$(P):EN_TRAJSET</v>
      </c>
      <c r="AJ6" s="25"/>
      <c r="AK6" s="12" t="str">
        <f>IF(AC6="map",IF(G6="float",y_varMapAnalog,IF(G6="int",y_varMapLongint,IF(G6="bool",y_varMapBool,IF(G6="string",y_varMapString,IF(G6="option",y_varMapOption,"#unknown Type"))))),IF(AC6="nmp",y_nonMappedAnalog,""))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6" s="12" t="str">
        <f>VLOOKUP(G6,y_mapProtocolLUT,3)</f>
        <v>@pmac.proto getVar($(VAR)) $(PORT)</v>
      </c>
      <c r="AM6" s="12" t="str">
        <f>VLOOKUP(G6,y_mapProtocolLUT,2)</f>
        <v>@pmac.proto setVar($(VAR)) $(PORT)</v>
      </c>
      <c r="AN6" s="25" t="str">
        <f>IF(LEN(AG6)&gt;0,SUBSTITUTE(SUBSTITUTE(SUBSTITUTE(AK6,"$(DTYP)",y_DTYPE),"$(SETPROTO)",AM6),"$(GETPROTO)",AL6),"")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6" s="25" t="str">
        <f>IFERROR(SUBSTITUTE(SUBSTITUTE(SUBSTITUTE(SUBSTITUTE(SUBSTITUTE(SUBSTITUTE(SUBSTITUTE(SUBSTITUTE(SUBSTITUTE(AN6,"$(Q)",AE6),"$(EGU)",K6),"$(PREC)",N6),"$(VAR)",TRIM(CLEAN(y_dedicatedCS&amp;F6))),"$(GetSB)",AH6),"$(SetSB)",AI6),"$(DESC)",LEFT(I6,40)),"$(ENUMS)",AJ6),"$(DEFAULT)",H6),"")</f>
        <v>_x000D_
# PVs mapping to P2002 of type Analog_x000D_
record(ao, "$(P):A1_HLM") {_x000D_
  field(DESC, "Fly axis accel. desired limit")_x000D_
  field(OUT, "$(P):A1_HLM:SET PP MS")_x000D_
  field(PINI, "NO")_x000D_
  field(EGU, "EGU/s2") field(PREC, "3")_x000D_
  field(SDIS, "$(P):A1_HLM:SCD MS")_x000D_
  field(DISV, "999999")  _x000D_
}_x000D_
record(ai, "$(P):A1_HLM:RBV") {_x000D_
  field(DESC, "Fly axis accel. desired limit readback")_x000D_
  field(DTYP, "stream")_x000D_
  field(INP, "@pmac.proto getVar(P2002) $(PORT)")_x000D_
  field(SDIS, "$(P):EN_TRAJSET NPP MS")_x000D_
  field(DISV, "0")_x000D_
  field(PINI, "NO")_x000D_
  field(DISS, "INVALID")_x000D_
  field(EGU, "EGU/s2") field(PREC, "3")_x000D_
}_x000D_
#% autosave 0 VAL_x000D_
record(ao, "$(P):A1_HLM:SET") {_x000D_
  field(DTYP, "stream")_x000D_
  field(SDIS, "$(P):A1_HLM:ROL PP MS")_x000D_
  field(OUT, "@pmac.proto setVar(P2002) $(PORT)")_x000D_
  field(PINI, "YES")_x000D_
  field(FLNK, "$(P):A1_HLM:SCD")  _x000D_
  field(DISS, "INVALID")_x000D_
}_x000D_
record(calc, "$(P):A1_HLM:ROL") {_x000D_
  field(CALC, "(!B) || A")_x000D_
  field(INPA, "$(P):A1_HLM:SYN.PACT")_x000D_
  field(INPB, "$(P):EN_TRAJSET NPP")_x000D_
  field(PINI, "NO")_x000D_
}_x000D_
record(calcout, "$(P):A1_HLM:SYN") {_x000D_
 field(INPA, "$(P):A1_HLM:RBV PP")_x000D_
 field(INPB, "$(P):EN_TRAJSET CP MS")_x000D_
 field(INPC, "$(P):EN_TRAJSET NPP")_x000D_
 field(INPD, "$(P):A1_HLM:SCD CP MS")_x000D_
 field(INPE, "$(P):A1_HLM:SET NPP")_x000D_
 field(INPF, "$(P):EN_AUTOSYNC CP")_x000D_
 field(SDIS, "$(P):A1_HLM:SET.PACT")_x000D_
 field(DISS, "INVALID")_x000D_
 field(CALC, "((D&gt;0)||(F&gt;0))?A:E")_x000D_
 field(OUT, "$(P):A1_HLM PP MS")_x000D_
 field(PINI, "NO")_x000D_
}_x000D_
record(calc, "$(P):A1_HLM:SCD") {_x000D_
 field(CALC, "(ABS(B-A)&lt;10^(-C))?1:0")_x000D_
 field(INPA, "$(P):A1_HLM:RBV CP MS")_x000D_
 field(INPB, "$(P):A1_HLM:SET CP")_x000D_
 field(INPC, "$(P):A1_HLM:RBV.PREC")_x000D_
 field(PINI, "YES")_x000D_
 field(VAL,"0")_x000D_
 field(LOLO, "0.5")_x000D_
 field(LLSV, "MINOR") _x000D_
}_x000D_
# -----------------------------_x000D_
#</v>
      </c>
      <c r="AP6" s="25" t="str">
        <f>IF(ISNUMBER(W6),SUBSTITUTE(SUBSTITUTE(SUBSTITUTE(SUBSTITUTE(SUBSTITUTE(SUBSTITUTE(SUBSTITUTE(SUBSTITUTE(y_QLabel &amp; IF(RIGHT(R6)="s",y_QELineEdit,y_QELabel),"~PVNAME",$AE6&amp;IF($AC6="map","","")),"~EGU",$K6),"~PREC",$N6),"~VAR",$F6),"~CANGET",$AH6),"~CANSET",$AI6),"~ROW",W6),"~NAME",$E6),"")</f>
        <v>&lt;item row="1" column="0"&gt;
         &lt;widget class="QLabel" name="L_a1_HLM"&gt;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&lt;string&gt;a1_HLM&lt;/string&gt;
          &lt;/property&gt;
          &lt;property name="margin"&gt;
           &lt;number&gt;3&lt;/number&gt;
          &lt;/property&gt;
         &lt;/widget&gt;
        &lt;/item&gt;
&lt;item row="1" column="2"&gt;
            &lt;widget class="QELineEdit" name="QLD_a1_HLM"&gt;
             &lt;property name="variable" stdset="0"&gt;
              &lt;string&gt;$(P)$(R):A1_HLM&lt;/string&gt;
             &lt;/property&gt;
             &lt;property name="addUnits"&gt;
             &lt;bool&gt;true&lt;/bool&gt;
             &lt;/property&gt;
            &lt;/widget&gt;
           &lt;/item&gt;</v>
      </c>
      <c r="AQ6" s="25" t="str">
        <f>IF(ISNUMBER(X6),SUBSTITUTE(SUBSTITUTE(SUBSTITUTE(SUBSTITUTE(SUBSTITUTE(SUBSTITUTE(SUBSTITUTE(SUBSTITUTE(y_QLabel &amp; IF(RIGHT(S6)="s",y_QELineEdit,y_QELabel),"~PVNAME",$AE6&amp;IF($AC6="map",":RBV","")),"~EGU",$K6),"~PREC",$N6),"~VAR",$F6),"~CANGET",$AH6),"~CANSET",$AI6),"~ROW",X6),"~NAME",$E6),"")</f>
        <v/>
      </c>
      <c r="AR6" s="25" t="e">
        <f>VLOOKUP(G6,y_EPICS_Formats,2,FALSE)</f>
        <v>#N/A</v>
      </c>
      <c r="AS6" s="25" t="str">
        <f>IF(AB6="epics",y_Prefix&amp;AE6&amp;" = ","")</f>
        <v xml:space="preserve">SR05ID01FST01:A1_HLM = </v>
      </c>
      <c r="AT6" s="25" t="str">
        <f>IF(LEN(P6&amp;Q6)&gt;0,IFERROR(";"&amp;I6&amp;"["&amp;K6&amp;"]"&amp;AB6&amp;"("&amp;AC6&amp;")"&amp;CHAR(10)&amp;C6 &amp;CHAR(9)&amp;AG6&amp;CHAR(9)&amp;F6 &amp;CHAR(9),";;Error!"),"")</f>
        <v xml:space="preserve">;Fly axis accel. desired limit[EGU/s2]epics(map)
#define	a1HLM	P2002	</v>
      </c>
      <c r="AU6" s="25" t="str">
        <f>IF(IFERROR(AND(AA6&gt;0,LEN(AN6)&gt;0),FALSE),SUBSTITUTE(SUBSTITUTE(SUBSTITUTE(y_archiverXML,"~PVNAME",AE6),"~PREFIX",y_Prefix),"~PERIOD",MIN(30,AA6)),"")</f>
        <v xml:space="preserve">      &lt;channel&gt;
         &lt;name&gt;SR05ID01FST01:A1_HLM&lt;/name&gt;
         &lt;period&gt;30&lt;/period&gt;
         &lt;monitor/&gt;
      &lt;/channel&gt;</v>
      </c>
      <c r="AV6" s="11">
        <f>IF($AB6="epics",AV$1-LEN(AE6),"")</f>
        <v>12</v>
      </c>
      <c r="AW6" s="11">
        <f>IF($AB6="epics",AW$1-LEN(AH6),"")</f>
        <v>9</v>
      </c>
      <c r="AX6" s="11">
        <f>IF($AB6="epics",AX$1-LEN(AI6),"")</f>
        <v>9</v>
      </c>
      <c r="AY6" s="11">
        <f>IF($AB6="epics",AY$1-LEN(I6)-LEN(" readback"),"")</f>
        <v>2</v>
      </c>
      <c r="AZ6" s="12">
        <f>IF(LEN(F6)&gt;0,IFERROR(VALUE(RIGHT(F6,LEN(F6)-1)),F6),"zzzzz")</f>
        <v>2002</v>
      </c>
      <c r="BA6" s="12">
        <f>IFERROR(VALUE(RIGHT(F6,LEN(F6)-1)),F6)</f>
        <v>2002</v>
      </c>
      <c r="BB6" s="22" t="str">
        <f>y_Prefix&amp;AE6</f>
        <v>SR05ID01FST01:A1_HLM</v>
      </c>
    </row>
    <row r="7" spans="1:54" ht="15.75" customHeight="1" x14ac:dyDescent="0.25">
      <c r="A7" s="22">
        <v>4</v>
      </c>
      <c r="B7" s="23" t="str">
        <f>IF(AND(LEN(D7)&gt;3,D7&lt;&gt;E7),"&lt;FIND TYPE=ASC&gt;"&amp;AD7&amp;"&lt;/FIND&gt;&lt;REPLACE TYPE=ASC&gt;"&amp;AE7&amp;"&lt;/REPLACE&gt;"&amp;CHAR(10)&amp;"&lt;FIND TYPE=ASC&gt;"&amp;AF7&amp;"&lt;/FIND&gt;&lt;REPLACE TYPE=ASC&gt;"&amp;AG7&amp;"&lt;/REPLACE&gt;"&amp;CHAR(10)&amp;"&lt;FIND TYPE=ASC&gt;"&amp;D7&amp;"&lt;/FIND&gt;&lt;REPLACE TYPE=ASC&gt;"&amp;E7&amp;"&lt;/REPLACE&gt;",".")</f>
        <v>.</v>
      </c>
      <c r="C7" s="30" t="str">
        <f>IF(AND(ISBLANK(P7),ISBLANK(Q7)),";","#define")</f>
        <v>#define</v>
      </c>
      <c r="D7" s="29"/>
      <c r="E7" s="24" t="s">
        <v>527</v>
      </c>
      <c r="F7" s="10" t="s">
        <v>528</v>
      </c>
      <c r="G7" s="10" t="s">
        <v>77</v>
      </c>
      <c r="H7" s="10"/>
      <c r="I7" s="61" t="s">
        <v>529</v>
      </c>
      <c r="J7" s="10" t="s">
        <v>35</v>
      </c>
      <c r="K7" s="10" t="s">
        <v>526</v>
      </c>
      <c r="L7" s="10">
        <v>-9999999</v>
      </c>
      <c r="M7" s="10">
        <v>9999999</v>
      </c>
      <c r="N7" s="10">
        <v>3</v>
      </c>
      <c r="O7" s="15"/>
      <c r="P7" s="49" t="s">
        <v>365</v>
      </c>
      <c r="Q7" s="49"/>
      <c r="R7" s="49"/>
      <c r="S7" s="49" t="s">
        <v>35</v>
      </c>
      <c r="T7" s="49"/>
      <c r="U7" s="49"/>
      <c r="V7" s="49"/>
      <c r="W7" s="98">
        <v>2</v>
      </c>
      <c r="Y7" s="31" t="s">
        <v>785</v>
      </c>
      <c r="Z7" s="31" t="s">
        <v>786</v>
      </c>
      <c r="AA7" s="31">
        <v>30</v>
      </c>
      <c r="AB7" s="55" t="str">
        <f>IF(LEN(R7&amp;S7&amp;T7&amp;U7&amp;V7)&gt;0,"epics","")</f>
        <v>epics</v>
      </c>
      <c r="AC7" s="52" t="str">
        <f>IF(NOT(ISBLANK(V7)),"base",IF(AB7="epics",IF(AND(ISBLANK(P7),ISBLANK(Q7)),"nmp","map"),""))</f>
        <v>map</v>
      </c>
      <c r="AD7" s="27" t="str">
        <f>UPPER(AD$1&amp;":"&amp;D7)</f>
        <v>:</v>
      </c>
      <c r="AE7" s="25" t="str">
        <f>UPPER(AE$1&amp;":"&amp;E7)</f>
        <v>:A1_IN</v>
      </c>
      <c r="AF7" s="27" t="str">
        <f>SUBSTITUTE(D7,"_","")</f>
        <v/>
      </c>
      <c r="AG7" s="25" t="str">
        <f>SUBSTITUTE(E7,"_","")&amp;IF(AND(RIGHT(P7)&lt;&gt;"s",RIGHT(Q7)&lt;&gt;"s"),"","")</f>
        <v>a1In</v>
      </c>
      <c r="AH7" s="25" t="str">
        <f>IF(ISNUMBER(Y7),Y7,"$(P)"&amp;$AE$1&amp;":"&amp;Y7)</f>
        <v>$(P):EN_MONITOR</v>
      </c>
      <c r="AI7" s="25" t="str">
        <f>IF(ISNUMBER(Z7),Z7,"$(P)"&amp;$AE$1&amp;":"&amp;Z7)</f>
        <v>$(P):EN_NEVER</v>
      </c>
      <c r="AJ7" s="25"/>
      <c r="AK7" s="12" t="str">
        <f>IF(AC7="map",IF(G7="float",y_varMapAnalog,IF(G7="int",y_varMapLongint,IF(G7="bool",y_varMapBool,IF(G7="string",y_varMapString,IF(G7="option",y_varMapOption,"#unknown Type"))))),IF(AC7="nmp",y_nonMappedAnalog,""))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7" s="12" t="str">
        <f>VLOOKUP(G7,y_mapProtocolLUT,3)</f>
        <v>@pmac.proto getVar($(VAR)) $(PORT)</v>
      </c>
      <c r="AM7" s="12" t="str">
        <f>VLOOKUP(G7,y_mapProtocolLUT,2)</f>
        <v>@pmac.proto setVar($(VAR)) $(PORT)</v>
      </c>
      <c r="AN7" s="25" t="str">
        <f>IF(LEN(AG7)&gt;0,SUBSTITUTE(SUBSTITUTE(SUBSTITUTE(AK7,"$(DTYP)",y_DTYPE),"$(SETPROTO)",AM7),"$(GETPROTO)",AL7),"")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7" s="25" t="str">
        <f>IFERROR(SUBSTITUTE(SUBSTITUTE(SUBSTITUTE(SUBSTITUTE(SUBSTITUTE(SUBSTITUTE(SUBSTITUTE(SUBSTITUTE(SUBSTITUTE(AN7,"$(Q)",AE7),"$(EGU)",K7),"$(PREC)",N7),"$(VAR)",TRIM(CLEAN(y_dedicatedCS&amp;F7))),"$(GetSB)",AH7),"$(SetSB)",AI7),"$(DESC)",LEFT(I7,40)),"$(ENUMS)",AJ7),"$(DEFAULT)",H7),"")</f>
        <v>_x000D_
# PVs mapping to P2057 of type Analog_x000D_
record(ao, "$(P):A1_IN") {_x000D_
  field(DESC, "Fly axis inner-skip accel. ")_x000D_
  field(OUT, "$(P):A1_IN:SET PP MS")_x000D_
  field(PINI, "NO")_x000D_
  field(EGU, "EGU/s2") field(PREC, "3")_x000D_
  field(SDIS, "$(P):A1_IN:SCD MS")_x000D_
  field(DISV, "999999")  _x000D_
}_x000D_
record(ai, "$(P):A1_IN:RBV") {_x000D_
  field(DESC, "Fly axis inner-skip accel.  readback")_x000D_
  field(DTYP, "stream")_x000D_
  field(INP, "@pmac.proto getVar(P2057) $(PORT)")_x000D_
  field(SDIS, "$(P):EN_MONITOR NPP MS")_x000D_
  field(DISV, "0")_x000D_
  field(PINI, "NO")_x000D_
  field(DISS, "INVALID")_x000D_
  field(EGU, "EGU/s2") field(PREC, "3")_x000D_
}_x000D_
#% autosave 0 VAL_x000D_
record(ao, "$(P):A1_IN:SET") {_x000D_
  field(DTYP, "stream")_x000D_
  field(SDIS, "$(P):A1_IN:ROL PP MS")_x000D_
  field(OUT, "@pmac.proto setVar(P2057) $(PORT)")_x000D_
  field(PINI, "YES")_x000D_
  field(FLNK, "$(P):A1_IN:SCD")  _x000D_
  field(DISS, "INVALID")_x000D_
}_x000D_
record(calc, "$(P):A1_IN:ROL") {_x000D_
  field(CALC, "(!B) || A")_x000D_
  field(INPA, "$(P):A1_IN:SYN.PACT")_x000D_
  field(INPB, "$(P):EN_NEVER NPP")_x000D_
  field(PINI, "NO")_x000D_
}_x000D_
record(calcout, "$(P):A1_IN:SYN") {_x000D_
 field(INPA, "$(P):A1_IN:RBV PP")_x000D_
 field(INPB, "$(P):EN_MONITOR CP MS")_x000D_
 field(INPC, "$(P):EN_NEVER NPP")_x000D_
 field(INPD, "$(P):A1_IN:SCD CP MS")_x000D_
 field(INPE, "$(P):A1_IN:SET NPP")_x000D_
 field(INPF, "$(P):EN_AUTOSYNC CP")_x000D_
 field(SDIS, "$(P):A1_IN:SET.PACT")_x000D_
 field(DISS, "INVALID")_x000D_
 field(CALC, "((D&gt;0)||(F&gt;0))?A:E")_x000D_
 field(OUT, "$(P):A1_IN PP MS")_x000D_
 field(PINI, "NO")_x000D_
}_x000D_
record(calc, "$(P):A1_IN:SCD") {_x000D_
 field(CALC, "(ABS(B-A)&lt;10^(-C))?1:0")_x000D_
 field(INPA, "$(P):A1_IN:RBV CP MS")_x000D_
 field(INPB, "$(P):A1_IN:SET CP")_x000D_
 field(INPC, "$(P):A1_IN:RBV.PREC")_x000D_
 field(PINI, "YES")_x000D_
 field(VAL,"0")_x000D_
 field(LOLO, "0.5")_x000D_
 field(LLSV, "MINOR") _x000D_
}_x000D_
# -----------------------------_x000D_
#</v>
      </c>
      <c r="AP7" s="25" t="str">
        <f>IF(ISNUMBER(W7),SUBSTITUTE(SUBSTITUTE(SUBSTITUTE(SUBSTITUTE(SUBSTITUTE(SUBSTITUTE(SUBSTITUTE(SUBSTITUTE(y_QLabel &amp; IF(RIGHT(R7)="s",y_QELineEdit,y_QELabel),"~PVNAME",$AE7&amp;IF($AC7="map","","")),"~EGU",$K7),"~PREC",$N7),"~VAR",$F7),"~CANGET",$AH7),"~CANSET",$AI7),"~ROW",W7),"~NAME",$E7),"")</f>
        <v xml:space="preserve">&lt;item row="2" column="0"&gt;
         &lt;widget class="QLabel" name="L_a1_In"&gt;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&lt;string&gt;a1_In&lt;/string&gt;
          &lt;/property&gt;
          &lt;property name="margin"&gt;
           &lt;number&gt;3&lt;/number&gt;
          &lt;/property&gt;
         &lt;/widget&gt;
        &lt;/item&gt;
&lt;item row="2" column="1"&gt;
         &lt;widget class="QELabel" name="QL_a1_In"&gt;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&lt;string&gt;$(P)$(R):A1_IN&lt;/string&gt;
          &lt;/property&gt;
         &lt;/widget&gt;
   &lt;/item&gt;
</v>
      </c>
      <c r="AQ7" s="25" t="str">
        <f>IF(ISNUMBER(X7),SUBSTITUTE(SUBSTITUTE(SUBSTITUTE(SUBSTITUTE(SUBSTITUTE(SUBSTITUTE(SUBSTITUTE(SUBSTITUTE(y_QLabel &amp; IF(RIGHT(S7)="s",y_QELineEdit,y_QELabel),"~PVNAME",$AE7&amp;IF($AC7="map",":RBV","")),"~EGU",$K7),"~PREC",$N7),"~VAR",$F7),"~CANGET",$AH7),"~CANSET",$AI7),"~ROW",X7),"~NAME",$E7),"")</f>
        <v/>
      </c>
      <c r="AR7" s="25" t="e">
        <f>VLOOKUP(G7,y_EPICS_Formats,2,FALSE)</f>
        <v>#N/A</v>
      </c>
      <c r="AS7" s="25" t="str">
        <f>IF(AB7="epics",y_Prefix&amp;AE7&amp;" = ","")</f>
        <v xml:space="preserve">SR05ID01FST01:A1_IN = </v>
      </c>
      <c r="AT7" s="25" t="str">
        <f>IF(LEN(P7&amp;Q7)&gt;0,IFERROR(";"&amp;I7&amp;"["&amp;K7&amp;"]"&amp;AB7&amp;"("&amp;AC7&amp;")"&amp;CHAR(10)&amp;C7 &amp;CHAR(9)&amp;AG7&amp;CHAR(9)&amp;F7 &amp;CHAR(9),";;Error!"),"")</f>
        <v xml:space="preserve">;Fly axis inner-skip accel. [EGU/s2]epics(map)
#define	a1In	P2057	</v>
      </c>
      <c r="AU7" s="25" t="str">
        <f>IF(IFERROR(AND(AA7&gt;0,LEN(AN7)&gt;0),FALSE),SUBSTITUTE(SUBSTITUTE(SUBSTITUTE(y_archiverXML,"~PVNAME",AE7),"~PREFIX",y_Prefix),"~PERIOD",MIN(30,AA7)),"")</f>
        <v xml:space="preserve">      &lt;channel&gt;
         &lt;name&gt;SR05ID01FST01:A1_IN&lt;/name&gt;
         &lt;period&gt;30&lt;/period&gt;
         &lt;monitor/&gt;
      &lt;/channel&gt;</v>
      </c>
      <c r="AV7" s="11">
        <f>IF($AB7="epics",AV$1-LEN(AE7),"")</f>
        <v>13</v>
      </c>
      <c r="AW7" s="11">
        <f>IF($AB7="epics",AW$1-LEN(AH7),"")</f>
        <v>9</v>
      </c>
      <c r="AX7" s="11">
        <f>IF($AB7="epics",AX$1-LEN(AI7),"")</f>
        <v>11</v>
      </c>
      <c r="AY7" s="11">
        <f>IF($AB7="epics",AY$1-LEN(I7)-LEN(" readback"),"")</f>
        <v>4</v>
      </c>
      <c r="AZ7" s="12">
        <f>IF(LEN(F7)&gt;0,IFERROR(VALUE(RIGHT(F7,LEN(F7)-1)),F7),"zzzzz")</f>
        <v>2057</v>
      </c>
      <c r="BA7" s="12">
        <f>IFERROR(VALUE(RIGHT(F7,LEN(F7)-1)),F7)</f>
        <v>2057</v>
      </c>
      <c r="BB7" s="22" t="str">
        <f>y_Prefix&amp;AE7</f>
        <v>SR05ID01FST01:A1_IN</v>
      </c>
    </row>
    <row r="8" spans="1:54" ht="15.75" customHeight="1" x14ac:dyDescent="0.25">
      <c r="A8" s="22">
        <v>5</v>
      </c>
      <c r="B8" s="23" t="str">
        <f>IF(AND(LEN(D8)&gt;3,D8&lt;&gt;E8),"&lt;FIND TYPE=ASC&gt;"&amp;AD8&amp;"&lt;/FIND&gt;&lt;REPLACE TYPE=ASC&gt;"&amp;AE8&amp;"&lt;/REPLACE&gt;"&amp;CHAR(10)&amp;"&lt;FIND TYPE=ASC&gt;"&amp;AF8&amp;"&lt;/FIND&gt;&lt;REPLACE TYPE=ASC&gt;"&amp;AG8&amp;"&lt;/REPLACE&gt;"&amp;CHAR(10)&amp;"&lt;FIND TYPE=ASC&gt;"&amp;D8&amp;"&lt;/FIND&gt;&lt;REPLACE TYPE=ASC&gt;"&amp;E8&amp;"&lt;/REPLACE&gt;",".")</f>
        <v>.</v>
      </c>
      <c r="C8" s="30" t="str">
        <f>IF(AND(ISBLANK(P8),ISBLANK(Q8)),";","#define")</f>
        <v>#define</v>
      </c>
      <c r="D8" s="29"/>
      <c r="E8" s="24" t="s">
        <v>530</v>
      </c>
      <c r="F8" s="10" t="s">
        <v>761</v>
      </c>
      <c r="G8" s="10" t="s">
        <v>77</v>
      </c>
      <c r="H8" s="10"/>
      <c r="I8" s="61" t="s">
        <v>531</v>
      </c>
      <c r="J8" s="10" t="s">
        <v>35</v>
      </c>
      <c r="K8" s="10" t="s">
        <v>526</v>
      </c>
      <c r="L8" s="10">
        <v>-9999999</v>
      </c>
      <c r="M8" s="10">
        <v>9999999</v>
      </c>
      <c r="N8" s="10">
        <v>3</v>
      </c>
      <c r="O8" s="15"/>
      <c r="P8" s="49" t="s">
        <v>35</v>
      </c>
      <c r="Q8" s="49"/>
      <c r="R8" s="49" t="s">
        <v>35</v>
      </c>
      <c r="S8" s="49" t="s">
        <v>35</v>
      </c>
      <c r="T8" s="49" t="s">
        <v>365</v>
      </c>
      <c r="U8" s="49"/>
      <c r="V8" s="49"/>
      <c r="W8" s="98">
        <v>3</v>
      </c>
      <c r="Y8" s="31" t="s">
        <v>785</v>
      </c>
      <c r="Z8" s="31" t="s">
        <v>784</v>
      </c>
      <c r="AA8" s="31">
        <v>30</v>
      </c>
      <c r="AB8" s="55" t="str">
        <f>IF(LEN(R8&amp;S8&amp;T8&amp;U8&amp;V8)&gt;0,"epics","")</f>
        <v>epics</v>
      </c>
      <c r="AC8" s="52" t="str">
        <f>IF(NOT(ISBLANK(V8)),"base",IF(AB8="epics",IF(AND(ISBLANK(P8),ISBLANK(Q8)),"nmp","map"),""))</f>
        <v>map</v>
      </c>
      <c r="AD8" s="27" t="str">
        <f>UPPER(AD$1&amp;":"&amp;D8)</f>
        <v>:</v>
      </c>
      <c r="AE8" s="25" t="str">
        <f>UPPER(AE$1&amp;":"&amp;E8)</f>
        <v>:A1_OUT</v>
      </c>
      <c r="AF8" s="27" t="str">
        <f>SUBSTITUTE(D8,"_","")</f>
        <v/>
      </c>
      <c r="AG8" s="25" t="str">
        <f>SUBSTITUTE(E8,"_","")&amp;IF(AND(RIGHT(P8)&lt;&gt;"s",RIGHT(Q8)&lt;&gt;"s"),"","")</f>
        <v>a1Out</v>
      </c>
      <c r="AH8" s="25" t="str">
        <f>IF(ISNUMBER(Y8),Y8,"$(P)"&amp;$AE$1&amp;":"&amp;Y8)</f>
        <v>$(P):EN_MONITOR</v>
      </c>
      <c r="AI8" s="25" t="str">
        <f>IF(ISNUMBER(Z8),Z8,"$(P)"&amp;$AE$1&amp;":"&amp;Z8)</f>
        <v>$(P):EN_TRAJSET</v>
      </c>
      <c r="AJ8" s="25"/>
      <c r="AK8" s="12" t="str">
        <f>IF(AC8="map",IF(G8="float",y_varMapAnalog,IF(G8="int",y_varMapLongint,IF(G8="bool",y_varMapBool,IF(G8="string",y_varMapString,IF(G8="option",y_varMapOption,"#unknown Type"))))),IF(AC8="nmp",y_nonMappedAnalog,""))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8" s="12" t="str">
        <f>VLOOKUP(G8,y_mapProtocolLUT,3)</f>
        <v>@pmac.proto getVar($(VAR)) $(PORT)</v>
      </c>
      <c r="AM8" s="12" t="str">
        <f>VLOOKUP(G8,y_mapProtocolLUT,2)</f>
        <v>@pmac.proto setVar($(VAR)) $(PORT)</v>
      </c>
      <c r="AN8" s="25" t="str">
        <f>IF(LEN(AG8)&gt;0,SUBSTITUTE(SUBSTITUTE(SUBSTITUTE(AK8,"$(DTYP)",y_DTYPE),"$(SETPROTO)",AM8),"$(GETPROTO)",AL8),"")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8" s="25" t="str">
        <f>IFERROR(SUBSTITUTE(SUBSTITUTE(SUBSTITUTE(SUBSTITUTE(SUBSTITUTE(SUBSTITUTE(SUBSTITUTE(SUBSTITUTE(SUBSTITUTE(AN8,"$(Q)",AE8),"$(EGU)",K8),"$(PREC)",N8),"$(VAR)",TRIM(CLEAN(y_dedicatedCS&amp;F8))),"$(GetSB)",AH8),"$(SetSB)",AI8),"$(DESC)",LEFT(I8,40)),"$(ENUMS)",AJ8),"$(DEFAULT)",H8),"")</f>
        <v>_x000D_
# PVs mapping to P2004 of type Analog_x000D_
record(ao, "$(P):A1_OUT") {_x000D_
  field(DESC, "Fly axis outer-skip accel. ")_x000D_
  field(OUT, "$(P):A1_OUT:SET PP MS")_x000D_
  field(PINI, "NO")_x000D_
  field(EGU, "EGU/s2") field(PREC, "3")_x000D_
  field(SDIS, "$(P):A1_OUT:SCD MS")_x000D_
  field(DISV, "999999")  _x000D_
}_x000D_
record(ai, "$(P):A1_OUT:RBV") {_x000D_
  field(DESC, "Fly axis outer-skip accel.  readback")_x000D_
  field(DTYP, "stream")_x000D_
  field(INP, "@pmac.proto getVar(P2004) $(PORT)")_x000D_
  field(SDIS, "$(P):EN_MONITOR NPP MS")_x000D_
  field(DISV, "0")_x000D_
  field(PINI, "NO")_x000D_
  field(DISS, "INVALID")_x000D_
  field(EGU, "EGU/s2") field(PREC, "3")_x000D_
}_x000D_
#% autosave 0 VAL_x000D_
record(ao, "$(P):A1_OUT:SET") {_x000D_
  field(DTYP, "stream")_x000D_
  field(SDIS, "$(P):A1_OUT:ROL PP MS")_x000D_
  field(OUT, "@pmac.proto setVar(P2004) $(PORT)")_x000D_
  field(PINI, "YES")_x000D_
  field(FLNK, "$(P):A1_OUT:SCD")  _x000D_
  field(DISS, "INVALID")_x000D_
}_x000D_
record(calc, "$(P):A1_OUT:ROL") {_x000D_
  field(CALC, "(!B) || A")_x000D_
  field(INPA, "$(P):A1_OUT:SYN.PACT")_x000D_
  field(INPB, "$(P):EN_TRAJSET NPP")_x000D_
  field(PINI, "NO")_x000D_
}_x000D_
record(calcout, "$(P):A1_OUT:SYN") {_x000D_
 field(INPA, "$(P):A1_OUT:RBV PP")_x000D_
 field(INPB, "$(P):EN_MONITOR CP MS")_x000D_
 field(INPC, "$(P):EN_TRAJSET NPP")_x000D_
 field(INPD, "$(P):A1_OUT:SCD CP MS")_x000D_
 field(INPE, "$(P):A1_OUT:SET NPP")_x000D_
 field(INPF, "$(P):EN_AUTOSYNC CP")_x000D_
 field(SDIS, "$(P):A1_OUT:SET.PACT")_x000D_
 field(DISS, "INVALID")_x000D_
 field(CALC, "((D&gt;0)||(F&gt;0))?A:E")_x000D_
 field(OUT, "$(P):A1_OUT PP MS")_x000D_
 field(PINI, "NO")_x000D_
}_x000D_
record(calc, "$(P):A1_OUT:SCD") {_x000D_
 field(CALC, "(ABS(B-A)&lt;10^(-C))?1:0")_x000D_
 field(INPA, "$(P):A1_OUT:RBV CP MS")_x000D_
 field(INPB, "$(P):A1_OUT:SET CP")_x000D_
 field(INPC, "$(P):A1_OUT:RBV.PREC")_x000D_
 field(PINI, "YES")_x000D_
 field(VAL,"0")_x000D_
 field(LOLO, "0.5")_x000D_
 field(LLSV, "MINOR") _x000D_
}_x000D_
# -----------------------------_x000D_
#</v>
      </c>
      <c r="AP8" s="25" t="str">
        <f>IF(ISNUMBER(W8),SUBSTITUTE(SUBSTITUTE(SUBSTITUTE(SUBSTITUTE(SUBSTITUTE(SUBSTITUTE(SUBSTITUTE(SUBSTITUTE(y_QLabel &amp; IF(RIGHT(R8)="s",y_QELineEdit,y_QELabel),"~PVNAME",$AE8&amp;IF($AC8="map","","")),"~EGU",$K8),"~PREC",$N8),"~VAR",$F8),"~CANGET",$AH8),"~CANSET",$AI8),"~ROW",W8),"~NAME",$E8),"")</f>
        <v xml:space="preserve">&lt;item row="3" column="0"&gt;
         &lt;widget class="QLabel" name="L_a1_Out"&gt;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&lt;string&gt;a1_Out&lt;/string&gt;
          &lt;/property&gt;
          &lt;property name="margin"&gt;
           &lt;number&gt;3&lt;/number&gt;
          &lt;/property&gt;
         &lt;/widget&gt;
        &lt;/item&gt;
&lt;item row="3" column="1"&gt;
         &lt;widget class="QELabel" name="QL_a1_Out"&gt;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&lt;string&gt;$(P)$(R):A1_OUT&lt;/string&gt;
          &lt;/property&gt;
         &lt;/widget&gt;
   &lt;/item&gt;
</v>
      </c>
      <c r="AQ8" s="25" t="str">
        <f>IF(ISNUMBER(X8),SUBSTITUTE(SUBSTITUTE(SUBSTITUTE(SUBSTITUTE(SUBSTITUTE(SUBSTITUTE(SUBSTITUTE(SUBSTITUTE(y_QLabel &amp; IF(RIGHT(S8)="s",y_QELineEdit,y_QELabel),"~PVNAME",$AE8&amp;IF($AC8="map",":RBV","")),"~EGU",$K8),"~PREC",$N8),"~VAR",$F8),"~CANGET",$AH8),"~CANSET",$AI8),"~ROW",X8),"~NAME",$E8),"")</f>
        <v/>
      </c>
      <c r="AR8" s="25" t="e">
        <f>VLOOKUP(G8,y_EPICS_Formats,2,FALSE)</f>
        <v>#N/A</v>
      </c>
      <c r="AS8" s="25" t="str">
        <f>IF(AB8="epics",y_Prefix&amp;AE8&amp;" = ","")</f>
        <v xml:space="preserve">SR05ID01FST01:A1_OUT = </v>
      </c>
      <c r="AT8" s="25" t="str">
        <f>IF(LEN(P8&amp;Q8)&gt;0,IFERROR(";"&amp;I8&amp;"["&amp;K8&amp;"]"&amp;AB8&amp;"("&amp;AC8&amp;")"&amp;CHAR(10)&amp;C8 &amp;CHAR(9)&amp;AG8&amp;CHAR(9)&amp;F8 &amp;CHAR(9),";;Error!"),"")</f>
        <v xml:space="preserve">;Fly axis outer-skip accel. [EGU/s2]epics(map)
#define	a1Out	P2004	</v>
      </c>
      <c r="AU8" s="25" t="str">
        <f>IF(IFERROR(AND(AA8&gt;0,LEN(AN8)&gt;0),FALSE),SUBSTITUTE(SUBSTITUTE(SUBSTITUTE(y_archiverXML,"~PVNAME",AE8),"~PREFIX",y_Prefix),"~PERIOD",MIN(30,AA8)),"")</f>
        <v xml:space="preserve">      &lt;channel&gt;
         &lt;name&gt;SR05ID01FST01:A1_OUT&lt;/name&gt;
         &lt;period&gt;30&lt;/period&gt;
         &lt;monitor/&gt;
      &lt;/channel&gt;</v>
      </c>
      <c r="AV8" s="11">
        <f>IF($AB8="epics",AV$1-LEN(AE8),"")</f>
        <v>12</v>
      </c>
      <c r="AW8" s="11">
        <f>IF($AB8="epics",AW$1-LEN(AH8),"")</f>
        <v>9</v>
      </c>
      <c r="AX8" s="11">
        <f>IF($AB8="epics",AX$1-LEN(AI8),"")</f>
        <v>9</v>
      </c>
      <c r="AY8" s="11">
        <f>IF($AB8="epics",AY$1-LEN(I8)-LEN(" readback"),"")</f>
        <v>4</v>
      </c>
      <c r="AZ8" s="12">
        <f>IF(LEN(F8)&gt;0,IFERROR(VALUE(RIGHT(F8,LEN(F8)-1)),F8),"zzzzz")</f>
        <v>2004</v>
      </c>
      <c r="BA8" s="12">
        <f>IFERROR(VALUE(RIGHT(F8,LEN(F8)-1)),F8)</f>
        <v>2004</v>
      </c>
      <c r="BB8" s="22" t="str">
        <f>y_Prefix&amp;AE8</f>
        <v>SR05ID01FST01:A1_OUT</v>
      </c>
    </row>
    <row r="9" spans="1:54" ht="15.75" customHeight="1" x14ac:dyDescent="0.25">
      <c r="A9" s="22">
        <v>6</v>
      </c>
      <c r="B9" s="23" t="str">
        <f>IF(AND(LEN(D9)&gt;3,D9&lt;&gt;E9),"&lt;FIND TYPE=ASC&gt;"&amp;AD9&amp;"&lt;/FIND&gt;&lt;REPLACE TYPE=ASC&gt;"&amp;AE9&amp;"&lt;/REPLACE&gt;"&amp;CHAR(10)&amp;"&lt;FIND TYPE=ASC&gt;"&amp;AF9&amp;"&lt;/FIND&gt;&lt;REPLACE TYPE=ASC&gt;"&amp;AG9&amp;"&lt;/REPLACE&gt;"&amp;CHAR(10)&amp;"&lt;FIND TYPE=ASC&gt;"&amp;D9&amp;"&lt;/FIND&gt;&lt;REPLACE TYPE=ASC&gt;"&amp;E9&amp;"&lt;/REPLACE&gt;",".")</f>
        <v>.</v>
      </c>
      <c r="C9" s="30" t="str">
        <f>IF(AND(ISBLANK(P9),ISBLANK(Q9)),";","#define")</f>
        <v>;</v>
      </c>
      <c r="D9" s="29"/>
      <c r="E9" s="24" t="s">
        <v>532</v>
      </c>
      <c r="F9" s="10" t="s">
        <v>41</v>
      </c>
      <c r="G9" s="10" t="s">
        <v>77</v>
      </c>
      <c r="H9" s="10">
        <v>0</v>
      </c>
      <c r="I9" s="61" t="s">
        <v>533</v>
      </c>
      <c r="J9" s="10" t="s">
        <v>364</v>
      </c>
      <c r="K9" s="10" t="s">
        <v>534</v>
      </c>
      <c r="L9" s="10">
        <v>-9999999</v>
      </c>
      <c r="M9" s="10">
        <v>9999999</v>
      </c>
      <c r="N9" s="10">
        <v>3</v>
      </c>
      <c r="O9" s="15"/>
      <c r="P9" s="49"/>
      <c r="Q9" s="49"/>
      <c r="R9" s="49" t="s">
        <v>365</v>
      </c>
      <c r="S9" s="49"/>
      <c r="T9" s="49" t="s">
        <v>35</v>
      </c>
      <c r="U9" s="49"/>
      <c r="V9" s="49"/>
      <c r="W9" s="98">
        <v>4</v>
      </c>
      <c r="Y9" s="31" t="s">
        <v>784</v>
      </c>
      <c r="Z9" s="31" t="s">
        <v>784</v>
      </c>
      <c r="AA9" s="31">
        <v>30</v>
      </c>
      <c r="AB9" s="55" t="str">
        <f>IF(LEN(R9&amp;S9&amp;T9&amp;U9&amp;V9)&gt;0,"epics","")</f>
        <v>epics</v>
      </c>
      <c r="AC9" s="52" t="str">
        <f>IF(NOT(ISBLANK(V9)),"base",IF(AB9="epics",IF(AND(ISBLANK(P9),ISBLANK(Q9)),"nmp","map"),""))</f>
        <v>nmp</v>
      </c>
      <c r="AD9" s="27" t="str">
        <f>UPPER(AD$1&amp;":"&amp;D9)</f>
        <v>:</v>
      </c>
      <c r="AE9" s="25" t="str">
        <f>UPPER(AE$1&amp;":"&amp;E9)</f>
        <v>:A2_HLM</v>
      </c>
      <c r="AF9" s="27" t="str">
        <f>SUBSTITUTE(D9,"_","")</f>
        <v/>
      </c>
      <c r="AG9" s="25" t="str">
        <f>SUBSTITUTE(E9,"_","")&amp;IF(AND(RIGHT(P9)&lt;&gt;"s",RIGHT(Q9)&lt;&gt;"s"),"","")</f>
        <v>a2HLM</v>
      </c>
      <c r="AH9" s="25" t="str">
        <f>IF(ISNUMBER(Y9),Y9,"$(P)"&amp;$AE$1&amp;":"&amp;Y9)</f>
        <v>$(P):EN_TRAJSET</v>
      </c>
      <c r="AI9" s="25" t="str">
        <f>IF(ISNUMBER(Z9),Z9,"$(P)"&amp;$AE$1&amp;":"&amp;Z9)</f>
        <v>$(P):EN_TRAJSET</v>
      </c>
      <c r="AJ9" s="25"/>
      <c r="AK9" s="12" t="str">
        <f>IF(AC9="map",IF(G9="float",y_varMapAnalog,IF(G9="int",y_varMapLongint,IF(G9="bool",y_varMapBool,IF(G9="string",y_varMapString,IF(G9="option",y_varMapOption,"#unknown Type"))))),IF(AC9="nmp",y_nonMappedAnalog,""))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9" s="12" t="str">
        <f>VLOOKUP(G9,y_mapProtocolLUT,3)</f>
        <v>@pmac.proto getVar($(VAR)) $(PORT)</v>
      </c>
      <c r="AM9" s="12" t="str">
        <f>VLOOKUP(G9,y_mapProtocolLUT,2)</f>
        <v>@pmac.proto setVar($(VAR)) $(PORT)</v>
      </c>
      <c r="AN9" s="25" t="str">
        <f>IF(LEN(AG9)&gt;0,SUBSTITUTE(SUBSTITUTE(SUBSTITUTE(AK9,"$(DTYP)",y_DTYPE),"$(SETPROTO)",AM9),"$(GETPROTO)",AL9),"")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9" s="25" t="str">
        <f>IFERROR(SUBSTITUTE(SUBSTITUTE(SUBSTITUTE(SUBSTITUTE(SUBSTITUTE(SUBSTITUTE(SUBSTITUTE(SUBSTITUTE(SUBSTITUTE(AN9,"$(Q)",AE9),"$(EGU)",K9),"$(PREC)",N9),"$(VAR)",TRIM(CLEAN(y_dedicatedCS&amp;F9))),"$(GetSB)",AH9),"$(SetSB)",AI9),"$(DESC)",LEFT(I9,40)),"$(ENUMS)",AJ9),"$(DEFAULT)",H9),"")</f>
        <v># non-mapped PV
#% autosave 0 VAL
record(ai, "$(P):A2_HLM") {
  field(DESC, "Inc. axis accel. high limit")
  field(PINI, "YES")
  field(EGU, "EGU/s")
  field(PREC, "3")
  field(VAL,"0")
  field(SDIS, "$(P):EN_TRAJSET CP MS")
  field(DISV, "0")
  field(DISS, "INVALID")
}
#--------------</v>
      </c>
      <c r="AP9" s="25" t="str">
        <f>IF(ISNUMBER(W9),SUBSTITUTE(SUBSTITUTE(SUBSTITUTE(SUBSTITUTE(SUBSTITUTE(SUBSTITUTE(SUBSTITUTE(SUBSTITUTE(y_QLabel &amp; IF(RIGHT(R9)="s",y_QELineEdit,y_QELabel),"~PVNAME",$AE9&amp;IF($AC9="map","","")),"~EGU",$K9),"~PREC",$N9),"~VAR",$F9),"~CANGET",$AH9),"~CANSET",$AI9),"~ROW",W9),"~NAME",$E9),"")</f>
        <v>&lt;item row="4" column="0"&gt;
         &lt;widget class="QLabel" name="L_a2_HLM"&gt;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&lt;string&gt;a2_HLM&lt;/string&gt;
          &lt;/property&gt;
          &lt;property name="margin"&gt;
           &lt;number&gt;3&lt;/number&gt;
          &lt;/property&gt;
         &lt;/widget&gt;
        &lt;/item&gt;
&lt;item row="4" column="2"&gt;
            &lt;widget class="QELineEdit" name="QLD_a2_HLM"&gt;
             &lt;property name="variable" stdset="0"&gt;
              &lt;string&gt;$(P)$(R):A2_HLM&lt;/string&gt;
             &lt;/property&gt;
             &lt;property name="addUnits"&gt;
             &lt;bool&gt;true&lt;/bool&gt;
             &lt;/property&gt;
            &lt;/widget&gt;
           &lt;/item&gt;</v>
      </c>
      <c r="AQ9" s="25" t="str">
        <f>IF(ISNUMBER(X9),SUBSTITUTE(SUBSTITUTE(SUBSTITUTE(SUBSTITUTE(SUBSTITUTE(SUBSTITUTE(SUBSTITUTE(SUBSTITUTE(y_QLabel &amp; IF(RIGHT(S9)="s",y_QELineEdit,y_QELabel),"~PVNAME",$AE9&amp;IF($AC9="map",":RBV","")),"~EGU",$K9),"~PREC",$N9),"~VAR",$F9),"~CANGET",$AH9),"~CANSET",$AI9),"~ROW",X9),"~NAME",$E9),"")</f>
        <v/>
      </c>
      <c r="AR9" s="25" t="e">
        <f>VLOOKUP(G9,y_EPICS_Formats,2,FALSE)</f>
        <v>#N/A</v>
      </c>
      <c r="AS9" s="25" t="str">
        <f>IF(AB9="epics",y_Prefix&amp;AE9&amp;" = ","")</f>
        <v xml:space="preserve">SR05ID01FST01:A2_HLM = </v>
      </c>
      <c r="AT9" s="25" t="str">
        <f>IF(LEN(P9&amp;Q9)&gt;0,IFERROR(";"&amp;I9&amp;"["&amp;K9&amp;"]"&amp;AB9&amp;"("&amp;AC9&amp;")"&amp;CHAR(10)&amp;C9 &amp;CHAR(9)&amp;AG9&amp;CHAR(9)&amp;F9 &amp;CHAR(9),";;Error!"),"")</f>
        <v/>
      </c>
      <c r="AU9" s="25" t="str">
        <f>IF(IFERROR(AND(AA9&gt;0,LEN(AN9)&gt;0),FALSE),SUBSTITUTE(SUBSTITUTE(SUBSTITUTE(y_archiverXML,"~PVNAME",AE9),"~PREFIX",y_Prefix),"~PERIOD",MIN(30,AA9)),"")</f>
        <v xml:space="preserve">      &lt;channel&gt;
         &lt;name&gt;SR05ID01FST01:A2_HLM&lt;/name&gt;
         &lt;period&gt;30&lt;/period&gt;
         &lt;monitor/&gt;
      &lt;/channel&gt;</v>
      </c>
      <c r="AV9" s="11">
        <f>IF($AB9="epics",AV$1-LEN(AE9),"")</f>
        <v>12</v>
      </c>
      <c r="AW9" s="11">
        <f>IF($AB9="epics",AW$1-LEN(AH9),"")</f>
        <v>9</v>
      </c>
      <c r="AX9" s="11">
        <f>IF($AB9="epics",AX$1-LEN(AI9),"")</f>
        <v>9</v>
      </c>
      <c r="AY9" s="11">
        <f>IF($AB9="epics",AY$1-LEN(I9)-LEN(" readback"),"")</f>
        <v>4</v>
      </c>
      <c r="AZ9" s="12" t="str">
        <f>IF(LEN(F9)&gt;0,IFERROR(VALUE(RIGHT(F9,LEN(F9)-1)),F9),"zzzzz")</f>
        <v>none</v>
      </c>
      <c r="BA9" s="12" t="str">
        <f>IFERROR(VALUE(RIGHT(F9,LEN(F9)-1)),F9)</f>
        <v>none</v>
      </c>
      <c r="BB9" s="22" t="str">
        <f>y_Prefix&amp;AE9</f>
        <v>SR05ID01FST01:A2_HLM</v>
      </c>
    </row>
    <row r="10" spans="1:54" ht="15.75" customHeight="1" x14ac:dyDescent="0.25">
      <c r="A10" s="22">
        <v>7</v>
      </c>
      <c r="B10" s="23" t="str">
        <f>IF(AND(LEN(D10)&gt;3,D10&lt;&gt;E10),"&lt;FIND TYPE=ASC&gt;"&amp;AD10&amp;"&lt;/FIND&gt;&lt;REPLACE TYPE=ASC&gt;"&amp;AE10&amp;"&lt;/REPLACE&gt;"&amp;CHAR(10)&amp;"&lt;FIND TYPE=ASC&gt;"&amp;AF10&amp;"&lt;/FIND&gt;&lt;REPLACE TYPE=ASC&gt;"&amp;AG10&amp;"&lt;/REPLACE&gt;"&amp;CHAR(10)&amp;"&lt;FIND TYPE=ASC&gt;"&amp;D10&amp;"&lt;/FIND&gt;&lt;REPLACE TYPE=ASC&gt;"&amp;E10&amp;"&lt;/REPLACE&gt;",".")</f>
        <v>.</v>
      </c>
      <c r="C10" s="30" t="str">
        <f>IF(AND(ISBLANK(P10),ISBLANK(Q10)),";","#define")</f>
        <v>#define</v>
      </c>
      <c r="D10" s="28"/>
      <c r="E10" s="22" t="s">
        <v>535</v>
      </c>
      <c r="F10" s="10" t="s">
        <v>536</v>
      </c>
      <c r="G10" s="10" t="s">
        <v>77</v>
      </c>
      <c r="H10" s="10"/>
      <c r="I10" s="61" t="s">
        <v>537</v>
      </c>
      <c r="J10" s="10" t="s">
        <v>35</v>
      </c>
      <c r="K10" s="10" t="s">
        <v>526</v>
      </c>
      <c r="L10" s="10">
        <v>-9999999</v>
      </c>
      <c r="M10" s="10">
        <v>9999999</v>
      </c>
      <c r="N10" s="10">
        <v>3</v>
      </c>
      <c r="O10" s="15"/>
      <c r="P10" s="49" t="s">
        <v>35</v>
      </c>
      <c r="Q10" s="49"/>
      <c r="R10" s="49"/>
      <c r="S10" s="49" t="s">
        <v>35</v>
      </c>
      <c r="T10" s="49" t="s">
        <v>365</v>
      </c>
      <c r="U10" s="49"/>
      <c r="V10" s="49"/>
      <c r="W10" s="98">
        <v>5</v>
      </c>
      <c r="Y10" s="31" t="s">
        <v>785</v>
      </c>
      <c r="Z10" s="31" t="s">
        <v>784</v>
      </c>
      <c r="AA10" s="31">
        <v>30</v>
      </c>
      <c r="AB10" s="55" t="str">
        <f>IF(LEN(R10&amp;S10&amp;T10&amp;U10&amp;V10)&gt;0,"epics","")</f>
        <v>epics</v>
      </c>
      <c r="AC10" s="52" t="str">
        <f>IF(NOT(ISBLANK(V10)),"base",IF(AB10="epics",IF(AND(ISBLANK(P10),ISBLANK(Q10)),"nmp","map"),""))</f>
        <v>map</v>
      </c>
      <c r="AD10" s="27" t="str">
        <f>UPPER(AD$1&amp;":"&amp;D10)</f>
        <v>:</v>
      </c>
      <c r="AE10" s="25" t="str">
        <f>UPPER(AE$1&amp;":"&amp;E10)</f>
        <v>:A2_MAX</v>
      </c>
      <c r="AF10" s="27" t="str">
        <f>SUBSTITUTE(D10,"_","")</f>
        <v/>
      </c>
      <c r="AG10" s="25" t="str">
        <f>SUBSTITUTE(E10,"_","")&amp;IF(AND(RIGHT(P10)&lt;&gt;"s",RIGHT(Q10)&lt;&gt;"s"),"","")</f>
        <v>a2Max</v>
      </c>
      <c r="AH10" s="25" t="str">
        <f>IF(ISNUMBER(Y10),Y10,"$(P)"&amp;$AE$1&amp;":"&amp;Y10)</f>
        <v>$(P):EN_MONITOR</v>
      </c>
      <c r="AI10" s="25" t="str">
        <f>IF(ISNUMBER(Z10),Z10,"$(P)"&amp;$AE$1&amp;":"&amp;Z10)</f>
        <v>$(P):EN_TRAJSET</v>
      </c>
      <c r="AJ10" s="25"/>
      <c r="AK10" s="12" t="str">
        <f>IF(AC10="map",IF(G10="float",y_varMapAnalog,IF(G10="int",y_varMapLongint,IF(G10="bool",y_varMapBool,IF(G10="string",y_varMapString,IF(G10="option",y_varMapOption,"#unknown Type"))))),IF(AC10="nmp",y_nonMappedAnalog,""))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0" s="12" t="str">
        <f>VLOOKUP(G10,y_mapProtocolLUT,3)</f>
        <v>@pmac.proto getVar($(VAR)) $(PORT)</v>
      </c>
      <c r="AM10" s="12" t="str">
        <f>VLOOKUP(G10,y_mapProtocolLUT,2)</f>
        <v>@pmac.proto setVar($(VAR)) $(PORT)</v>
      </c>
      <c r="AN10" s="25" t="str">
        <f>IF(LEN(AG10)&gt;0,SUBSTITUTE(SUBSTITUTE(SUBSTITUTE(AK10,"$(DTYP)",y_DTYPE),"$(SETPROTO)",AM10),"$(GETPROTO)",AL10),"")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0" s="25" t="str">
        <f>IFERROR(SUBSTITUTE(SUBSTITUTE(SUBSTITUTE(SUBSTITUTE(SUBSTITUTE(SUBSTITUTE(SUBSTITUTE(SUBSTITUTE(SUBSTITUTE(AN10,"$(Q)",AE10),"$(EGU)",K10),"$(PREC)",N10),"$(VAR)",TRIM(CLEAN(y_dedicatedCS&amp;F10))),"$(GetSB)",AH10),"$(SetSB)",AI10),"$(DESC)",LEFT(I10,40)),"$(ENUMS)",AJ10),"$(DEFAULT)",H10),"")</f>
        <v>_x000D_
# PVs mapping to P2056 of type Analog_x000D_
record(ao, "$(P):A2_MAX") {_x000D_
  field(DESC, "Inc. axis trajectory max accel.")_x000D_
  field(OUT, "$(P):A2_MAX:SET PP MS")_x000D_
  field(PINI, "NO")_x000D_
  field(EGU, "EGU/s2") field(PREC, "3")_x000D_
  field(SDIS, "$(P):A2_MAX:SCD MS")_x000D_
  field(DISV, "999999")  _x000D_
}_x000D_
record(ai, "$(P):A2_MAX:RBV") {_x000D_
  field(DESC, "Inc. axis trajectory max accel. readback")_x000D_
  field(DTYP, "stream")_x000D_
  field(INP, "@pmac.proto getVar(P2056) $(PORT)")_x000D_
  field(SDIS, "$(P):EN_MONITOR NPP MS")_x000D_
  field(DISV, "0")_x000D_
  field(PINI, "NO")_x000D_
  field(DISS, "INVALID")_x000D_
  field(EGU, "EGU/s2") field(PREC, "3")_x000D_
}_x000D_
#% autosave 0 VAL_x000D_
record(ao, "$(P):A2_MAX:SET") {_x000D_
  field(DTYP, "stream")_x000D_
  field(SDIS, "$(P):A2_MAX:ROL PP MS")_x000D_
  field(OUT, "@pmac.proto setVar(P2056) $(PORT)")_x000D_
  field(PINI, "YES")_x000D_
  field(FLNK, "$(P):A2_MAX:SCD")  _x000D_
  field(DISS, "INVALID")_x000D_
}_x000D_
record(calc, "$(P):A2_MAX:ROL") {_x000D_
  field(CALC, "(!B) || A")_x000D_
  field(INPA, "$(P):A2_MAX:SYN.PACT")_x000D_
  field(INPB, "$(P):EN_TRAJSET NPP")_x000D_
  field(PINI, "NO")_x000D_
}_x000D_
record(calcout, "$(P):A2_MAX:SYN") {_x000D_
 field(INPA, "$(P):A2_MAX:RBV PP")_x000D_
 field(INPB, "$(P):EN_MONITOR CP MS")_x000D_
 field(INPC, "$(P):EN_TRAJSET NPP")_x000D_
 field(INPD, "$(P):A2_MAX:SCD CP MS")_x000D_
 field(INPE, "$(P):A2_MAX:SET NPP")_x000D_
 field(INPF, "$(P):EN_AUTOSYNC CP")_x000D_
 field(SDIS, "$(P):A2_MAX:SET.PACT")_x000D_
 field(DISS, "INVALID")_x000D_
 field(CALC, "((D&gt;0)||(F&gt;0))?A:E")_x000D_
 field(OUT, "$(P):A2_MAX PP MS")_x000D_
 field(PINI, "NO")_x000D_
}_x000D_
record(calc, "$(P):A2_MAX:SCD") {_x000D_
 field(CALC, "(ABS(B-A)&lt;10^(-C))?1:0")_x000D_
 field(INPA, "$(P):A2_MAX:RBV CP MS")_x000D_
 field(INPB, "$(P):A2_MAX:SET CP")_x000D_
 field(INPC, "$(P):A2_MAX:RBV.PREC")_x000D_
 field(PINI, "YES")_x000D_
 field(VAL,"0")_x000D_
 field(LOLO, "0.5")_x000D_
 field(LLSV, "MINOR") _x000D_
}_x000D_
# -----------------------------_x000D_
#</v>
      </c>
      <c r="AP10" s="25" t="str">
        <f>IF(ISNUMBER(W10),SUBSTITUTE(SUBSTITUTE(SUBSTITUTE(SUBSTITUTE(SUBSTITUTE(SUBSTITUTE(SUBSTITUTE(SUBSTITUTE(y_QLabel &amp; IF(RIGHT(R10)="s",y_QELineEdit,y_QELabel),"~PVNAME",$AE10&amp;IF($AC10="map","","")),"~EGU",$K10),"~PREC",$N10),"~VAR",$F10),"~CANGET",$AH10),"~CANSET",$AI10),"~ROW",W10),"~NAME",$E10),"")</f>
        <v xml:space="preserve">&lt;item row="5" column="0"&gt;
         &lt;widget class="QLabel" name="L_a2_Max"&gt;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&lt;string&gt;a2_Max&lt;/string&gt;
          &lt;/property&gt;
          &lt;property name="margin"&gt;
           &lt;number&gt;3&lt;/number&gt;
          &lt;/property&gt;
         &lt;/widget&gt;
        &lt;/item&gt;
&lt;item row="5" column="1"&gt;
         &lt;widget class="QELabel" name="QL_a2_Max"&gt;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&lt;string&gt;$(P)$(R):A2_MAX&lt;/string&gt;
          &lt;/property&gt;
         &lt;/widget&gt;
   &lt;/item&gt;
</v>
      </c>
      <c r="AQ10" s="25" t="str">
        <f>IF(ISNUMBER(X10),SUBSTITUTE(SUBSTITUTE(SUBSTITUTE(SUBSTITUTE(SUBSTITUTE(SUBSTITUTE(SUBSTITUTE(SUBSTITUTE(y_QLabel &amp; IF(RIGHT(S10)="s",y_QELineEdit,y_QELabel),"~PVNAME",$AE10&amp;IF($AC10="map",":RBV","")),"~EGU",$K10),"~PREC",$N10),"~VAR",$F10),"~CANGET",$AH10),"~CANSET",$AI10),"~ROW",X10),"~NAME",$E10),"")</f>
        <v/>
      </c>
      <c r="AR10" s="25" t="e">
        <f>VLOOKUP(G10,y_EPICS_Formats,2,FALSE)</f>
        <v>#N/A</v>
      </c>
      <c r="AS10" s="25" t="str">
        <f>IF(AB10="epics",y_Prefix&amp;AE10&amp;" = ","")</f>
        <v xml:space="preserve">SR05ID01FST01:A2_MAX = </v>
      </c>
      <c r="AT10" s="25" t="str">
        <f>IF(LEN(P10&amp;Q10)&gt;0,IFERROR(";"&amp;I10&amp;"["&amp;K10&amp;"]"&amp;AB10&amp;"("&amp;AC10&amp;")"&amp;CHAR(10)&amp;C10 &amp;CHAR(9)&amp;AG10&amp;CHAR(9)&amp;F10 &amp;CHAR(9),";;Error!"),"")</f>
        <v xml:space="preserve">;Inc. axis trajectory max accel.[EGU/s2]epics(map)
#define	a2Max	P2056	</v>
      </c>
      <c r="AU10" s="25" t="str">
        <f>IF(IFERROR(AND(AA10&gt;0,LEN(AN10)&gt;0),FALSE),SUBSTITUTE(SUBSTITUTE(SUBSTITUTE(y_archiverXML,"~PVNAME",AE10),"~PREFIX",y_Prefix),"~PERIOD",MIN(30,AA10)),"")</f>
        <v xml:space="preserve">      &lt;channel&gt;
         &lt;name&gt;SR05ID01FST01:A2_MAX&lt;/name&gt;
         &lt;period&gt;30&lt;/period&gt;
         &lt;monitor/&gt;
      &lt;/channel&gt;</v>
      </c>
      <c r="AV10" s="11">
        <f>IF($AB10="epics",AV$1-LEN(AE10),"")</f>
        <v>12</v>
      </c>
      <c r="AW10" s="11">
        <f>IF($AB10="epics",AW$1-LEN(AH10),"")</f>
        <v>9</v>
      </c>
      <c r="AX10" s="11">
        <f>IF($AB10="epics",AX$1-LEN(AI10),"")</f>
        <v>9</v>
      </c>
      <c r="AY10" s="11">
        <f>IF($AB10="epics",AY$1-LEN(I10)-LEN(" readback"),"")</f>
        <v>0</v>
      </c>
      <c r="AZ10" s="12">
        <f>IF(LEN(F10)&gt;0,IFERROR(VALUE(RIGHT(F10,LEN(F10)-1)),F10),"zzzzz")</f>
        <v>2056</v>
      </c>
      <c r="BA10" s="12">
        <f>IFERROR(VALUE(RIGHT(F10,LEN(F10)-1)),F10)</f>
        <v>2056</v>
      </c>
      <c r="BB10" s="22" t="str">
        <f>y_Prefix&amp;AE10</f>
        <v>SR05ID01FST01:A2_MAX</v>
      </c>
    </row>
    <row r="11" spans="1:54" ht="15.75" customHeight="1" x14ac:dyDescent="0.25">
      <c r="A11" s="22">
        <v>8</v>
      </c>
      <c r="B11" s="23" t="str">
        <f>IF(AND(LEN(D11)&gt;3,D11&lt;&gt;E11),"&lt;FIND TYPE=ASC&gt;"&amp;AD11&amp;"&lt;/FIND&gt;&lt;REPLACE TYPE=ASC&gt;"&amp;AE11&amp;"&lt;/REPLACE&gt;"&amp;CHAR(10)&amp;"&lt;FIND TYPE=ASC&gt;"&amp;AF11&amp;"&lt;/FIND&gt;&lt;REPLACE TYPE=ASC&gt;"&amp;AG11&amp;"&lt;/REPLACE&gt;"&amp;CHAR(10)&amp;"&lt;FIND TYPE=ASC&gt;"&amp;D11&amp;"&lt;/FIND&gt;&lt;REPLACE TYPE=ASC&gt;"&amp;E11&amp;"&lt;/REPLACE&gt;",".")</f>
        <v>.</v>
      </c>
      <c r="C11" s="30" t="str">
        <f>IF(AND(ISBLANK(P11),ISBLANK(Q11)),";","#define")</f>
        <v>#define</v>
      </c>
      <c r="D11" s="29"/>
      <c r="E11" s="24" t="s">
        <v>538</v>
      </c>
      <c r="F11" s="10" t="s">
        <v>539</v>
      </c>
      <c r="G11" s="10" t="s">
        <v>77</v>
      </c>
      <c r="H11" s="10"/>
      <c r="I11" s="61" t="s">
        <v>540</v>
      </c>
      <c r="J11" s="10" t="s">
        <v>35</v>
      </c>
      <c r="K11" s="10" t="s">
        <v>526</v>
      </c>
      <c r="L11" s="10">
        <v>-9999999</v>
      </c>
      <c r="M11" s="10">
        <v>9999999</v>
      </c>
      <c r="N11" s="10">
        <v>3</v>
      </c>
      <c r="O11" s="15"/>
      <c r="P11" s="49" t="s">
        <v>365</v>
      </c>
      <c r="Q11" s="49"/>
      <c r="R11" s="49"/>
      <c r="S11" s="49" t="s">
        <v>35</v>
      </c>
      <c r="T11" s="49"/>
      <c r="U11" s="49"/>
      <c r="V11" s="49"/>
      <c r="W11" s="98">
        <v>6</v>
      </c>
      <c r="Y11" s="31" t="s">
        <v>785</v>
      </c>
      <c r="Z11" s="31" t="s">
        <v>786</v>
      </c>
      <c r="AA11" s="31">
        <v>30</v>
      </c>
      <c r="AB11" s="55" t="str">
        <f>IF(LEN(R11&amp;S11&amp;T11&amp;U11&amp;V11)&gt;0,"epics","")</f>
        <v>epics</v>
      </c>
      <c r="AC11" s="52" t="str">
        <f>IF(NOT(ISBLANK(V11)),"base",IF(AB11="epics",IF(AND(ISBLANK(P11),ISBLANK(Q11)),"nmp","map"),""))</f>
        <v>map</v>
      </c>
      <c r="AD11" s="27" t="str">
        <f>UPPER(AD$1&amp;":"&amp;D11)</f>
        <v>:</v>
      </c>
      <c r="AE11" s="25" t="str">
        <f>UPPER(AE$1&amp;":"&amp;E11)</f>
        <v>:A2_OUT</v>
      </c>
      <c r="AF11" s="27" t="str">
        <f>SUBSTITUTE(D11,"_","")</f>
        <v/>
      </c>
      <c r="AG11" s="25" t="str">
        <f>SUBSTITUTE(E11,"_","")&amp;IF(AND(RIGHT(P11)&lt;&gt;"s",RIGHT(Q11)&lt;&gt;"s"),"","")</f>
        <v>a2Out</v>
      </c>
      <c r="AH11" s="25" t="str">
        <f>IF(ISNUMBER(Y11),Y11,"$(P)"&amp;$AE$1&amp;":"&amp;Y11)</f>
        <v>$(P):EN_MONITOR</v>
      </c>
      <c r="AI11" s="25" t="str">
        <f>IF(ISNUMBER(Z11),Z11,"$(P)"&amp;$AE$1&amp;":"&amp;Z11)</f>
        <v>$(P):EN_NEVER</v>
      </c>
      <c r="AJ11" s="25"/>
      <c r="AK11" s="12" t="str">
        <f>IF(AC11="map",IF(G11="float",y_varMapAnalog,IF(G11="int",y_varMapLongint,IF(G11="bool",y_varMapBool,IF(G11="string",y_varMapString,IF(G11="option",y_varMapOption,"#unknown Type"))))),IF(AC11="nmp",y_nonMappedAnalog,""))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" s="12" t="str">
        <f>VLOOKUP(G11,y_mapProtocolLUT,3)</f>
        <v>@pmac.proto getVar($(VAR)) $(PORT)</v>
      </c>
      <c r="AM11" s="12" t="str">
        <f>VLOOKUP(G11,y_mapProtocolLUT,2)</f>
        <v>@pmac.proto setVar($(VAR)) $(PORT)</v>
      </c>
      <c r="AN11" s="25" t="str">
        <f>IF(LEN(AG11)&gt;0,SUBSTITUTE(SUBSTITUTE(SUBSTITUTE(AK11,"$(DTYP)",y_DTYPE),"$(SETPROTO)",AM11),"$(GETPROTO)",AL11),"")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" s="25" t="str">
        <f>IFERROR(SUBSTITUTE(SUBSTITUTE(SUBSTITUTE(SUBSTITUTE(SUBSTITUTE(SUBSTITUTE(SUBSTITUTE(SUBSTITUTE(SUBSTITUTE(AN11,"$(Q)",AE11),"$(EGU)",K11),"$(PREC)",N11),"$(VAR)",TRIM(CLEAN(y_dedicatedCS&amp;F11))),"$(GetSB)",AH11),"$(SetSB)",AI11),"$(DESC)",LEFT(I11,40)),"$(ENUMS)",AJ11),"$(DEFAULT)",H11),"")</f>
        <v>_x000D_
# PVs mapping to P2062 of type Analog_x000D_
record(ao, "$(P):A2_OUT") {_x000D_
  field(DESC, "Inc. axis trajectory accel. Out")_x000D_
  field(OUT, "$(P):A2_OUT:SET PP MS")_x000D_
  field(PINI, "NO")_x000D_
  field(EGU, "EGU/s2") field(PREC, "3")_x000D_
  field(SDIS, "$(P):A2_OUT:SCD MS")_x000D_
  field(DISV, "999999")  _x000D_
}_x000D_
record(ai, "$(P):A2_OUT:RBV") {_x000D_
  field(DESC, "Inc. axis trajectory accel. Out readback")_x000D_
  field(DTYP, "stream")_x000D_
  field(INP, "@pmac.proto getVar(P2062) $(PORT)")_x000D_
  field(SDIS, "$(P):EN_MONITOR NPP MS")_x000D_
  field(DISV, "0")_x000D_
  field(PINI, "NO")_x000D_
  field(DISS, "INVALID")_x000D_
  field(EGU, "EGU/s2") field(PREC, "3")_x000D_
}_x000D_
#% autosave 0 VAL_x000D_
record(ao, "$(P):A2_OUT:SET") {_x000D_
  field(DTYP, "stream")_x000D_
  field(SDIS, "$(P):A2_OUT:ROL PP MS")_x000D_
  field(OUT, "@pmac.proto setVar(P2062) $(PORT)")_x000D_
  field(PINI, "YES")_x000D_
  field(FLNK, "$(P):A2_OUT:SCD")  _x000D_
  field(DISS, "INVALID")_x000D_
}_x000D_
record(calc, "$(P):A2_OUT:ROL") {_x000D_
  field(CALC, "(!B) || A")_x000D_
  field(INPA, "$(P):A2_OUT:SYN.PACT")_x000D_
  field(INPB, "$(P):EN_NEVER NPP")_x000D_
  field(PINI, "NO")_x000D_
}_x000D_
record(calcout, "$(P):A2_OUT:SYN") {_x000D_
 field(INPA, "$(P):A2_OUT:RBV PP")_x000D_
 field(INPB, "$(P):EN_MONITOR CP MS")_x000D_
 field(INPC, "$(P):EN_NEVER NPP")_x000D_
 field(INPD, "$(P):A2_OUT:SCD CP MS")_x000D_
 field(INPE, "$(P):A2_OUT:SET NPP")_x000D_
 field(INPF, "$(P):EN_AUTOSYNC CP")_x000D_
 field(SDIS, "$(P):A2_OUT:SET.PACT")_x000D_
 field(DISS, "INVALID")_x000D_
 field(CALC, "((D&gt;0)||(F&gt;0))?A:E")_x000D_
 field(OUT, "$(P):A2_OUT PP MS")_x000D_
 field(PINI, "NO")_x000D_
}_x000D_
record(calc, "$(P):A2_OUT:SCD") {_x000D_
 field(CALC, "(ABS(B-A)&lt;10^(-C))?1:0")_x000D_
 field(INPA, "$(P):A2_OUT:RBV CP MS")_x000D_
 field(INPB, "$(P):A2_OUT:SET CP")_x000D_
 field(INPC, "$(P):A2_OUT:RBV.PREC")_x000D_
 field(PINI, "YES")_x000D_
 field(VAL,"0")_x000D_
 field(LOLO, "0.5")_x000D_
 field(LLSV, "MINOR") _x000D_
}_x000D_
# -----------------------------_x000D_
#</v>
      </c>
      <c r="AP11" s="25" t="str">
        <f>IF(ISNUMBER(W11),SUBSTITUTE(SUBSTITUTE(SUBSTITUTE(SUBSTITUTE(SUBSTITUTE(SUBSTITUTE(SUBSTITUTE(SUBSTITUTE(y_QLabel &amp; IF(RIGHT(R11)="s",y_QELineEdit,y_QELabel),"~PVNAME",$AE11&amp;IF($AC11="map","","")),"~EGU",$K11),"~PREC",$N11),"~VAR",$F11),"~CANGET",$AH11),"~CANSET",$AI11),"~ROW",W11),"~NAME",$E11),"")</f>
        <v xml:space="preserve">&lt;item row="6" column="0"&gt;
         &lt;widget class="QLabel" name="L_a2_Out"&gt;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&lt;string&gt;a2_Out&lt;/string&gt;
          &lt;/property&gt;
          &lt;property name="margin"&gt;
           &lt;number&gt;3&lt;/number&gt;
          &lt;/property&gt;
         &lt;/widget&gt;
        &lt;/item&gt;
&lt;item row="6" column="1"&gt;
         &lt;widget class="QELabel" name="QL_a2_Out"&gt;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&lt;string&gt;$(P)$(R):A2_OUT&lt;/string&gt;
          &lt;/property&gt;
         &lt;/widget&gt;
   &lt;/item&gt;
</v>
      </c>
      <c r="AQ11" s="25" t="str">
        <f>IF(ISNUMBER(X11),SUBSTITUTE(SUBSTITUTE(SUBSTITUTE(SUBSTITUTE(SUBSTITUTE(SUBSTITUTE(SUBSTITUTE(SUBSTITUTE(y_QLabel &amp; IF(RIGHT(S11)="s",y_QELineEdit,y_QELabel),"~PVNAME",$AE11&amp;IF($AC11="map",":RBV","")),"~EGU",$K11),"~PREC",$N11),"~VAR",$F11),"~CANGET",$AH11),"~CANSET",$AI11),"~ROW",X11),"~NAME",$E11),"")</f>
        <v/>
      </c>
      <c r="AR11" s="25" t="e">
        <f>VLOOKUP(G11,y_EPICS_Formats,2,FALSE)</f>
        <v>#N/A</v>
      </c>
      <c r="AS11" s="25" t="str">
        <f>IF(AB11="epics",y_Prefix&amp;AE11&amp;" = ","")</f>
        <v xml:space="preserve">SR05ID01FST01:A2_OUT = </v>
      </c>
      <c r="AT11" s="25" t="str">
        <f>IF(LEN(P11&amp;Q11)&gt;0,IFERROR(";"&amp;I11&amp;"["&amp;K11&amp;"]"&amp;AB11&amp;"("&amp;AC11&amp;")"&amp;CHAR(10)&amp;C11 &amp;CHAR(9)&amp;AG11&amp;CHAR(9)&amp;F11 &amp;CHAR(9),";;Error!"),"")</f>
        <v xml:space="preserve">;Inc. axis trajectory accel. Out[EGU/s2]epics(map)
#define	a2Out	P2062	</v>
      </c>
      <c r="AU11" s="25" t="str">
        <f>IF(IFERROR(AND(AA11&gt;0,LEN(AN11)&gt;0),FALSE),SUBSTITUTE(SUBSTITUTE(SUBSTITUTE(y_archiverXML,"~PVNAME",AE11),"~PREFIX",y_Prefix),"~PERIOD",MIN(30,AA11)),"")</f>
        <v xml:space="preserve">      &lt;channel&gt;
         &lt;name&gt;SR05ID01FST01:A2_OUT&lt;/name&gt;
         &lt;period&gt;30&lt;/period&gt;
         &lt;monitor/&gt;
      &lt;/channel&gt;</v>
      </c>
      <c r="AV11" s="11">
        <f>IF($AB11="epics",AV$1-LEN(AE11),"")</f>
        <v>12</v>
      </c>
      <c r="AW11" s="11">
        <f>IF($AB11="epics",AW$1-LEN(AH11),"")</f>
        <v>9</v>
      </c>
      <c r="AX11" s="11">
        <f>IF($AB11="epics",AX$1-LEN(AI11),"")</f>
        <v>11</v>
      </c>
      <c r="AY11" s="11">
        <f>IF($AB11="epics",AY$1-LEN(I11)-LEN(" readback"),"")</f>
        <v>0</v>
      </c>
      <c r="AZ11" s="12">
        <f>IF(LEN(F11)&gt;0,IFERROR(VALUE(RIGHT(F11,LEN(F11)-1)),F11),"zzzzz")</f>
        <v>2062</v>
      </c>
      <c r="BA11" s="12">
        <f>IFERROR(VALUE(RIGHT(F11,LEN(F11)-1)),F11)</f>
        <v>2062</v>
      </c>
      <c r="BB11" s="22" t="str">
        <f>y_Prefix&amp;AE11</f>
        <v>SR05ID01FST01:A2_OUT</v>
      </c>
    </row>
    <row r="12" spans="1:54" ht="15.75" customHeight="1" x14ac:dyDescent="0.25">
      <c r="A12" s="22">
        <v>9</v>
      </c>
      <c r="B12" s="23" t="str">
        <f>IF(AND(LEN(D12)&gt;3,D12&lt;&gt;E12),"&lt;FIND TYPE=ASC&gt;"&amp;AD12&amp;"&lt;/FIND&gt;&lt;REPLACE TYPE=ASC&gt;"&amp;AE12&amp;"&lt;/REPLACE&gt;"&amp;CHAR(10)&amp;"&lt;FIND TYPE=ASC&gt;"&amp;AF12&amp;"&lt;/FIND&gt;&lt;REPLACE TYPE=ASC&gt;"&amp;AG12&amp;"&lt;/REPLACE&gt;"&amp;CHAR(10)&amp;"&lt;FIND TYPE=ASC&gt;"&amp;D12&amp;"&lt;/FIND&gt;&lt;REPLACE TYPE=ASC&gt;"&amp;E12&amp;"&lt;/REPLACE&gt;",".")</f>
        <v>.</v>
      </c>
      <c r="C12" s="30" t="str">
        <f>IF(AND(ISBLANK(P12),ISBLANK(Q12)),";","#define")</f>
        <v>#define</v>
      </c>
      <c r="D12" s="28"/>
      <c r="E12" s="22" t="s">
        <v>541</v>
      </c>
      <c r="F12" s="10" t="s">
        <v>542</v>
      </c>
      <c r="G12" s="10" t="s">
        <v>77</v>
      </c>
      <c r="H12" s="10"/>
      <c r="I12" s="61" t="s">
        <v>543</v>
      </c>
      <c r="J12" s="10" t="s">
        <v>363</v>
      </c>
      <c r="K12" s="10"/>
      <c r="L12" s="10">
        <v>4</v>
      </c>
      <c r="M12" s="10">
        <v>6</v>
      </c>
      <c r="N12" s="10">
        <v>0</v>
      </c>
      <c r="O12" s="15"/>
      <c r="P12" s="49"/>
      <c r="Q12" s="49" t="s">
        <v>35</v>
      </c>
      <c r="R12" s="49" t="s">
        <v>365</v>
      </c>
      <c r="S12" s="49"/>
      <c r="T12" s="49"/>
      <c r="U12" s="49"/>
      <c r="V12" s="49"/>
      <c r="W12" s="98">
        <v>7</v>
      </c>
      <c r="Y12" s="31" t="s">
        <v>787</v>
      </c>
      <c r="Z12" s="31" t="s">
        <v>788</v>
      </c>
      <c r="AA12" s="31">
        <v>1</v>
      </c>
      <c r="AB12" s="55" t="str">
        <f>IF(LEN(R12&amp;S12&amp;T12&amp;U12&amp;V12)&gt;0,"epics","")</f>
        <v>epics</v>
      </c>
      <c r="AC12" s="52" t="str">
        <f>IF(NOT(ISBLANK(V12)),"base",IF(AB12="epics",IF(AND(ISBLANK(P12),ISBLANK(Q12)),"nmp","map"),""))</f>
        <v>map</v>
      </c>
      <c r="AD12" s="27" t="str">
        <f>UPPER(AD$1&amp;":"&amp;D12)</f>
        <v>:</v>
      </c>
      <c r="AE12" s="25" t="str">
        <f>UPPER(AE$1&amp;":"&amp;E12)</f>
        <v>:CS_ACTIVE</v>
      </c>
      <c r="AF12" s="27" t="str">
        <f>SUBSTITUTE(D12,"_","")</f>
        <v/>
      </c>
      <c r="AG12" s="25" t="str">
        <f>SUBSTITUTE(E12,"_","")&amp;IF(AND(RIGHT(P12)&lt;&gt;"s",RIGHT(Q12)&lt;&gt;"s"),"","")</f>
        <v>csActive</v>
      </c>
      <c r="AH12" s="25" t="str">
        <f>IF(ISNUMBER(Y12),Y12,"$(P)"&amp;$AE$1&amp;":"&amp;Y12)</f>
        <v>$(P):EN_ALWAYS</v>
      </c>
      <c r="AI12" s="25" t="str">
        <f>IF(ISNUMBER(Z12),Z12,"$(P)"&amp;$AE$1&amp;":"&amp;Z12)</f>
        <v>$(P):EN_CSSETUP</v>
      </c>
      <c r="AJ12" s="25"/>
      <c r="AK12" s="12" t="str">
        <f>IF(AC12="map",IF(G12="float",y_varMapAnalog,IF(G12="int",y_varMapLongint,IF(G12="bool",y_varMapBool,IF(G12="string",y_varMapString,IF(G12="option",y_varMapOption,"#unknown Type"))))),IF(AC12="nmp",y_nonMappedAnalog,""))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2" s="12" t="str">
        <f>VLOOKUP(G12,y_mapProtocolLUT,3)</f>
        <v>@pmac.proto getVar($(VAR)) $(PORT)</v>
      </c>
      <c r="AM12" s="12" t="str">
        <f>VLOOKUP(G12,y_mapProtocolLUT,2)</f>
        <v>@pmac.proto setVar($(VAR)) $(PORT)</v>
      </c>
      <c r="AN12" s="25" t="str">
        <f>IF(LEN(AG12)&gt;0,SUBSTITUTE(SUBSTITUTE(SUBSTITUTE(AK12,"$(DTYP)",y_DTYPE),"$(SETPROTO)",AM12),"$(GETPROTO)",AL12),"")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2" s="25" t="str">
        <f>IFERROR(SUBSTITUTE(SUBSTITUTE(SUBSTITUTE(SUBSTITUTE(SUBSTITUTE(SUBSTITUTE(SUBSTITUTE(SUBSTITUTE(SUBSTITUTE(AN12,"$(Q)",AE12),"$(EGU)",K12),"$(PREC)",N12),"$(VAR)",TRIM(CLEAN(y_dedicatedCS&amp;F12))),"$(GetSB)",AH12),"$(SetSB)",AI12),"$(DESC)",LEFT(I12,40)),"$(ENUMS)",AJ12),"$(DEFAULT)",H12),"")</f>
        <v>_x000D_
# PVs mapping to P2090 of type Analog_x000D_
record(ao, "$(P):CS_ACTIVE") {_x000D_
  field(DESC, "Active CS number on pmac")_x000D_
  field(OUT, "$(P):CS_ACTIVE:SET PP MS")_x000D_
  field(PINI, "NO")_x000D_
  field(EGU, "") field(PREC, "0")_x000D_
  field(SDIS, "$(P):CS_ACTIVE:SCD MS")_x000D_
  field(DISV, "999999")  _x000D_
}_x000D_
record(ai, "$(P):CS_ACTIVE:RBV") {_x000D_
  field(DESC, "Active CS number on pmac readback")_x000D_
  field(DTYP, "stream")_x000D_
  field(INP, "@pmac.proto getVar(P2090) $(PORT)")_x000D_
  field(SDIS, "$(P):EN_ALWAYS NPP MS")_x000D_
  field(DISV, "0")_x000D_
  field(PINI, "NO")_x000D_
  field(DISS, "INVALID")_x000D_
  field(EGU, "") field(PREC, "0")_x000D_
}_x000D_
#% autosave 0 VAL_x000D_
record(ao, "$(P):CS_ACTIVE:SET") {_x000D_
  field(DTYP, "stream")_x000D_
  field(SDIS, "$(P):CS_ACTIVE:ROL PP MS")_x000D_
  field(OUT, "@pmac.proto setVar(P2090) $(PORT)")_x000D_
  field(PINI, "YES")_x000D_
  field(FLNK, "$(P):CS_ACTIVE:SCD")  _x000D_
  field(DISS, "INVALID")_x000D_
}_x000D_
record(calc, "$(P):CS_ACTIVE:ROL") {_x000D_
  field(CALC, "(!B) || A")_x000D_
  field(INPA, "$(P):CS_ACTIVE:SYN.PACT")_x000D_
  field(INPB, "$(P):EN_CSSETUP NPP")_x000D_
  field(PINI, "NO")_x000D_
}_x000D_
record(calcout, "$(P):CS_ACTIVE:SYN") {_x000D_
 field(INPA, "$(P):CS_ACTIVE:RBV PP")_x000D_
 field(INPB, "$(P):EN_ALWAYS CP MS")_x000D_
 field(INPC, "$(P):EN_CSSETUP NPP")_x000D_
 field(INPD, "$(P):CS_ACTIVE:SCD CP MS")_x000D_
 field(INPE, "$(P):CS_ACTIVE:SET NPP")_x000D_
 field(INPF, "$(P):EN_AUTOSYNC CP")_x000D_
 field(SDIS, "$(P):CS_ACTIVE:SET.PACT")_x000D_
 field(DISS, "INVALID")_x000D_
 field(CALC, "((D&gt;0)||(F&gt;0))?A:E")_x000D_
 field(OUT, "$(P):CS_ACTIVE PP MS")_x000D_
 field(PINI, "NO")_x000D_
}_x000D_
record(calc, "$(P):CS_ACTIVE:SCD") {_x000D_
 field(CALC, "(ABS(B-A)&lt;10^(-C))?1:0")_x000D_
 field(INPA, "$(P):CS_ACTIVE:RBV CP MS")_x000D_
 field(INPB, "$(P):CS_ACTIVE:SET CP")_x000D_
 field(INPC, "$(P):CS_ACTIVE:RBV.PREC")_x000D_
 field(PINI, "YES")_x000D_
 field(VAL,"0")_x000D_
 field(LOLO, "0.5")_x000D_
 field(LLSV, "MINOR") _x000D_
}_x000D_
# -----------------------------_x000D_
#</v>
      </c>
      <c r="AP12" s="25" t="str">
        <f>IF(ISNUMBER(W12),SUBSTITUTE(SUBSTITUTE(SUBSTITUTE(SUBSTITUTE(SUBSTITUTE(SUBSTITUTE(SUBSTITUTE(SUBSTITUTE(y_QLabel &amp; IF(RIGHT(R12)="s",y_QELineEdit,y_QELabel),"~PVNAME",$AE12&amp;IF($AC12="map","","")),"~EGU",$K12),"~PREC",$N12),"~VAR",$F12),"~CANGET",$AH12),"~CANSET",$AI12),"~ROW",W12),"~NAME",$E12),"")</f>
        <v>&lt;item row="7" column="0"&gt;
         &lt;widget class="QLabel" name="L_cs_Active"&gt;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&lt;string&gt;cs_Active&lt;/string&gt;
          &lt;/property&gt;
          &lt;property name="margin"&gt;
           &lt;number&gt;3&lt;/number&gt;
          &lt;/property&gt;
         &lt;/widget&gt;
        &lt;/item&gt;
&lt;item row="7" column="2"&gt;
            &lt;widget class="QELineEdit" name="QLD_cs_Active"&gt;
             &lt;property name="variable" stdset="0"&gt;
              &lt;string&gt;$(P)$(R):CS_ACTIVE&lt;/string&gt;
             &lt;/property&gt;
             &lt;property name="addUnits"&gt;
             &lt;bool&gt;true&lt;/bool&gt;
             &lt;/property&gt;
            &lt;/widget&gt;
           &lt;/item&gt;</v>
      </c>
      <c r="AQ12" s="25" t="str">
        <f>IF(ISNUMBER(X12),SUBSTITUTE(SUBSTITUTE(SUBSTITUTE(SUBSTITUTE(SUBSTITUTE(SUBSTITUTE(SUBSTITUTE(SUBSTITUTE(y_QLabel &amp; IF(RIGHT(S12)="s",y_QELineEdit,y_QELabel),"~PVNAME",$AE12&amp;IF($AC12="map",":RBV","")),"~EGU",$K12),"~PREC",$N12),"~VAR",$F12),"~CANGET",$AH12),"~CANSET",$AI12),"~ROW",X12),"~NAME",$E12),"")</f>
        <v/>
      </c>
      <c r="AR12" s="25" t="e">
        <f>VLOOKUP(G12,y_EPICS_Formats,2,FALSE)</f>
        <v>#N/A</v>
      </c>
      <c r="AS12" s="25" t="str">
        <f>IF(AB12="epics",y_Prefix&amp;AE12&amp;" = ","")</f>
        <v xml:space="preserve">SR05ID01FST01:CS_ACTIVE = </v>
      </c>
      <c r="AT12" s="25" t="str">
        <f>IF(LEN(P12&amp;Q12)&gt;0,IFERROR(";"&amp;I12&amp;"["&amp;K12&amp;"]"&amp;AB12&amp;"("&amp;AC12&amp;")"&amp;CHAR(10)&amp;C12 &amp;CHAR(9)&amp;AG12&amp;CHAR(9)&amp;F12 &amp;CHAR(9),";;Error!"),"")</f>
        <v xml:space="preserve">;Active CS number on pmac[]epics(map)
#define	csActive	P2090	</v>
      </c>
      <c r="AU12" s="25" t="str">
        <f>IF(IFERROR(AND(AA12&gt;0,LEN(AN12)&gt;0),FALSE),SUBSTITUTE(SUBSTITUTE(SUBSTITUTE(y_archiverXML,"~PVNAME",AE12),"~PREFIX",y_Prefix),"~PERIOD",MIN(30,AA12)),"")</f>
        <v xml:space="preserve">      &lt;channel&gt;
         &lt;name&gt;SR05ID01FST01:CS_ACTIVE&lt;/name&gt;
         &lt;period&gt;1&lt;/period&gt;
         &lt;monitor/&gt;
      &lt;/channel&gt;</v>
      </c>
      <c r="AV12" s="11">
        <f>IF($AB12="epics",AV$1-LEN(AE12),"")</f>
        <v>9</v>
      </c>
      <c r="AW12" s="11">
        <f>IF($AB12="epics",AW$1-LEN(AH12),"")</f>
        <v>10</v>
      </c>
      <c r="AX12" s="11">
        <f>IF($AB12="epics",AX$1-LEN(AI12),"")</f>
        <v>9</v>
      </c>
      <c r="AY12" s="11">
        <f>IF($AB12="epics",AY$1-LEN(I12)-LEN(" readback"),"")</f>
        <v>7</v>
      </c>
      <c r="AZ12" s="12">
        <f>IF(LEN(F12)&gt;0,IFERROR(VALUE(RIGHT(F12,LEN(F12)-1)),F12),"zzzzz")</f>
        <v>2090</v>
      </c>
      <c r="BA12" s="12">
        <f>IFERROR(VALUE(RIGHT(F12,LEN(F12)-1)),F12)</f>
        <v>2090</v>
      </c>
      <c r="BB12" s="22" t="str">
        <f>y_Prefix&amp;AE12</f>
        <v>SR05ID01FST01:CS_ACTIVE</v>
      </c>
    </row>
    <row r="13" spans="1:54" ht="15.75" customHeight="1" x14ac:dyDescent="0.25">
      <c r="A13" s="22">
        <v>10</v>
      </c>
      <c r="B13" s="23" t="str">
        <f>IF(AND(LEN(D13)&gt;3,D13&lt;&gt;E13),"&lt;FIND TYPE=ASC&gt;"&amp;AD13&amp;"&lt;/FIND&gt;&lt;REPLACE TYPE=ASC&gt;"&amp;AE13&amp;"&lt;/REPLACE&gt;"&amp;CHAR(10)&amp;"&lt;FIND TYPE=ASC&gt;"&amp;AF13&amp;"&lt;/FIND&gt;&lt;REPLACE TYPE=ASC&gt;"&amp;AG13&amp;"&lt;/REPLACE&gt;"&amp;CHAR(10)&amp;"&lt;FIND TYPE=ASC&gt;"&amp;D13&amp;"&lt;/FIND&gt;&lt;REPLACE TYPE=ASC&gt;"&amp;E13&amp;"&lt;/REPLACE&gt;",".")</f>
        <v>.</v>
      </c>
      <c r="C13" s="30" t="str">
        <f>IF(AND(ISBLANK(P13),ISBLANK(Q13)),";","#define")</f>
        <v>#define</v>
      </c>
      <c r="D13" s="28"/>
      <c r="E13" s="22" t="s">
        <v>544</v>
      </c>
      <c r="F13" s="10" t="s">
        <v>545</v>
      </c>
      <c r="G13" s="10" t="s">
        <v>77</v>
      </c>
      <c r="H13" s="10"/>
      <c r="I13" s="61" t="s">
        <v>546</v>
      </c>
      <c r="J13" s="10" t="s">
        <v>363</v>
      </c>
      <c r="K13" s="10" t="s">
        <v>366</v>
      </c>
      <c r="L13" s="10">
        <v>0</v>
      </c>
      <c r="M13" s="10">
        <v>180</v>
      </c>
      <c r="N13" s="10">
        <v>2</v>
      </c>
      <c r="O13" s="15"/>
      <c r="P13" s="49"/>
      <c r="Q13" s="49" t="s">
        <v>35</v>
      </c>
      <c r="R13" s="49" t="s">
        <v>365</v>
      </c>
      <c r="S13" s="49"/>
      <c r="T13" s="49"/>
      <c r="U13" s="49"/>
      <c r="V13" s="49"/>
      <c r="W13" s="98">
        <v>8</v>
      </c>
      <c r="Y13" s="31" t="s">
        <v>787</v>
      </c>
      <c r="Z13" s="31" t="s">
        <v>789</v>
      </c>
      <c r="AA13" s="31">
        <v>30</v>
      </c>
      <c r="AB13" s="55" t="str">
        <f>IF(LEN(R13&amp;S13&amp;T13&amp;U13&amp;V13)&gt;0,"epics","")</f>
        <v>epics</v>
      </c>
      <c r="AC13" s="52" t="str">
        <f>IF(NOT(ISBLANK(V13)),"base",IF(AB13="epics",IF(AND(ISBLANK(P13),ISBLANK(Q13)),"nmp","map"),""))</f>
        <v>map</v>
      </c>
      <c r="AD13" s="27" t="str">
        <f>UPPER(AD$1&amp;":"&amp;D13)</f>
        <v>:</v>
      </c>
      <c r="AE13" s="25" t="str">
        <f>UPPER(AE$1&amp;":"&amp;E13)</f>
        <v>:CS_ANGLEXY</v>
      </c>
      <c r="AF13" s="27" t="str">
        <f>SUBSTITUTE(D13,"_","")</f>
        <v/>
      </c>
      <c r="AG13" s="25" t="str">
        <f>SUBSTITUTE(E13,"_","")&amp;IF(AND(RIGHT(P13)&lt;&gt;"s",RIGHT(Q13)&lt;&gt;"s"),"","")</f>
        <v>csAngleXY</v>
      </c>
      <c r="AH13" s="25" t="str">
        <f>IF(ISNUMBER(Y13),Y13,"$(P)"&amp;$AE$1&amp;":"&amp;Y13)</f>
        <v>$(P):EN_ALWAYS</v>
      </c>
      <c r="AI13" s="25" t="str">
        <f>IF(ISNUMBER(Z13),Z13,"$(P)"&amp;$AE$1&amp;":"&amp;Z13)</f>
        <v>$(P):EN_GLOBAL</v>
      </c>
      <c r="AJ13" s="25"/>
      <c r="AK13" s="12" t="str">
        <f>IF(AC13="map",IF(G13="float",y_varMapAnalog,IF(G13="int",y_varMapLongint,IF(G13="bool",y_varMapBool,IF(G13="string",y_varMapString,IF(G13="option",y_varMapOption,"#unknown Type"))))),IF(AC13="nmp",y_nonMappedAnalog,""))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3" s="12" t="str">
        <f>VLOOKUP(G13,y_mapProtocolLUT,3)</f>
        <v>@pmac.proto getVar($(VAR)) $(PORT)</v>
      </c>
      <c r="AM13" s="12" t="str">
        <f>VLOOKUP(G13,y_mapProtocolLUT,2)</f>
        <v>@pmac.proto setVar($(VAR)) $(PORT)</v>
      </c>
      <c r="AN13" s="25" t="str">
        <f>IF(LEN(AG13)&gt;0,SUBSTITUTE(SUBSTITUTE(SUBSTITUTE(AK13,"$(DTYP)",y_DTYPE),"$(SETPROTO)",AM13),"$(GETPROTO)",AL13),"")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3" s="25" t="str">
        <f>IFERROR(SUBSTITUTE(SUBSTITUTE(SUBSTITUTE(SUBSTITUTE(SUBSTITUTE(SUBSTITUTE(SUBSTITUTE(SUBSTITUTE(SUBSTITUTE(AN13,"$(Q)",AE13),"$(EGU)",K13),"$(PREC)",N13),"$(VAR)",TRIM(CLEAN(y_dedicatedCS&amp;F13))),"$(GetSB)",AH13),"$(SetSB)",AI13),"$(DESC)",LEFT(I13,40)),"$(ENUMS)",AJ13),"$(DEFAULT)",H13),"")</f>
        <v>_x000D_
# PVs mapping to P2017 of type Analog_x000D_
record(ao, "$(P):CS_ANGLEXY") {_x000D_
  field(DESC, "X-Y scan angle")_x000D_
  field(OUT, "$(P):CS_ANGLEXY:SET PP MS")_x000D_
  field(PINI, "NO")_x000D_
  field(EGU, "deg") field(PREC, "2")_x000D_
  field(SDIS, "$(P):CS_ANGLEXY:SCD MS")_x000D_
  field(DISV, "999999")  _x000D_
}_x000D_
record(ai, "$(P):CS_ANGLEXY:RBV") {_x000D_
  field(DESC, "X-Y scan angle readback")_x000D_
  field(DTYP, "stream")_x000D_
  field(INP, "@pmac.proto getVar(P2017) $(PORT)")_x000D_
  field(SDIS, "$(P):EN_ALWAYS NPP MS")_x000D_
  field(DISV, "0")_x000D_
  field(PINI, "NO")_x000D_
  field(DISS, "INVALID")_x000D_
  field(EGU, "deg") field(PREC, "2")_x000D_
}_x000D_
#% autosave 0 VAL_x000D_
record(ao, "$(P):CS_ANGLEXY:SET") {_x000D_
  field(DTYP, "stream")_x000D_
  field(SDIS, "$(P):CS_ANGLEXY:ROL PP MS")_x000D_
  field(OUT, "@pmac.proto setVar(P2017) $(PORT)")_x000D_
  field(PINI, "YES")_x000D_
  field(FLNK, "$(P):CS_ANGLEXY:SCD")  _x000D_
  field(DISS, "INVALID")_x000D_
}_x000D_
record(calc, "$(P):CS_ANGLEXY:ROL") {_x000D_
  field(CALC, "(!B) || A")_x000D_
  field(INPA, "$(P):CS_ANGLEXY:SYN.PACT")_x000D_
  field(INPB, "$(P):EN_GLOBAL NPP")_x000D_
  field(PINI, "NO")_x000D_
}_x000D_
record(calcout, "$(P):CS_ANGLEXY:SYN") {_x000D_
 field(INPA, "$(P):CS_ANGLEXY:RBV PP")_x000D_
 field(INPB, "$(P):EN_ALWAYS CP MS")_x000D_
 field(INPC, "$(P):EN_GLOBAL NPP")_x000D_
 field(INPD, "$(P):CS_ANGLEXY:SCD CP MS")_x000D_
 field(INPE, "$(P):CS_ANGLEXY:SET NPP")_x000D_
 field(INPF, "$(P):EN_AUTOSYNC CP")_x000D_
 field(SDIS, "$(P):CS_ANGLEXY:SET.PACT")_x000D_
 field(DISS, "INVALID")_x000D_
 field(CALC, "((D&gt;0)||(F&gt;0))?A:E")_x000D_
 field(OUT, "$(P):CS_ANGLEXY PP MS")_x000D_
 field(PINI, "NO")_x000D_
}_x000D_
record(calc, "$(P):CS_ANGLEXY:SCD") {_x000D_
 field(CALC, "(ABS(B-A)&lt;10^(-C))?1:0")_x000D_
 field(INPA, "$(P):CS_ANGLEXY:RBV CP MS")_x000D_
 field(INPB, "$(P):CS_ANGLEXY:SET CP")_x000D_
 field(INPC, "$(P):CS_ANGLEXY:RBV.PREC")_x000D_
 field(PINI, "YES")_x000D_
 field(VAL,"0")_x000D_
 field(LOLO, "0.5")_x000D_
 field(LLSV, "MINOR") _x000D_
}_x000D_
# -----------------------------_x000D_
#</v>
      </c>
      <c r="AP13" s="25" t="str">
        <f>IF(ISNUMBER(W13),SUBSTITUTE(SUBSTITUTE(SUBSTITUTE(SUBSTITUTE(SUBSTITUTE(SUBSTITUTE(SUBSTITUTE(SUBSTITUTE(y_QLabel &amp; IF(RIGHT(R13)="s",y_QELineEdit,y_QELabel),"~PVNAME",$AE13&amp;IF($AC13="map","","")),"~EGU",$K13),"~PREC",$N13),"~VAR",$F13),"~CANGET",$AH13),"~CANSET",$AI13),"~ROW",W13),"~NAME",$E13),"")</f>
        <v>&lt;item row="8" column="0"&gt;
         &lt;widget class="QLabel" name="L_cs_AngleXY"&gt;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&lt;string&gt;cs_AngleXY&lt;/string&gt;
          &lt;/property&gt;
          &lt;property name="margin"&gt;
           &lt;number&gt;3&lt;/number&gt;
          &lt;/property&gt;
         &lt;/widget&gt;
        &lt;/item&gt;
&lt;item row="8" column="2"&gt;
            &lt;widget class="QELineEdit" name="QLD_cs_AngleXY"&gt;
             &lt;property name="variable" stdset="0"&gt;
              &lt;string&gt;$(P)$(R):CS_ANGLEXY&lt;/string&gt;
             &lt;/property&gt;
             &lt;property name="addUnits"&gt;
             &lt;bool&gt;true&lt;/bool&gt;
             &lt;/property&gt;
            &lt;/widget&gt;
           &lt;/item&gt;</v>
      </c>
      <c r="AQ13" s="25" t="str">
        <f>IF(ISNUMBER(X13),SUBSTITUTE(SUBSTITUTE(SUBSTITUTE(SUBSTITUTE(SUBSTITUTE(SUBSTITUTE(SUBSTITUTE(SUBSTITUTE(y_QLabel &amp; IF(RIGHT(S13)="s",y_QELineEdit,y_QELabel),"~PVNAME",$AE13&amp;IF($AC13="map",":RBV","")),"~EGU",$K13),"~PREC",$N13),"~VAR",$F13),"~CANGET",$AH13),"~CANSET",$AI13),"~ROW",X13),"~NAME",$E13),"")</f>
        <v/>
      </c>
      <c r="AR13" s="25" t="e">
        <f>VLOOKUP(G13,y_EPICS_Formats,2,FALSE)</f>
        <v>#N/A</v>
      </c>
      <c r="AS13" s="25" t="str">
        <f>IF(AB13="epics",y_Prefix&amp;AE13&amp;" = ","")</f>
        <v xml:space="preserve">SR05ID01FST01:CS_ANGLEXY = </v>
      </c>
      <c r="AT13" s="25" t="str">
        <f>IF(LEN(P13&amp;Q13)&gt;0,IFERROR(";"&amp;I13&amp;"["&amp;K13&amp;"]"&amp;AB13&amp;"("&amp;AC13&amp;")"&amp;CHAR(10)&amp;C13 &amp;CHAR(9)&amp;AG13&amp;CHAR(9)&amp;F13 &amp;CHAR(9),";;Error!"),"")</f>
        <v xml:space="preserve">;X-Y scan angle[deg]epics(map)
#define	csAngleXY	P2017	</v>
      </c>
      <c r="AU13" s="25" t="str">
        <f>IF(IFERROR(AND(AA13&gt;0,LEN(AN13)&gt;0),FALSE),SUBSTITUTE(SUBSTITUTE(SUBSTITUTE(y_archiverXML,"~PVNAME",AE13),"~PREFIX",y_Prefix),"~PERIOD",MIN(30,AA13)),"")</f>
        <v xml:space="preserve">      &lt;channel&gt;
         &lt;name&gt;SR05ID01FST01:CS_ANGLEXY&lt;/name&gt;
         &lt;period&gt;30&lt;/period&gt;
         &lt;monitor/&gt;
      &lt;/channel&gt;</v>
      </c>
      <c r="AV13" s="11">
        <f>IF($AB13="epics",AV$1-LEN(AE13),"")</f>
        <v>8</v>
      </c>
      <c r="AW13" s="11">
        <f>IF($AB13="epics",AW$1-LEN(AH13),"")</f>
        <v>10</v>
      </c>
      <c r="AX13" s="11">
        <f>IF($AB13="epics",AX$1-LEN(AI13),"")</f>
        <v>10</v>
      </c>
      <c r="AY13" s="11">
        <f>IF($AB13="epics",AY$1-LEN(I13)-LEN(" readback"),"")</f>
        <v>17</v>
      </c>
      <c r="AZ13" s="12">
        <f>IF(LEN(F13)&gt;0,IFERROR(VALUE(RIGHT(F13,LEN(F13)-1)),F13),"zzzzz")</f>
        <v>2017</v>
      </c>
      <c r="BA13" s="12">
        <f>IFERROR(VALUE(RIGHT(F13,LEN(F13)-1)),F13)</f>
        <v>2017</v>
      </c>
      <c r="BB13" s="22" t="str">
        <f>y_Prefix&amp;AE13</f>
        <v>SR05ID01FST01:CS_ANGLEXY</v>
      </c>
    </row>
    <row r="14" spans="1:54" ht="15.75" customHeight="1" x14ac:dyDescent="0.25">
      <c r="A14" s="22">
        <v>11</v>
      </c>
      <c r="B14" s="23" t="str">
        <f>IF(AND(LEN(D14)&gt;3,D14&lt;&gt;E14),"&lt;FIND TYPE=ASC&gt;"&amp;AD14&amp;"&lt;/FIND&gt;&lt;REPLACE TYPE=ASC&gt;"&amp;AE14&amp;"&lt;/REPLACE&gt;"&amp;CHAR(10)&amp;"&lt;FIND TYPE=ASC&gt;"&amp;AF14&amp;"&lt;/FIND&gt;&lt;REPLACE TYPE=ASC&gt;"&amp;AG14&amp;"&lt;/REPLACE&gt;"&amp;CHAR(10)&amp;"&lt;FIND TYPE=ASC&gt;"&amp;D14&amp;"&lt;/FIND&gt;&lt;REPLACE TYPE=ASC&gt;"&amp;E14&amp;"&lt;/REPLACE&gt;",".")</f>
        <v>.</v>
      </c>
      <c r="C14" s="30" t="str">
        <f>IF(AND(ISBLANK(P14),ISBLANK(Q14)),";","#define")</f>
        <v>#define</v>
      </c>
      <c r="D14" s="9"/>
      <c r="E14" s="22" t="s">
        <v>547</v>
      </c>
      <c r="F14" s="10" t="s">
        <v>548</v>
      </c>
      <c r="G14" s="10" t="s">
        <v>77</v>
      </c>
      <c r="H14" s="10"/>
      <c r="I14" s="61" t="s">
        <v>549</v>
      </c>
      <c r="J14" s="10" t="s">
        <v>363</v>
      </c>
      <c r="K14" s="10" t="s">
        <v>366</v>
      </c>
      <c r="L14" s="10">
        <v>1</v>
      </c>
      <c r="M14" s="10">
        <v>89</v>
      </c>
      <c r="N14" s="10">
        <v>2</v>
      </c>
      <c r="O14" s="15"/>
      <c r="P14" s="49"/>
      <c r="Q14" s="49" t="s">
        <v>35</v>
      </c>
      <c r="R14" s="49" t="s">
        <v>365</v>
      </c>
      <c r="S14" s="49"/>
      <c r="T14" s="49"/>
      <c r="U14" s="49"/>
      <c r="V14" s="49"/>
      <c r="W14" s="98">
        <v>9</v>
      </c>
      <c r="Y14" s="69" t="s">
        <v>787</v>
      </c>
      <c r="Z14" s="69" t="s">
        <v>789</v>
      </c>
      <c r="AA14" s="69">
        <v>30</v>
      </c>
      <c r="AB14" s="55" t="str">
        <f>IF(LEN(R14&amp;S14&amp;T14&amp;U14&amp;V14)&gt;0,"epics","")</f>
        <v>epics</v>
      </c>
      <c r="AC14" s="52" t="str">
        <f>IF(NOT(ISBLANK(V14)),"base",IF(AB14="epics",IF(AND(ISBLANK(P14),ISBLANK(Q14)),"nmp","map"),""))</f>
        <v>map</v>
      </c>
      <c r="AD14" s="27" t="str">
        <f>UPPER(AD$1&amp;":"&amp;D14)</f>
        <v>:</v>
      </c>
      <c r="AE14" s="25" t="str">
        <f>UPPER(AE$1&amp;":"&amp;E14)</f>
        <v>:CS_ANGLEXZ</v>
      </c>
      <c r="AF14" s="27" t="str">
        <f>SUBSTITUTE(D14,"_","")</f>
        <v/>
      </c>
      <c r="AG14" s="25" t="str">
        <f>SUBSTITUTE(E14,"_","")&amp;IF(AND(RIGHT(P14)&lt;&gt;"s",RIGHT(Q14)&lt;&gt;"s"),"","")</f>
        <v>csAngleXZ</v>
      </c>
      <c r="AH14" s="25" t="str">
        <f>IF(ISNUMBER(Y14),Y14,"$(P)"&amp;$AE$1&amp;":"&amp;Y14)</f>
        <v>$(P):EN_ALWAYS</v>
      </c>
      <c r="AI14" s="25" t="str">
        <f>IF(ISNUMBER(Z14),Z14,"$(P)"&amp;$AE$1&amp;":"&amp;Z14)</f>
        <v>$(P):EN_GLOBAL</v>
      </c>
      <c r="AJ14" s="25"/>
      <c r="AK14" s="12" t="str">
        <f>IF(AC14="map",IF(G14="float",y_varMapAnalog,IF(G14="int",y_varMapLongint,IF(G14="bool",y_varMapBool,IF(G14="string",y_varMapString,IF(G14="option",y_varMapOption,"#unknown Type"))))),IF(AC14="nmp",y_nonMappedAnalog,""))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4" s="12" t="str">
        <f>VLOOKUP(G14,y_mapProtocolLUT,3)</f>
        <v>@pmac.proto getVar($(VAR)) $(PORT)</v>
      </c>
      <c r="AM14" s="12" t="str">
        <f>VLOOKUP(G14,y_mapProtocolLUT,2)</f>
        <v>@pmac.proto setVar($(VAR)) $(PORT)</v>
      </c>
      <c r="AN14" s="25" t="str">
        <f>IF(LEN(AG14)&gt;0,SUBSTITUTE(SUBSTITUTE(SUBSTITUTE(AK14,"$(DTYP)",y_DTYPE),"$(SETPROTO)",AM14),"$(GETPROTO)",AL14),"")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4" s="25" t="str">
        <f>IFERROR(SUBSTITUTE(SUBSTITUTE(SUBSTITUTE(SUBSTITUTE(SUBSTITUTE(SUBSTITUTE(SUBSTITUTE(SUBSTITUTE(SUBSTITUTE(AN14,"$(Q)",AE14),"$(EGU)",K14),"$(PREC)",N14),"$(VAR)",TRIM(CLEAN(y_dedicatedCS&amp;F14))),"$(GetSB)",AH14),"$(SetSB)",AI14),"$(DESC)",LEFT(I14,40)),"$(ENUMS)",AJ14),"$(DEFAULT)",H14),"")</f>
        <v>_x000D_
# PVs mapping to P2009 of type Analog_x000D_
record(ao, "$(P):CS_ANGLEXZ") {_x000D_
  field(DESC, "X-Z scan angle")_x000D_
  field(OUT, "$(P):CS_ANGLEXZ:SET PP MS")_x000D_
  field(PINI, "NO")_x000D_
  field(EGU, "deg") field(PREC, "2")_x000D_
  field(SDIS, "$(P):CS_ANGLEXZ:SCD MS")_x000D_
  field(DISV, "999999")  _x000D_
}_x000D_
record(ai, "$(P):CS_ANGLEXZ:RBV") {_x000D_
  field(DESC, "X-Z scan angle readback")_x000D_
  field(DTYP, "stream")_x000D_
  field(INP, "@pmac.proto getVar(P2009) $(PORT)")_x000D_
  field(SDIS, "$(P):EN_ALWAYS NPP MS")_x000D_
  field(DISV, "0")_x000D_
  field(PINI, "NO")_x000D_
  field(DISS, "INVALID")_x000D_
  field(EGU, "deg") field(PREC, "2")_x000D_
}_x000D_
#% autosave 0 VAL_x000D_
record(ao, "$(P):CS_ANGLEXZ:SET") {_x000D_
  field(DTYP, "stream")_x000D_
  field(SDIS, "$(P):CS_ANGLEXZ:ROL PP MS")_x000D_
  field(OUT, "@pmac.proto setVar(P2009) $(PORT)")_x000D_
  field(PINI, "YES")_x000D_
  field(FLNK, "$(P):CS_ANGLEXZ:SCD")  _x000D_
  field(DISS, "INVALID")_x000D_
}_x000D_
record(calc, "$(P):CS_ANGLEXZ:ROL") {_x000D_
  field(CALC, "(!B) || A")_x000D_
  field(INPA, "$(P):CS_ANGLEXZ:SYN.PACT")_x000D_
  field(INPB, "$(P):EN_GLOBAL NPP")_x000D_
  field(PINI, "NO")_x000D_
}_x000D_
record(calcout, "$(P):CS_ANGLEXZ:SYN") {_x000D_
 field(INPA, "$(P):CS_ANGLEXZ:RBV PP")_x000D_
 field(INPB, "$(P):EN_ALWAYS CP MS")_x000D_
 field(INPC, "$(P):EN_GLOBAL NPP")_x000D_
 field(INPD, "$(P):CS_ANGLEXZ:SCD CP MS")_x000D_
 field(INPE, "$(P):CS_ANGLEXZ:SET NPP")_x000D_
 field(INPF, "$(P):EN_AUTOSYNC CP")_x000D_
 field(SDIS, "$(P):CS_ANGLEXZ:SET.PACT")_x000D_
 field(DISS, "INVALID")_x000D_
 field(CALC, "((D&gt;0)||(F&gt;0))?A:E")_x000D_
 field(OUT, "$(P):CS_ANGLEXZ PP MS")_x000D_
 field(PINI, "NO")_x000D_
}_x000D_
record(calc, "$(P):CS_ANGLEXZ:SCD") {_x000D_
 field(CALC, "(ABS(B-A)&lt;10^(-C))?1:0")_x000D_
 field(INPA, "$(P):CS_ANGLEXZ:RBV CP MS")_x000D_
 field(INPB, "$(P):CS_ANGLEXZ:SET CP")_x000D_
 field(INPC, "$(P):CS_ANGLEXZ:RBV.PREC")_x000D_
 field(PINI, "YES")_x000D_
 field(VAL,"0")_x000D_
 field(LOLO, "0.5")_x000D_
 field(LLSV, "MINOR") _x000D_
}_x000D_
# -----------------------------_x000D_
#</v>
      </c>
      <c r="AP14" s="25" t="str">
        <f>IF(ISNUMBER(W14),SUBSTITUTE(SUBSTITUTE(SUBSTITUTE(SUBSTITUTE(SUBSTITUTE(SUBSTITUTE(SUBSTITUTE(SUBSTITUTE(y_QLabel &amp; IF(RIGHT(R14)="s",y_QELineEdit,y_QELabel),"~PVNAME",$AE14&amp;IF($AC14="map","","")),"~EGU",$K14),"~PREC",$N14),"~VAR",$F14),"~CANGET",$AH14),"~CANSET",$AI14),"~ROW",W14),"~NAME",$E14),"")</f>
        <v>&lt;item row="9" column="0"&gt;
         &lt;widget class="QLabel" name="L_cs_AngleXZ"&gt;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&lt;string&gt;cs_AngleXZ&lt;/string&gt;
          &lt;/property&gt;
          &lt;property name="margin"&gt;
           &lt;number&gt;3&lt;/number&gt;
          &lt;/property&gt;
         &lt;/widget&gt;
        &lt;/item&gt;
&lt;item row="9" column="2"&gt;
            &lt;widget class="QELineEdit" name="QLD_cs_AngleXZ"&gt;
             &lt;property name="variable" stdset="0"&gt;
              &lt;string&gt;$(P)$(R):CS_ANGLEXZ&lt;/string&gt;
             &lt;/property&gt;
             &lt;property name="addUnits"&gt;
             &lt;bool&gt;true&lt;/bool&gt;
             &lt;/property&gt;
            &lt;/widget&gt;
           &lt;/item&gt;</v>
      </c>
      <c r="AQ14" s="25" t="str">
        <f>IF(ISNUMBER(X14),SUBSTITUTE(SUBSTITUTE(SUBSTITUTE(SUBSTITUTE(SUBSTITUTE(SUBSTITUTE(SUBSTITUTE(SUBSTITUTE(y_QLabel &amp; IF(RIGHT(S14)="s",y_QELineEdit,y_QELabel),"~PVNAME",$AE14&amp;IF($AC14="map",":RBV","")),"~EGU",$K14),"~PREC",$N14),"~VAR",$F14),"~CANGET",$AH14),"~CANSET",$AI14),"~ROW",X14),"~NAME",$E14),"")</f>
        <v/>
      </c>
      <c r="AR14" s="25" t="e">
        <f>VLOOKUP(G14,y_EPICS_Formats,2,FALSE)</f>
        <v>#N/A</v>
      </c>
      <c r="AS14" s="25" t="str">
        <f>IF(AB14="epics",y_Prefix&amp;AE14&amp;" = ","")</f>
        <v xml:space="preserve">SR05ID01FST01:CS_ANGLEXZ = </v>
      </c>
      <c r="AT14" s="25" t="str">
        <f>IF(LEN(P14&amp;Q14)&gt;0,IFERROR(";"&amp;I14&amp;"["&amp;K14&amp;"]"&amp;AB14&amp;"("&amp;AC14&amp;")"&amp;CHAR(10)&amp;C14 &amp;CHAR(9)&amp;AG14&amp;CHAR(9)&amp;F14 &amp;CHAR(9),";;Error!"),"")</f>
        <v xml:space="preserve">;X-Z scan angle[deg]epics(map)
#define	csAngleXZ	P2009	</v>
      </c>
      <c r="AU14" s="25" t="str">
        <f>IF(IFERROR(AND(AA14&gt;0,LEN(AN14)&gt;0),FALSE),SUBSTITUTE(SUBSTITUTE(SUBSTITUTE(y_archiverXML,"~PVNAME",AE14),"~PREFIX",y_Prefix),"~PERIOD",MIN(30,AA14)),"")</f>
        <v xml:space="preserve">      &lt;channel&gt;
         &lt;name&gt;SR05ID01FST01:CS_ANGLEXZ&lt;/name&gt;
         &lt;period&gt;30&lt;/period&gt;
         &lt;monitor/&gt;
      &lt;/channel&gt;</v>
      </c>
      <c r="AV14" s="11">
        <f>IF($AB14="epics",AV$1-LEN(AE14),"")</f>
        <v>8</v>
      </c>
      <c r="AW14" s="11">
        <f>IF($AB14="epics",AW$1-LEN(AH14),"")</f>
        <v>10</v>
      </c>
      <c r="AX14" s="11">
        <f>IF($AB14="epics",AX$1-LEN(AI14),"")</f>
        <v>10</v>
      </c>
      <c r="AY14" s="11">
        <f>IF($AB14="epics",AY$1-LEN(I14)-LEN(" readback"),"")</f>
        <v>17</v>
      </c>
      <c r="AZ14" s="12">
        <f>IF(LEN(F14)&gt;0,IFERROR(VALUE(RIGHT(F14,LEN(F14)-1)),F14),"zzzzz")</f>
        <v>2009</v>
      </c>
      <c r="BA14" s="12">
        <f>IFERROR(VALUE(RIGHT(F14,LEN(F14)-1)),F14)</f>
        <v>2009</v>
      </c>
      <c r="BB14" s="22" t="str">
        <f>y_Prefix&amp;AE14</f>
        <v>SR05ID01FST01:CS_ANGLEXZ</v>
      </c>
    </row>
    <row r="15" spans="1:54" ht="15.75" customHeight="1" x14ac:dyDescent="0.25">
      <c r="A15" s="22">
        <v>12</v>
      </c>
      <c r="B15" s="71" t="str">
        <f>IF(AND(LEN(D15)&gt;3,D15&lt;&gt;E15),"&lt;FIND TYPE=ASC&gt;"&amp;AD15&amp;"&lt;/FIND&gt;&lt;REPLACE TYPE=ASC&gt;"&amp;AE15&amp;"&lt;/REPLACE&gt;"&amp;CHAR(10)&amp;"&lt;FIND TYPE=ASC&gt;"&amp;AF15&amp;"&lt;/FIND&gt;&lt;REPLACE TYPE=ASC&gt;"&amp;AG15&amp;"&lt;/REPLACE&gt;"&amp;CHAR(10)&amp;"&lt;FIND TYPE=ASC&gt;"&amp;D15&amp;"&lt;/FIND&gt;&lt;REPLACE TYPE=ASC&gt;"&amp;E15&amp;"&lt;/REPLACE&gt;",".")</f>
        <v>.</v>
      </c>
      <c r="C15" s="72" t="str">
        <f>IF(AND(ISBLANK(P15),ISBLANK(Q15)),";","#define")</f>
        <v>#define</v>
      </c>
      <c r="D15" s="68"/>
      <c r="E15" s="22" t="s">
        <v>550</v>
      </c>
      <c r="F15" s="17" t="s">
        <v>551</v>
      </c>
      <c r="G15" s="17" t="s">
        <v>77</v>
      </c>
      <c r="H15" s="17"/>
      <c r="I15" s="73" t="s">
        <v>552</v>
      </c>
      <c r="J15" s="17" t="s">
        <v>363</v>
      </c>
      <c r="K15" s="17" t="s">
        <v>553</v>
      </c>
      <c r="L15" s="17">
        <v>1</v>
      </c>
      <c r="M15" s="17">
        <v>360000000000000</v>
      </c>
      <c r="N15" s="10">
        <v>0</v>
      </c>
      <c r="O15" s="74"/>
      <c r="P15" s="49"/>
      <c r="Q15" s="49" t="s">
        <v>35</v>
      </c>
      <c r="R15" s="49" t="s">
        <v>365</v>
      </c>
      <c r="S15" s="49"/>
      <c r="T15" s="49"/>
      <c r="U15" s="49"/>
      <c r="V15" s="49"/>
      <c r="W15" s="98">
        <v>10</v>
      </c>
      <c r="Y15" s="69" t="s">
        <v>787</v>
      </c>
      <c r="Z15" s="69" t="s">
        <v>789</v>
      </c>
      <c r="AA15" s="69">
        <v>30</v>
      </c>
      <c r="AB15" s="55" t="str">
        <f>IF(LEN(R15&amp;S15&amp;T15&amp;U15&amp;V15)&gt;0,"epics","")</f>
        <v>epics</v>
      </c>
      <c r="AC15" s="52" t="str">
        <f>IF(NOT(ISBLANK(V15)),"base",IF(AB15="epics",IF(AND(ISBLANK(P15),ISBLANK(Q15)),"nmp","map"),""))</f>
        <v>map</v>
      </c>
      <c r="AD15" s="27" t="str">
        <f>UPPER(AD$1&amp;":"&amp;D15)</f>
        <v>:</v>
      </c>
      <c r="AE15" s="25" t="str">
        <f>UPPER(AE$1&amp;":"&amp;E15)</f>
        <v>:CS_GEARTX</v>
      </c>
      <c r="AF15" s="27" t="str">
        <f>SUBSTITUTE(D15,"_","")</f>
        <v/>
      </c>
      <c r="AG15" s="25" t="str">
        <f>SUBSTITUTE(E15,"_","")&amp;IF(AND(RIGHT(P15)&lt;&gt;"s",RIGHT(Q15)&lt;&gt;"s"),"","")</f>
        <v>csGearTX</v>
      </c>
      <c r="AH15" s="25" t="str">
        <f>IF(ISNUMBER(Y15),Y15,"$(P)"&amp;$AE$1&amp;":"&amp;Y15)</f>
        <v>$(P):EN_ALWAYS</v>
      </c>
      <c r="AI15" s="25" t="str">
        <f>IF(ISNUMBER(Z15),Z15,"$(P)"&amp;$AE$1&amp;":"&amp;Z15)</f>
        <v>$(P):EN_GLOBAL</v>
      </c>
      <c r="AJ15" s="25"/>
      <c r="AK15" s="12" t="str">
        <f>IF(AC15="map",IF(G15="float",y_varMapAnalog,IF(G15="int",y_varMapLongint,IF(G15="bool",y_varMapBool,IF(G15="string",y_varMapString,IF(G15="option",y_varMapOption,"#unknown Type"))))),IF(AC15="nmp",y_nonMappedAnalog,""))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5" s="12" t="str">
        <f>VLOOKUP(G15,y_mapProtocolLUT,3)</f>
        <v>@pmac.proto getVar($(VAR)) $(PORT)</v>
      </c>
      <c r="AM15" s="12" t="str">
        <f>VLOOKUP(G15,y_mapProtocolLUT,2)</f>
        <v>@pmac.proto setVar($(VAR)) $(PORT)</v>
      </c>
      <c r="AN15" s="25" t="str">
        <f>IF(LEN(AG15)&gt;0,SUBSTITUTE(SUBSTITUTE(SUBSTITUTE(AK15,"$(DTYP)",y_DTYPE),"$(SETPROTO)",AM15),"$(GETPROTO)",AL15),"")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5" s="25" t="str">
        <f>IFERROR(SUBSTITUTE(SUBSTITUTE(SUBSTITUTE(SUBSTITUTE(SUBSTITUTE(SUBSTITUTE(SUBSTITUTE(SUBSTITUTE(SUBSTITUTE(AN15,"$(Q)",AE15),"$(EGU)",K15),"$(PREC)",N15),"$(VAR)",TRIM(CLEAN(y_dedicatedCS&amp;F15))),"$(GetSB)",AH15),"$(SetSB)",AI15),"$(DESC)",LEFT(I15,40)),"$(ENUMS)",AJ15),"$(DEFAULT)",H15),"")</f>
        <v>_x000D_
# PVs mapping to P2010 of type Analog_x000D_
record(ao, "$(P):CS_GEARTX") {_x000D_
  field(DESC, "Tomo-X scan gear ratio")_x000D_
  field(OUT, "$(P):CS_GEARTX:SET PP MS")_x000D_
  field(PINI, "NO")_x000D_
  field(EGU, "deg/mm") field(PREC, "0")_x000D_
  field(SDIS, "$(P):CS_GEARTX:SCD MS")_x000D_
  field(DISV, "999999")  _x000D_
}_x000D_
record(ai, "$(P):CS_GEARTX:RBV") {_x000D_
  field(DESC, "Tomo-X scan gear ratio readback")_x000D_
  field(DTYP, "stream")_x000D_
  field(INP, "@pmac.proto getVar(P2010) $(PORT)")_x000D_
  field(SDIS, "$(P):EN_ALWAYS NPP MS")_x000D_
  field(DISV, "0")_x000D_
  field(PINI, "NO")_x000D_
  field(DISS, "INVALID")_x000D_
  field(EGU, "deg/mm") field(PREC, "0")_x000D_
}_x000D_
#% autosave 0 VAL_x000D_
record(ao, "$(P):CS_GEARTX:SET") {_x000D_
  field(DTYP, "stream")_x000D_
  field(SDIS, "$(P):CS_GEARTX:ROL PP MS")_x000D_
  field(OUT, "@pmac.proto setVar(P2010) $(PORT)")_x000D_
  field(PINI, "YES")_x000D_
  field(FLNK, "$(P):CS_GEARTX:SCD")  _x000D_
  field(DISS, "INVALID")_x000D_
}_x000D_
record(calc, "$(P):CS_GEARTX:ROL") {_x000D_
  field(CALC, "(!B) || A")_x000D_
  field(INPA, "$(P):CS_GEARTX:SYN.PACT")_x000D_
  field(INPB, "$(P):EN_GLOBAL NPP")_x000D_
  field(PINI, "NO")_x000D_
}_x000D_
record(calcout, "$(P):CS_GEARTX:SYN") {_x000D_
 field(INPA, "$(P):CS_GEARTX:RBV PP")_x000D_
 field(INPB, "$(P):EN_ALWAYS CP MS")_x000D_
 field(INPC, "$(P):EN_GLOBAL NPP")_x000D_
 field(INPD, "$(P):CS_GEARTX:SCD CP MS")_x000D_
 field(INPE, "$(P):CS_GEARTX:SET NPP")_x000D_
 field(INPF, "$(P):EN_AUTOSYNC CP")_x000D_
 field(SDIS, "$(P):CS_GEARTX:SET.PACT")_x000D_
 field(DISS, "INVALID")_x000D_
 field(CALC, "((D&gt;0)||(F&gt;0))?A:E")_x000D_
 field(OUT, "$(P):CS_GEARTX PP MS")_x000D_
 field(PINI, "NO")_x000D_
}_x000D_
record(calc, "$(P):CS_GEARTX:SCD") {_x000D_
 field(CALC, "(ABS(B-A)&lt;10^(-C))?1:0")_x000D_
 field(INPA, "$(P):CS_GEARTX:RBV CP MS")_x000D_
 field(INPB, "$(P):CS_GEARTX:SET CP")_x000D_
 field(INPC, "$(P):CS_GEARTX:RBV.PREC")_x000D_
 field(PINI, "YES")_x000D_
 field(VAL,"0")_x000D_
 field(LOLO, "0.5")_x000D_
 field(LLSV, "MINOR") _x000D_
}_x000D_
# -----------------------------_x000D_
#</v>
      </c>
      <c r="AP15" s="25" t="str">
        <f>IF(ISNUMBER(W15),SUBSTITUTE(SUBSTITUTE(SUBSTITUTE(SUBSTITUTE(SUBSTITUTE(SUBSTITUTE(SUBSTITUTE(SUBSTITUTE(y_QLabel &amp; IF(RIGHT(R15)="s",y_QELineEdit,y_QELabel),"~PVNAME",$AE15&amp;IF($AC15="map","","")),"~EGU",$K15),"~PREC",$N15),"~VAR",$F15),"~CANGET",$AH15),"~CANSET",$AI15),"~ROW",W15),"~NAME",$E15),"")</f>
        <v>&lt;item row="10" column="0"&gt;
         &lt;widget class="QLabel" name="L_cs_GearTX"&gt;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&lt;string&gt;cs_GearTX&lt;/string&gt;
          &lt;/property&gt;
          &lt;property name="margin"&gt;
           &lt;number&gt;3&lt;/number&gt;
          &lt;/property&gt;
         &lt;/widget&gt;
        &lt;/item&gt;
&lt;item row="10" column="2"&gt;
            &lt;widget class="QELineEdit" name="QLD_cs_GearTX"&gt;
             &lt;property name="variable" stdset="0"&gt;
              &lt;string&gt;$(P)$(R):CS_GEARTX&lt;/string&gt;
             &lt;/property&gt;
             &lt;property name="addUnits"&gt;
             &lt;bool&gt;true&lt;/bool&gt;
             &lt;/property&gt;
            &lt;/widget&gt;
           &lt;/item&gt;</v>
      </c>
      <c r="AQ15" s="25" t="str">
        <f>IF(ISNUMBER(X15),SUBSTITUTE(SUBSTITUTE(SUBSTITUTE(SUBSTITUTE(SUBSTITUTE(SUBSTITUTE(SUBSTITUTE(SUBSTITUTE(y_QLabel &amp; IF(RIGHT(S15)="s",y_QELineEdit,y_QELabel),"~PVNAME",$AE15&amp;IF($AC15="map",":RBV","")),"~EGU",$K15),"~PREC",$N15),"~VAR",$F15),"~CANGET",$AH15),"~CANSET",$AI15),"~ROW",X15),"~NAME",$E15),"")</f>
        <v/>
      </c>
      <c r="AR15" s="25" t="e">
        <f>VLOOKUP(G15,y_EPICS_Formats,2,FALSE)</f>
        <v>#N/A</v>
      </c>
      <c r="AS15" s="25" t="str">
        <f>IF(AB15="epics",y_Prefix&amp;AE15&amp;" = ","")</f>
        <v xml:space="preserve">SR05ID01FST01:CS_GEARTX = </v>
      </c>
      <c r="AT15" s="25" t="str">
        <f>IF(LEN(P15&amp;Q15)&gt;0,IFERROR(";"&amp;I15&amp;"["&amp;K15&amp;"]"&amp;AB15&amp;"("&amp;AC15&amp;")"&amp;CHAR(10)&amp;C15 &amp;CHAR(9)&amp;AG15&amp;CHAR(9)&amp;F15 &amp;CHAR(9),";;Error!"),"")</f>
        <v xml:space="preserve">;Tomo-X scan gear ratio[deg/mm]epics(map)
#define	csGearTX	P2010	</v>
      </c>
      <c r="AU15" s="25" t="str">
        <f>IF(IFERROR(AND(AA15&gt;0,LEN(AN15)&gt;0),FALSE),SUBSTITUTE(SUBSTITUTE(SUBSTITUTE(y_archiverXML,"~PVNAME",AE15),"~PREFIX",y_Prefix),"~PERIOD",MIN(30,AA15)),"")</f>
        <v xml:space="preserve">      &lt;channel&gt;
         &lt;name&gt;SR05ID01FST01:CS_GEARTX&lt;/name&gt;
         &lt;period&gt;30&lt;/period&gt;
         &lt;monitor/&gt;
      &lt;/channel&gt;</v>
      </c>
      <c r="AV15" s="11">
        <f>IF($AB15="epics",AV$1-LEN(AE15),"")</f>
        <v>9</v>
      </c>
      <c r="AW15" s="11">
        <f>IF($AB15="epics",AW$1-LEN(AH15),"")</f>
        <v>10</v>
      </c>
      <c r="AX15" s="11">
        <f>IF($AB15="epics",AX$1-LEN(AI15),"")</f>
        <v>10</v>
      </c>
      <c r="AY15" s="11">
        <f>IF($AB15="epics",AY$1-LEN(I15)-LEN(" readback"),"")</f>
        <v>9</v>
      </c>
      <c r="AZ15" s="12">
        <f>IF(LEN(F15)&gt;0,IFERROR(VALUE(RIGHT(F15,LEN(F15)-1)),F15),"zzzzz")</f>
        <v>2010</v>
      </c>
      <c r="BA15" s="12">
        <f>IFERROR(VALUE(RIGHT(F15,LEN(F15)-1)),F15)</f>
        <v>2010</v>
      </c>
      <c r="BB15" s="22" t="str">
        <f>y_Prefix&amp;AE15</f>
        <v>SR05ID01FST01:CS_GEARTX</v>
      </c>
    </row>
    <row r="16" spans="1:54" ht="15.75" customHeight="1" x14ac:dyDescent="0.25">
      <c r="A16" s="22">
        <v>13</v>
      </c>
      <c r="B16" s="23" t="str">
        <f>IF(AND(LEN(D16)&gt;3,D16&lt;&gt;E16),"&lt;FIND TYPE=ASC&gt;"&amp;AD16&amp;"&lt;/FIND&gt;&lt;REPLACE TYPE=ASC&gt;"&amp;AE16&amp;"&lt;/REPLACE&gt;"&amp;CHAR(10)&amp;"&lt;FIND TYPE=ASC&gt;"&amp;AF16&amp;"&lt;/FIND&gt;&lt;REPLACE TYPE=ASC&gt;"&amp;AG16&amp;"&lt;/REPLACE&gt;"&amp;CHAR(10)&amp;"&lt;FIND TYPE=ASC&gt;"&amp;D16&amp;"&lt;/FIND&gt;&lt;REPLACE TYPE=ASC&gt;"&amp;E16&amp;"&lt;/REPLACE&gt;",".")</f>
        <v>.</v>
      </c>
      <c r="C16" s="30" t="str">
        <f>IF(AND(ISBLANK(P16),ISBLANK(Q16)),";","#define")</f>
        <v>#define</v>
      </c>
      <c r="D16" s="29"/>
      <c r="E16" s="22" t="s">
        <v>554</v>
      </c>
      <c r="F16" s="10" t="s">
        <v>555</v>
      </c>
      <c r="G16" s="10" t="s">
        <v>77</v>
      </c>
      <c r="H16" s="10"/>
      <c r="I16" s="61" t="s">
        <v>556</v>
      </c>
      <c r="J16" s="10" t="s">
        <v>386</v>
      </c>
      <c r="K16" s="10"/>
      <c r="L16" s="10">
        <v>0</v>
      </c>
      <c r="M16" s="10">
        <v>0</v>
      </c>
      <c r="N16" s="10">
        <v>0</v>
      </c>
      <c r="O16" s="15"/>
      <c r="P16" s="49"/>
      <c r="Q16" s="49" t="s">
        <v>365</v>
      </c>
      <c r="R16" s="49" t="s">
        <v>35</v>
      </c>
      <c r="S16" s="49"/>
      <c r="T16" s="49"/>
      <c r="U16" s="49"/>
      <c r="V16" s="49" t="s">
        <v>35</v>
      </c>
      <c r="W16" s="98">
        <v>11</v>
      </c>
      <c r="AA16" s="31">
        <v>1</v>
      </c>
      <c r="AB16" s="55" t="str">
        <f>IF(LEN(R16&amp;S16&amp;T16&amp;U16&amp;V16)&gt;0,"epics","")</f>
        <v>epics</v>
      </c>
      <c r="AC16" s="52" t="str">
        <f>IF(NOT(ISBLANK(V16)),"base",IF(AB16="epics",IF(AND(ISBLANK(P16),ISBLANK(Q16)),"nmp","map"),""))</f>
        <v>base</v>
      </c>
      <c r="AD16" s="27" t="str">
        <f>UPPER(AD$1&amp;":"&amp;D16)</f>
        <v>:</v>
      </c>
      <c r="AE16" s="25" t="str">
        <f>UPPER(AE$1&amp;":"&amp;E16)</f>
        <v>:CS_STATUS</v>
      </c>
      <c r="AF16" s="27" t="str">
        <f>SUBSTITUTE(D16,"_","")</f>
        <v/>
      </c>
      <c r="AG16" s="25" t="str">
        <f>SUBSTITUTE(E16,"_","")&amp;IF(AND(RIGHT(P16)&lt;&gt;"s",RIGHT(Q16)&lt;&gt;"s"),"","")</f>
        <v>csStatus</v>
      </c>
      <c r="AH16" s="25" t="str">
        <f>IF(ISNUMBER(Y16),Y16,"$(P)"&amp;$AE$1&amp;":"&amp;Y16)</f>
        <v>$(P):</v>
      </c>
      <c r="AI16" s="25" t="str">
        <f>IF(ISNUMBER(Z16),Z16,"$(P)"&amp;$AE$1&amp;":"&amp;Z16)</f>
        <v>$(P):</v>
      </c>
      <c r="AJ16" s="25"/>
      <c r="AK16" s="12" t="str">
        <f>IF(AC16="map",IF(G16="float",y_varMapAnalog,IF(G16="int",y_varMapLongint,IF(G16="bool",y_varMapBool,IF(G16="string",y_varMapString,IF(G16="option",y_varMapOption,"#unknown Type"))))),IF(AC16="nmp",y_nonMappedAnalog,""))</f>
        <v/>
      </c>
      <c r="AL16" s="12" t="str">
        <f>VLOOKUP(G16,y_mapProtocolLUT,3)</f>
        <v>@pmac.proto getVar($(VAR)) $(PORT)</v>
      </c>
      <c r="AM16" s="12" t="str">
        <f>VLOOKUP(G16,y_mapProtocolLUT,2)</f>
        <v>@pmac.proto setVar($(VAR)) $(PORT)</v>
      </c>
      <c r="AN16" s="25" t="str">
        <f>IF(LEN(AG16)&gt;0,SUBSTITUTE(SUBSTITUTE(SUBSTITUTE(AK16,"$(DTYP)",y_DTYPE),"$(SETPROTO)",AM16),"$(GETPROTO)",AL16),"")</f>
        <v/>
      </c>
      <c r="AO16" s="25" t="str">
        <f>IFERROR(SUBSTITUTE(SUBSTITUTE(SUBSTITUTE(SUBSTITUTE(SUBSTITUTE(SUBSTITUTE(SUBSTITUTE(SUBSTITUTE(SUBSTITUTE(AN16,"$(Q)",AE16),"$(EGU)",K16),"$(PREC)",N16),"$(VAR)",TRIM(CLEAN(y_dedicatedCS&amp;F16))),"$(GetSB)",AH16),"$(SetSB)",AI16),"$(DESC)",LEFT(I16,40)),"$(ENUMS)",AJ16),"$(DEFAULT)",H16),"")</f>
        <v/>
      </c>
      <c r="AP16" s="25" t="str">
        <f>IF(ISNUMBER(W16),SUBSTITUTE(SUBSTITUTE(SUBSTITUTE(SUBSTITUTE(SUBSTITUTE(SUBSTITUTE(SUBSTITUTE(SUBSTITUTE(y_QLabel &amp; IF(RIGHT(R16)="s",y_QELineEdit,y_QELabel),"~PVNAME",$AE16&amp;IF($AC16="map","","")),"~EGU",$K16),"~PREC",$N16),"~VAR",$F16),"~CANGET",$AH16),"~CANSET",$AI16),"~ROW",W16),"~NAME",$E16),"")</f>
        <v xml:space="preserve">&lt;item row="11" column="0"&gt;
         &lt;widget class="QLabel" name="L_cs_Status"&gt;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&lt;string&gt;cs_Status&lt;/string&gt;
          &lt;/property&gt;
          &lt;property name="margin"&gt;
           &lt;number&gt;3&lt;/number&gt;
          &lt;/property&gt;
         &lt;/widget&gt;
        &lt;/item&gt;
&lt;item row="11" column="1"&gt;
         &lt;widget class="QELabel" name="QL_cs_Status"&gt;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&lt;string&gt;$(P)$(R):CS_STATUS&lt;/string&gt;
          &lt;/property&gt;
         &lt;/widget&gt;
   &lt;/item&gt;
</v>
      </c>
      <c r="AQ16" s="25" t="str">
        <f>IF(ISNUMBER(X16),SUBSTITUTE(SUBSTITUTE(SUBSTITUTE(SUBSTITUTE(SUBSTITUTE(SUBSTITUTE(SUBSTITUTE(SUBSTITUTE(y_QLabel &amp; IF(RIGHT(S16)="s",y_QELineEdit,y_QELabel),"~PVNAME",$AE16&amp;IF($AC16="map",":RBV","")),"~EGU",$K16),"~PREC",$N16),"~VAR",$F16),"~CANGET",$AH16),"~CANSET",$AI16),"~ROW",X16),"~NAME",$E16),"")</f>
        <v/>
      </c>
      <c r="AR16" s="25" t="e">
        <f>VLOOKUP(G16,y_EPICS_Formats,2,FALSE)</f>
        <v>#N/A</v>
      </c>
      <c r="AS16" s="25" t="str">
        <f>IF(AB16="epics",y_Prefix&amp;AE16&amp;" = ","")</f>
        <v xml:space="preserve">SR05ID01FST01:CS_STATUS = </v>
      </c>
      <c r="AT16" s="25" t="str">
        <f>IF(LEN(P16&amp;Q16)&gt;0,IFERROR(";"&amp;I16&amp;"["&amp;K16&amp;"]"&amp;AB16&amp;"("&amp;AC16&amp;")"&amp;CHAR(10)&amp;C16 &amp;CHAR(9)&amp;AG16&amp;CHAR(9)&amp;F16 &amp;CHAR(9),";;Error!"),"")</f>
        <v xml:space="preserve">;Active CS status (CSSTRS)[]epics(base)
#define	csStatus	P2091	</v>
      </c>
      <c r="AU16" s="25" t="str">
        <f>IF(IFERROR(AND(AA16&gt;0,LEN(AN16)&gt;0),FALSE),SUBSTITUTE(SUBSTITUTE(SUBSTITUTE(y_archiverXML,"~PVNAME",AE16),"~PREFIX",y_Prefix),"~PERIOD",MIN(30,AA16)),"")</f>
        <v/>
      </c>
      <c r="AV16" s="11">
        <f>IF($AB16="epics",AV$1-LEN(AE16),"")</f>
        <v>9</v>
      </c>
      <c r="AW16" s="11">
        <f>IF($AB16="epics",AW$1-LEN(AH16),"")</f>
        <v>19</v>
      </c>
      <c r="AX16" s="11">
        <f>IF($AB16="epics",AX$1-LEN(AI16),"")</f>
        <v>19</v>
      </c>
      <c r="AY16" s="11">
        <f>IF($AB16="epics",AY$1-LEN(I16)-LEN(" readback"),"")</f>
        <v>6</v>
      </c>
      <c r="AZ16" s="12">
        <f>IF(LEN(F16)&gt;0,IFERROR(VALUE(RIGHT(F16,LEN(F16)-1)),F16),"zzzzz")</f>
        <v>2091</v>
      </c>
      <c r="BA16" s="12">
        <f>IFERROR(VALUE(RIGHT(F16,LEN(F16)-1)),F16)</f>
        <v>2091</v>
      </c>
      <c r="BB16" s="22" t="str">
        <f>y_Prefix&amp;AE16</f>
        <v>SR05ID01FST01:CS_STATUS</v>
      </c>
    </row>
    <row r="17" spans="1:54" ht="15.75" customHeight="1" x14ac:dyDescent="0.25">
      <c r="A17" s="22">
        <v>14</v>
      </c>
      <c r="B17" s="23" t="str">
        <f>IF(AND(LEN(D17)&gt;3,D17&lt;&gt;E17),"&lt;FIND TYPE=ASC&gt;"&amp;AD17&amp;"&lt;/FIND&gt;&lt;REPLACE TYPE=ASC&gt;"&amp;AE17&amp;"&lt;/REPLACE&gt;"&amp;CHAR(10)&amp;"&lt;FIND TYPE=ASC&gt;"&amp;AF17&amp;"&lt;/FIND&gt;&lt;REPLACE TYPE=ASC&gt;"&amp;AG17&amp;"&lt;/REPLACE&gt;"&amp;CHAR(10)&amp;"&lt;FIND TYPE=ASC&gt;"&amp;D17&amp;"&lt;/FIND&gt;&lt;REPLACE TYPE=ASC&gt;"&amp;E17&amp;"&lt;/REPLACE&gt;",".")</f>
        <v>.</v>
      </c>
      <c r="C17" s="30" t="str">
        <f>IF(AND(ISBLANK(P17),ISBLANK(Q17)),";","#define")</f>
        <v>#define</v>
      </c>
      <c r="D17" s="28"/>
      <c r="E17" s="24" t="s">
        <v>557</v>
      </c>
      <c r="F17" s="10" t="s">
        <v>558</v>
      </c>
      <c r="G17" s="10" t="s">
        <v>77</v>
      </c>
      <c r="H17" s="10"/>
      <c r="I17" s="61" t="s">
        <v>559</v>
      </c>
      <c r="J17" s="10" t="s">
        <v>363</v>
      </c>
      <c r="K17" s="10" t="s">
        <v>560</v>
      </c>
      <c r="L17" s="10">
        <v>-9999999</v>
      </c>
      <c r="M17" s="10">
        <v>9999999</v>
      </c>
      <c r="N17" s="10">
        <v>4</v>
      </c>
      <c r="O17" s="15"/>
      <c r="P17" s="49" t="s">
        <v>35</v>
      </c>
      <c r="Q17" s="49"/>
      <c r="R17" s="49" t="s">
        <v>365</v>
      </c>
      <c r="S17" s="49"/>
      <c r="T17" s="49"/>
      <c r="U17" s="49"/>
      <c r="V17" s="49"/>
      <c r="W17" s="98">
        <v>12</v>
      </c>
      <c r="Y17" s="31" t="s">
        <v>785</v>
      </c>
      <c r="Z17" s="31" t="s">
        <v>785</v>
      </c>
      <c r="AA17" s="31">
        <v>30</v>
      </c>
      <c r="AB17" s="55" t="str">
        <f>IF(LEN(R17&amp;S17&amp;T17&amp;U17&amp;V17)&gt;0,"epics","")</f>
        <v>epics</v>
      </c>
      <c r="AC17" s="52" t="str">
        <f>IF(NOT(ISBLANK(V17)),"base",IF(AB17="epics",IF(AND(ISBLANK(P17),ISBLANK(Q17)),"nmp","map"),""))</f>
        <v>map</v>
      </c>
      <c r="AD17" s="27" t="str">
        <f>UPPER(AD$1&amp;":"&amp;D17)</f>
        <v>:</v>
      </c>
      <c r="AE17" s="25" t="str">
        <f>UPPER(AE$1&amp;":"&amp;E17)</f>
        <v>:D1_CENTRE</v>
      </c>
      <c r="AF17" s="27" t="str">
        <f>SUBSTITUTE(D17,"_","")</f>
        <v/>
      </c>
      <c r="AG17" s="25" t="str">
        <f>SUBSTITUTE(E17,"_","")&amp;IF(AND(RIGHT(P17)&lt;&gt;"s",RIGHT(Q17)&lt;&gt;"s"),"","")</f>
        <v>d1Centre</v>
      </c>
      <c r="AH17" s="25" t="str">
        <f>IF(ISNUMBER(Y17),Y17,"$(P)"&amp;$AE$1&amp;":"&amp;Y17)</f>
        <v>$(P):EN_MONITOR</v>
      </c>
      <c r="AI17" s="25" t="str">
        <f>IF(ISNUMBER(Z17),Z17,"$(P)"&amp;$AE$1&amp;":"&amp;Z17)</f>
        <v>$(P):EN_MONITOR</v>
      </c>
      <c r="AJ17" s="25"/>
      <c r="AK17" s="12" t="str">
        <f>IF(AC17="map",IF(G17="float",y_varMapAnalog,IF(G17="int",y_varMapLongint,IF(G17="bool",y_varMapBool,IF(G17="string",y_varMapString,IF(G17="option",y_varMapOption,"#unknown Type"))))),IF(AC17="nmp",y_nonMappedAnalog,""))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7" s="12" t="str">
        <f>VLOOKUP(G17,y_mapProtocolLUT,3)</f>
        <v>@pmac.proto getVar($(VAR)) $(PORT)</v>
      </c>
      <c r="AM17" s="12" t="str">
        <f>VLOOKUP(G17,y_mapProtocolLUT,2)</f>
        <v>@pmac.proto setVar($(VAR)) $(PORT)</v>
      </c>
      <c r="AN17" s="25" t="str">
        <f>IF(LEN(AG17)&gt;0,SUBSTITUTE(SUBSTITUTE(SUBSTITUTE(AK17,"$(DTYP)",y_DTYPE),"$(SETPROTO)",AM17),"$(GETPROTO)",AL17),"")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7" s="25" t="str">
        <f>IFERROR(SUBSTITUTE(SUBSTITUTE(SUBSTITUTE(SUBSTITUTE(SUBSTITUTE(SUBSTITUTE(SUBSTITUTE(SUBSTITUTE(SUBSTITUTE(AN17,"$(Q)",AE17),"$(EGU)",K17),"$(PREC)",N17),"$(VAR)",TRIM(CLEAN(y_dedicatedCS&amp;F17))),"$(GetSB)",AH17),"$(SetSB)",AI17),"$(DESC)",LEFT(I17,40)),"$(ENUMS)",AJ17),"$(DEFAULT)",H17),"")</f>
        <v>_x000D_
# PVs mapping to P2013 of type Analog_x000D_
record(ao, "$(P):D1_CENTRE") {_x000D_
  field(DESC, "Fly axis scan starting position")_x000D_
  field(OUT, "$(P):D1_CENTRE:SET PP MS")_x000D_
  field(PINI, "NO")_x000D_
  field(EGU, "EGU") field(PREC, "4")_x000D_
  field(SDIS, "$(P):D1_CENTRE:SCD MS")_x000D_
  field(DISV, "999999")  _x000D_
}_x000D_
record(ai, "$(P):D1_CENTRE:RBV") {_x000D_
  field(DESC, "Fly axis scan starting position readback")_x000D_
  field(DTYP, "stream")_x000D_
  field(INP, "@pmac.proto getVar(P2013) $(PORT)")_x000D_
  field(SDIS, "$(P):EN_MONITOR NPP MS")_x000D_
  field(DISV, "0")_x000D_
  field(PINI, "NO")_x000D_
  field(DISS, "INVALID")_x000D_
  field(EGU, "EGU") field(PREC, "4")_x000D_
}_x000D_
#% autosave 0 VAL_x000D_
record(ao, "$(P):D1_CENTRE:SET") {_x000D_
  field(DTYP, "stream")_x000D_
  field(SDIS, "$(P):D1_CENTRE:ROL PP MS")_x000D_
  field(OUT, "@pmac.proto setVar(P2013) $(PORT)")_x000D_
  field(PINI, "YES")_x000D_
  field(FLNK, "$(P):D1_CENTRE:SCD")  _x000D_
  field(DISS, "INVALID")_x000D_
}_x000D_
record(calc, "$(P):D1_CENTRE:ROL") {_x000D_
  field(CALC, "(!B) || A")_x000D_
  field(INPA, "$(P):D1_CENTRE:SYN.PACT")_x000D_
  field(INPB, "$(P):EN_MONITOR NPP")_x000D_
  field(PINI, "NO")_x000D_
}_x000D_
record(calcout, "$(P):D1_CENTRE:SYN") {_x000D_
 field(INPA, "$(P):D1_CENTRE:RBV PP")_x000D_
 field(INPB, "$(P):EN_MONITOR CP MS")_x000D_
 field(INPC, "$(P):EN_MONITOR NPP")_x000D_
 field(INPD, "$(P):D1_CENTRE:SCD CP MS")_x000D_
 field(INPE, "$(P):D1_CENTRE:SET NPP")_x000D_
 field(INPF, "$(P):EN_AUTOSYNC CP")_x000D_
 field(SDIS, "$(P):D1_CENTRE:SET.PACT")_x000D_
 field(DISS, "INVALID")_x000D_
 field(CALC, "((D&gt;0)||(F&gt;0))?A:E")_x000D_
 field(OUT, "$(P):D1_CENTRE PP MS")_x000D_
 field(PINI, "NO")_x000D_
}_x000D_
record(calc, "$(P):D1_CENTRE:SCD") {_x000D_
 field(CALC, "(ABS(B-A)&lt;10^(-C))?1:0")_x000D_
 field(INPA, "$(P):D1_CENTRE:RBV CP MS")_x000D_
 field(INPB, "$(P):D1_CENTRE:SET CP")_x000D_
 field(INPC, "$(P):D1_CENTRE:RBV.PREC")_x000D_
 field(PINI, "YES")_x000D_
 field(VAL,"0")_x000D_
 field(LOLO, "0.5")_x000D_
 field(LLSV, "MINOR") _x000D_
}_x000D_
# -----------------------------_x000D_
#</v>
      </c>
      <c r="AP17" s="25" t="str">
        <f>IF(ISNUMBER(W17),SUBSTITUTE(SUBSTITUTE(SUBSTITUTE(SUBSTITUTE(SUBSTITUTE(SUBSTITUTE(SUBSTITUTE(SUBSTITUTE(y_QLabel &amp; IF(RIGHT(R17)="s",y_QELineEdit,y_QELabel),"~PVNAME",$AE17&amp;IF($AC17="map","","")),"~EGU",$K17),"~PREC",$N17),"~VAR",$F17),"~CANGET",$AH17),"~CANSET",$AI17),"~ROW",W17),"~NAME",$E17),"")</f>
        <v>&lt;item row="12" column="0"&gt;
         &lt;widget class="QLabel" name="L_d1_Centre"&gt;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&lt;string&gt;d1_Centre&lt;/string&gt;
          &lt;/property&gt;
          &lt;property name="margin"&gt;
           &lt;number&gt;3&lt;/number&gt;
          &lt;/property&gt;
         &lt;/widget&gt;
        &lt;/item&gt;
&lt;item row="12" column="2"&gt;
            &lt;widget class="QELineEdit" name="QLD_d1_Centre"&gt;
             &lt;property name="variable" stdset="0"&gt;
              &lt;string&gt;$(P)$(R):D1_CENTRE&lt;/string&gt;
             &lt;/property&gt;
             &lt;property name="addUnits"&gt;
             &lt;bool&gt;true&lt;/bool&gt;
             &lt;/property&gt;
            &lt;/widget&gt;
           &lt;/item&gt;</v>
      </c>
      <c r="AQ17" s="25" t="str">
        <f>IF(ISNUMBER(X17),SUBSTITUTE(SUBSTITUTE(SUBSTITUTE(SUBSTITUTE(SUBSTITUTE(SUBSTITUTE(SUBSTITUTE(SUBSTITUTE(y_QLabel &amp; IF(RIGHT(S17)="s",y_QELineEdit,y_QELabel),"~PVNAME",$AE17&amp;IF($AC17="map",":RBV","")),"~EGU",$K17),"~PREC",$N17),"~VAR",$F17),"~CANGET",$AH17),"~CANSET",$AI17),"~ROW",X17),"~NAME",$E17),"")</f>
        <v/>
      </c>
      <c r="AR17" s="25" t="e">
        <f>VLOOKUP(G17,y_EPICS_Formats,2,FALSE)</f>
        <v>#N/A</v>
      </c>
      <c r="AS17" s="25" t="str">
        <f>IF(AB17="epics",y_Prefix&amp;AE17&amp;" = ","")</f>
        <v xml:space="preserve">SR05ID01FST01:D1_CENTRE = </v>
      </c>
      <c r="AT17" s="25" t="str">
        <f>IF(LEN(P17&amp;Q17)&gt;0,IFERROR(";"&amp;I17&amp;"["&amp;K17&amp;"]"&amp;AB17&amp;"("&amp;AC17&amp;")"&amp;CHAR(10)&amp;C17 &amp;CHAR(9)&amp;AG17&amp;CHAR(9)&amp;F17 &amp;CHAR(9),";;Error!"),"")</f>
        <v xml:space="preserve">;Fly axis scan starting position[EGU]epics(map)
#define	d1Centre	P2013	</v>
      </c>
      <c r="AU17" s="25" t="str">
        <f>IF(IFERROR(AND(AA17&gt;0,LEN(AN17)&gt;0),FALSE),SUBSTITUTE(SUBSTITUTE(SUBSTITUTE(y_archiverXML,"~PVNAME",AE17),"~PREFIX",y_Prefix),"~PERIOD",MIN(30,AA17)),"")</f>
        <v xml:space="preserve">      &lt;channel&gt;
         &lt;name&gt;SR05ID01FST01:D1_CENTRE&lt;/name&gt;
         &lt;period&gt;30&lt;/period&gt;
         &lt;monitor/&gt;
      &lt;/channel&gt;</v>
      </c>
      <c r="AV17" s="11">
        <f>IF($AB17="epics",AV$1-LEN(AE17),"")</f>
        <v>9</v>
      </c>
      <c r="AW17" s="11">
        <f>IF($AB17="epics",AW$1-LEN(AH17),"")</f>
        <v>9</v>
      </c>
      <c r="AX17" s="11">
        <f>IF($AB17="epics",AX$1-LEN(AI17),"")</f>
        <v>9</v>
      </c>
      <c r="AY17" s="11">
        <f>IF($AB17="epics",AY$1-LEN(I17)-LEN(" readback"),"")</f>
        <v>0</v>
      </c>
      <c r="AZ17" s="12">
        <f>IF(LEN(F17)&gt;0,IFERROR(VALUE(RIGHT(F17,LEN(F17)-1)),F17),"zzzzz")</f>
        <v>2013</v>
      </c>
      <c r="BA17" s="12">
        <f>IFERROR(VALUE(RIGHT(F17,LEN(F17)-1)),F17)</f>
        <v>2013</v>
      </c>
      <c r="BB17" s="22" t="str">
        <f>y_Prefix&amp;AE17</f>
        <v>SR05ID01FST01:D1_CENTRE</v>
      </c>
    </row>
    <row r="18" spans="1:54" ht="15.75" customHeight="1" x14ac:dyDescent="0.25">
      <c r="A18" s="22">
        <v>15</v>
      </c>
      <c r="B18" s="23" t="str">
        <f>IF(AND(LEN(D18)&gt;3,D18&lt;&gt;E18),"&lt;FIND TYPE=ASC&gt;"&amp;AD18&amp;"&lt;/FIND&gt;&lt;REPLACE TYPE=ASC&gt;"&amp;AE18&amp;"&lt;/REPLACE&gt;"&amp;CHAR(10)&amp;"&lt;FIND TYPE=ASC&gt;"&amp;AF18&amp;"&lt;/FIND&gt;&lt;REPLACE TYPE=ASC&gt;"&amp;AG18&amp;"&lt;/REPLACE&gt;"&amp;CHAR(10)&amp;"&lt;FIND TYPE=ASC&gt;"&amp;D18&amp;"&lt;/FIND&gt;&lt;REPLACE TYPE=ASC&gt;"&amp;E18&amp;"&lt;/REPLACE&gt;",".")</f>
        <v>.</v>
      </c>
      <c r="C18" s="30" t="str">
        <f>IF(AND(ISBLANK(P18),ISBLANK(Q18)),";","#define")</f>
        <v>#define</v>
      </c>
      <c r="D18" s="29"/>
      <c r="E18" s="22" t="s">
        <v>561</v>
      </c>
      <c r="F18" s="10" t="s">
        <v>562</v>
      </c>
      <c r="G18" s="10" t="s">
        <v>77</v>
      </c>
      <c r="H18" s="10"/>
      <c r="I18" s="61" t="s">
        <v>563</v>
      </c>
      <c r="J18" s="10" t="s">
        <v>35</v>
      </c>
      <c r="K18" s="10" t="s">
        <v>560</v>
      </c>
      <c r="L18" s="10">
        <v>-9999999</v>
      </c>
      <c r="M18" s="10">
        <v>9999999</v>
      </c>
      <c r="N18" s="10">
        <v>4</v>
      </c>
      <c r="O18" s="15"/>
      <c r="P18" s="49" t="s">
        <v>365</v>
      </c>
      <c r="Q18" s="49"/>
      <c r="R18" s="49" t="s">
        <v>35</v>
      </c>
      <c r="S18" s="49"/>
      <c r="T18" s="49"/>
      <c r="U18" s="49"/>
      <c r="V18" s="49"/>
      <c r="W18" s="98">
        <v>13</v>
      </c>
      <c r="Y18" s="31" t="s">
        <v>785</v>
      </c>
      <c r="Z18" s="31" t="s">
        <v>786</v>
      </c>
      <c r="AA18" s="31">
        <v>30</v>
      </c>
      <c r="AB18" s="55" t="str">
        <f>IF(LEN(R18&amp;S18&amp;T18&amp;U18&amp;V18)&gt;0,"epics","")</f>
        <v>epics</v>
      </c>
      <c r="AC18" s="52" t="str">
        <f>IF(NOT(ISBLANK(V18)),"base",IF(AB18="epics",IF(AND(ISBLANK(P18),ISBLANK(Q18)),"nmp","map"),""))</f>
        <v>map</v>
      </c>
      <c r="AD18" s="27" t="str">
        <f>UPPER(AD$1&amp;":"&amp;D18)</f>
        <v>:</v>
      </c>
      <c r="AE18" s="25" t="str">
        <f>UPPER(AE$1&amp;":"&amp;E18)</f>
        <v>:D1_IN</v>
      </c>
      <c r="AF18" s="27" t="str">
        <f>SUBSTITUTE(D18,"_","")</f>
        <v/>
      </c>
      <c r="AG18" s="25" t="str">
        <f>SUBSTITUTE(E18,"_","")&amp;IF(AND(RIGHT(P18)&lt;&gt;"s",RIGHT(Q18)&lt;&gt;"s"),"","")</f>
        <v>d1In</v>
      </c>
      <c r="AH18" s="25" t="str">
        <f>IF(ISNUMBER(Y18),Y18,"$(P)"&amp;$AE$1&amp;":"&amp;Y18)</f>
        <v>$(P):EN_MONITOR</v>
      </c>
      <c r="AI18" s="25" t="str">
        <f>IF(ISNUMBER(Z18),Z18,"$(P)"&amp;$AE$1&amp;":"&amp;Z18)</f>
        <v>$(P):EN_NEVER</v>
      </c>
      <c r="AJ18" s="25"/>
      <c r="AK18" s="12" t="str">
        <f>IF(AC18="map",IF(G18="float",y_varMapAnalog,IF(G18="int",y_varMapLongint,IF(G18="bool",y_varMapBool,IF(G18="string",y_varMapString,IF(G18="option",y_varMapOption,"#unknown Type"))))),IF(AC18="nmp",y_nonMappedAnalog,""))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8" s="12" t="str">
        <f>VLOOKUP(G18,y_mapProtocolLUT,3)</f>
        <v>@pmac.proto getVar($(VAR)) $(PORT)</v>
      </c>
      <c r="AM18" s="12" t="str">
        <f>VLOOKUP(G18,y_mapProtocolLUT,2)</f>
        <v>@pmac.proto setVar($(VAR)) $(PORT)</v>
      </c>
      <c r="AN18" s="25" t="str">
        <f>IF(LEN(AG18)&gt;0,SUBSTITUTE(SUBSTITUTE(SUBSTITUTE(AK18,"$(DTYP)",y_DTYPE),"$(SETPROTO)",AM18),"$(GETPROTO)",AL18),"")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8" s="25" t="str">
        <f>IFERROR(SUBSTITUTE(SUBSTITUTE(SUBSTITUTE(SUBSTITUTE(SUBSTITUTE(SUBSTITUTE(SUBSTITUTE(SUBSTITUTE(SUBSTITUTE(AN18,"$(Q)",AE18),"$(EGU)",K18),"$(PREC)",N18),"$(VAR)",TRIM(CLEAN(y_dedicatedCS&amp;F18))),"$(GetSB)",AH18),"$(SetSB)",AI18),"$(DESC)",LEFT(I18,40)),"$(ENUMS)",AJ18),"$(DEFAULT)",H18),"")</f>
        <v>_x000D_
# PVs mapping to P2052 of type Analog_x000D_
record(ao, "$(P):D1_IN") {_x000D_
  field(DESC, "Fly axis inner-skip distance")_x000D_
  field(OUT, "$(P):D1_IN:SET PP MS")_x000D_
  field(PINI, "NO")_x000D_
  field(EGU, "EGU") field(PREC, "4")_x000D_
  field(SDIS, "$(P):D1_IN:SCD MS")_x000D_
  field(DISV, "999999")  _x000D_
}_x000D_
record(ai, "$(P):D1_IN:RBV") {_x000D_
  field(DESC, "Fly axis inner-skip distance readback")_x000D_
  field(DTYP, "stream")_x000D_
  field(INP, "@pmac.proto getVar(P2052) $(PORT)")_x000D_
  field(SDIS, "$(P):EN_MONITOR NPP MS")_x000D_
  field(DISV, "0")_x000D_
  field(PINI, "NO")_x000D_
  field(DISS, "INVALID")_x000D_
  field(EGU, "EGU") field(PREC, "4")_x000D_
}_x000D_
#% autosave 0 VAL_x000D_
record(ao, "$(P):D1_IN:SET") {_x000D_
  field(DTYP, "stream")_x000D_
  field(SDIS, "$(P):D1_IN:ROL PP MS")_x000D_
  field(OUT, "@pmac.proto setVar(P2052) $(PORT)")_x000D_
  field(PINI, "YES")_x000D_
  field(FLNK, "$(P):D1_IN:SCD")  _x000D_
  field(DISS, "INVALID")_x000D_
}_x000D_
record(calc, "$(P):D1_IN:ROL") {_x000D_
  field(CALC, "(!B) || A")_x000D_
  field(INPA, "$(P):D1_IN:SYN.PACT")_x000D_
  field(INPB, "$(P):EN_NEVER NPP")_x000D_
  field(PINI, "NO")_x000D_
}_x000D_
record(calcout, "$(P):D1_IN:SYN") {_x000D_
 field(INPA, "$(P):D1_IN:RBV PP")_x000D_
 field(INPB, "$(P):EN_MONITOR CP MS")_x000D_
 field(INPC, "$(P):EN_NEVER NPP")_x000D_
 field(INPD, "$(P):D1_IN:SCD CP MS")_x000D_
 field(INPE, "$(P):D1_IN:SET NPP")_x000D_
 field(INPF, "$(P):EN_AUTOSYNC CP")_x000D_
 field(SDIS, "$(P):D1_IN:SET.PACT")_x000D_
 field(DISS, "INVALID")_x000D_
 field(CALC, "((D&gt;0)||(F&gt;0))?A:E")_x000D_
 field(OUT, "$(P):D1_IN PP MS")_x000D_
 field(PINI, "NO")_x000D_
}_x000D_
record(calc, "$(P):D1_IN:SCD") {_x000D_
 field(CALC, "(ABS(B-A)&lt;10^(-C))?1:0")_x000D_
 field(INPA, "$(P):D1_IN:RBV CP MS")_x000D_
 field(INPB, "$(P):D1_IN:SET CP")_x000D_
 field(INPC, "$(P):D1_IN:RBV.PREC")_x000D_
 field(PINI, "YES")_x000D_
 field(VAL,"0")_x000D_
 field(LOLO, "0.5")_x000D_
 field(LLSV, "MINOR") _x000D_
}_x000D_
# -----------------------------_x000D_
#</v>
      </c>
      <c r="AP18" s="25" t="str">
        <f>IF(ISNUMBER(W18),SUBSTITUTE(SUBSTITUTE(SUBSTITUTE(SUBSTITUTE(SUBSTITUTE(SUBSTITUTE(SUBSTITUTE(SUBSTITUTE(y_QLabel &amp; IF(RIGHT(R18)="s",y_QELineEdit,y_QELabel),"~PVNAME",$AE18&amp;IF($AC18="map","","")),"~EGU",$K18),"~PREC",$N18),"~VAR",$F18),"~CANGET",$AH18),"~CANSET",$AI18),"~ROW",W18),"~NAME",$E18),"")</f>
        <v xml:space="preserve">&lt;item row="13" column="0"&gt;
         &lt;widget class="QLabel" name="L_d1_In"&gt;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&lt;string&gt;d1_In&lt;/string&gt;
          &lt;/property&gt;
          &lt;property name="margin"&gt;
           &lt;number&gt;3&lt;/number&gt;
          &lt;/property&gt;
         &lt;/widget&gt;
        &lt;/item&gt;
&lt;item row="13" column="1"&gt;
         &lt;widget class="QELabel" name="QL_d1_In"&gt;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&lt;string&gt;$(P)$(R):D1_IN&lt;/string&gt;
          &lt;/property&gt;
         &lt;/widget&gt;
   &lt;/item&gt;
</v>
      </c>
      <c r="AQ18" s="25" t="str">
        <f>IF(ISNUMBER(X18),SUBSTITUTE(SUBSTITUTE(SUBSTITUTE(SUBSTITUTE(SUBSTITUTE(SUBSTITUTE(SUBSTITUTE(SUBSTITUTE(y_QLabel &amp; IF(RIGHT(S18)="s",y_QELineEdit,y_QELabel),"~PVNAME",$AE18&amp;IF($AC18="map",":RBV","")),"~EGU",$K18),"~PREC",$N18),"~VAR",$F18),"~CANGET",$AH18),"~CANSET",$AI18),"~ROW",X18),"~NAME",$E18),"")</f>
        <v/>
      </c>
      <c r="AR18" s="25" t="e">
        <f>VLOOKUP(G18,y_EPICS_Formats,2,FALSE)</f>
        <v>#N/A</v>
      </c>
      <c r="AS18" s="25" t="str">
        <f>IF(AB18="epics",y_Prefix&amp;AE18&amp;" = ","")</f>
        <v xml:space="preserve">SR05ID01FST01:D1_IN = </v>
      </c>
      <c r="AT18" s="25" t="str">
        <f>IF(LEN(P18&amp;Q18)&gt;0,IFERROR(";"&amp;I18&amp;"["&amp;K18&amp;"]"&amp;AB18&amp;"("&amp;AC18&amp;")"&amp;CHAR(10)&amp;C18 &amp;CHAR(9)&amp;AG18&amp;CHAR(9)&amp;F18 &amp;CHAR(9),";;Error!"),"")</f>
        <v xml:space="preserve">;Fly axis inner-skip distance[EGU]epics(map)
#define	d1In	P2052	</v>
      </c>
      <c r="AU18" s="25" t="str">
        <f>IF(IFERROR(AND(AA18&gt;0,LEN(AN18)&gt;0),FALSE),SUBSTITUTE(SUBSTITUTE(SUBSTITUTE(y_archiverXML,"~PVNAME",AE18),"~PREFIX",y_Prefix),"~PERIOD",MIN(30,AA18)),"")</f>
        <v xml:space="preserve">      &lt;channel&gt;
         &lt;name&gt;SR05ID01FST01:D1_IN&lt;/name&gt;
         &lt;period&gt;30&lt;/period&gt;
         &lt;monitor/&gt;
      &lt;/channel&gt;</v>
      </c>
      <c r="AV18" s="11">
        <f>IF($AB18="epics",AV$1-LEN(AE18),"")</f>
        <v>13</v>
      </c>
      <c r="AW18" s="11">
        <f>IF($AB18="epics",AW$1-LEN(AH18),"")</f>
        <v>9</v>
      </c>
      <c r="AX18" s="11">
        <f>IF($AB18="epics",AX$1-LEN(AI18),"")</f>
        <v>11</v>
      </c>
      <c r="AY18" s="11">
        <f>IF($AB18="epics",AY$1-LEN(I18)-LEN(" readback"),"")</f>
        <v>3</v>
      </c>
      <c r="AZ18" s="12">
        <f>IF(LEN(F18)&gt;0,IFERROR(VALUE(RIGHT(F18,LEN(F18)-1)),F18),"zzzzz")</f>
        <v>2052</v>
      </c>
      <c r="BA18" s="12">
        <f>IFERROR(VALUE(RIGHT(F18,LEN(F18)-1)),F18)</f>
        <v>2052</v>
      </c>
      <c r="BB18" s="22" t="str">
        <f>y_Prefix&amp;AE18</f>
        <v>SR05ID01FST01:D1_IN</v>
      </c>
    </row>
    <row r="19" spans="1:54" ht="15.75" customHeight="1" x14ac:dyDescent="0.25">
      <c r="A19" s="22">
        <v>16</v>
      </c>
      <c r="B19" s="23"/>
      <c r="C19" s="30" t="str">
        <f>IF(AND(ISBLANK(P19),ISBLANK(Q19)),";","#define")</f>
        <v>;</v>
      </c>
      <c r="D19" s="29"/>
      <c r="E19" s="24" t="s">
        <v>564</v>
      </c>
      <c r="F19" s="10" t="s">
        <v>41</v>
      </c>
      <c r="G19" s="10" t="s">
        <v>77</v>
      </c>
      <c r="H19" s="10"/>
      <c r="I19" s="61" t="s">
        <v>565</v>
      </c>
      <c r="J19" s="10" t="s">
        <v>364</v>
      </c>
      <c r="K19" s="10" t="s">
        <v>560</v>
      </c>
      <c r="L19" s="10">
        <v>-9999999</v>
      </c>
      <c r="M19" s="10">
        <v>9999999</v>
      </c>
      <c r="N19" s="10">
        <v>4</v>
      </c>
      <c r="O19" s="15"/>
      <c r="P19" s="49"/>
      <c r="Q19" s="49"/>
      <c r="R19" s="49" t="s">
        <v>365</v>
      </c>
      <c r="S19" s="49"/>
      <c r="T19" s="49" t="s">
        <v>35</v>
      </c>
      <c r="U19" s="49"/>
      <c r="V19" s="49"/>
      <c r="W19" s="98">
        <v>14</v>
      </c>
      <c r="Y19" s="31" t="s">
        <v>784</v>
      </c>
      <c r="Z19" s="31" t="s">
        <v>784</v>
      </c>
      <c r="AA19" s="31">
        <v>30</v>
      </c>
      <c r="AB19" s="55" t="str">
        <f>IF(LEN(R19&amp;S19&amp;T19&amp;U19&amp;V19)&gt;0,"epics","")</f>
        <v>epics</v>
      </c>
      <c r="AC19" s="52" t="str">
        <f>IF(NOT(ISBLANK(V19)),"base",IF(AB19="epics",IF(AND(ISBLANK(P19),ISBLANK(Q19)),"nmp","map"),""))</f>
        <v>nmp</v>
      </c>
      <c r="AD19" s="27" t="str">
        <f>UPPER(AD$1&amp;":"&amp;D19)</f>
        <v>:</v>
      </c>
      <c r="AE19" s="25" t="str">
        <f>UPPER(AE$1&amp;":"&amp;E19)</f>
        <v>:D1_IN_HLM</v>
      </c>
      <c r="AF19" s="27" t="str">
        <f>SUBSTITUTE(D19,"_","")</f>
        <v/>
      </c>
      <c r="AG19" s="25" t="str">
        <f>SUBSTITUTE(E19,"_","")&amp;IF(AND(RIGHT(P19)&lt;&gt;"s",RIGHT(Q19)&lt;&gt;"s"),"","")</f>
        <v>d1InHLM</v>
      </c>
      <c r="AH19" s="25" t="str">
        <f>IF(ISNUMBER(Y19),Y19,"$(P)"&amp;$AE$1&amp;":"&amp;Y19)</f>
        <v>$(P):EN_TRAJSET</v>
      </c>
      <c r="AI19" s="25" t="str">
        <f>IF(ISNUMBER(Z19),Z19,"$(P)"&amp;$AE$1&amp;":"&amp;Z19)</f>
        <v>$(P):EN_TRAJSET</v>
      </c>
      <c r="AJ19" s="25"/>
      <c r="AK19" s="12" t="str">
        <f>IF(AC19="map",IF(G19="float",y_varMapAnalog,IF(G19="int",y_varMapLongint,IF(G19="bool",y_varMapBool,IF(G19="string",y_varMapString,IF(G19="option",y_varMapOption,"#unknown Type"))))),IF(AC19="nmp",y_nonMappedAnalog,""))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19" s="12" t="str">
        <f>VLOOKUP(G19,y_mapProtocolLUT,3)</f>
        <v>@pmac.proto getVar($(VAR)) $(PORT)</v>
      </c>
      <c r="AM19" s="12" t="str">
        <f>VLOOKUP(G19,y_mapProtocolLUT,2)</f>
        <v>@pmac.proto setVar($(VAR)) $(PORT)</v>
      </c>
      <c r="AN19" s="25" t="str">
        <f>IF(LEN(AG19)&gt;0,SUBSTITUTE(SUBSTITUTE(SUBSTITUTE(AK19,"$(DTYP)",y_DTYPE),"$(SETPROTO)",AM19),"$(GETPROTO)",AL19),"")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19" s="25" t="str">
        <f>IFERROR(SUBSTITUTE(SUBSTITUTE(SUBSTITUTE(SUBSTITUTE(SUBSTITUTE(SUBSTITUTE(SUBSTITUTE(SUBSTITUTE(SUBSTITUTE(AN19,"$(Q)",AE19),"$(EGU)",K19),"$(PREC)",N19),"$(VAR)",TRIM(CLEAN(y_dedicatedCS&amp;F19))),"$(GetSB)",AH19),"$(SetSB)",AI19),"$(DESC)",LEFT(I19,40)),"$(ENUMS)",AJ19),"$(DEFAULT)",H19),"")</f>
        <v># non-mapped PV
#% autosave 0 VAL
record(ai, "$(P):D1_IN_HLM") {
  field(DESC, "Fly axis inner-skip high limit")
  field(PINI, "YES")
  field(EGU, "EGU")
  field(PREC, "4")
  field(VAL,"")
  field(SDIS, "$(P):EN_TRAJSET CP MS")
  field(DISV, "0")
  field(DISS, "INVALID")
}
#--------------</v>
      </c>
      <c r="AP19" s="25" t="str">
        <f>IF(ISNUMBER(W19),SUBSTITUTE(SUBSTITUTE(SUBSTITUTE(SUBSTITUTE(SUBSTITUTE(SUBSTITUTE(SUBSTITUTE(SUBSTITUTE(y_QLabel &amp; IF(RIGHT(R19)="s",y_QELineEdit,y_QELabel),"~PVNAME",$AE19&amp;IF($AC19="map","","")),"~EGU",$K19),"~PREC",$N19),"~VAR",$F19),"~CANGET",$AH19),"~CANSET",$AI19),"~ROW",W19),"~NAME",$E19),"")</f>
        <v>&lt;item row="14" column="0"&gt;
         &lt;widget class="QLabel" name="L_d1_In_HLM"&gt;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&lt;string&gt;d1_In_HLM&lt;/string&gt;
          &lt;/property&gt;
          &lt;property name="margin"&gt;
           &lt;number&gt;3&lt;/number&gt;
          &lt;/property&gt;
         &lt;/widget&gt;
        &lt;/item&gt;
&lt;item row="14" column="2"&gt;
            &lt;widget class="QELineEdit" name="QLD_d1_In_HLM"&gt;
             &lt;property name="variable" stdset="0"&gt;
              &lt;string&gt;$(P)$(R):D1_IN_HLM&lt;/string&gt;
             &lt;/property&gt;
             &lt;property name="addUnits"&gt;
             &lt;bool&gt;true&lt;/bool&gt;
             &lt;/property&gt;
            &lt;/widget&gt;
           &lt;/item&gt;</v>
      </c>
      <c r="AQ19" s="25" t="str">
        <f>IF(ISNUMBER(X19),SUBSTITUTE(SUBSTITUTE(SUBSTITUTE(SUBSTITUTE(SUBSTITUTE(SUBSTITUTE(SUBSTITUTE(SUBSTITUTE(y_QLabel &amp; IF(RIGHT(S19)="s",y_QELineEdit,y_QELabel),"~PVNAME",$AE19&amp;IF($AC19="map",":RBV","")),"~EGU",$K19),"~PREC",$N19),"~VAR",$F19),"~CANGET",$AH19),"~CANSET",$AI19),"~ROW",X19),"~NAME",$E19),"")</f>
        <v/>
      </c>
      <c r="AR19" s="25" t="e">
        <f>VLOOKUP(G19,y_EPICS_Formats,2,FALSE)</f>
        <v>#N/A</v>
      </c>
      <c r="AS19" s="25" t="str">
        <f>IF(AB19="epics",y_Prefix&amp;AE19&amp;" = ","")</f>
        <v xml:space="preserve">SR05ID01FST01:D1_IN_HLM = </v>
      </c>
      <c r="AT19" s="25" t="str">
        <f>IF(LEN(P19&amp;Q19)&gt;0,IFERROR(";"&amp;I19&amp;"["&amp;K19&amp;"]"&amp;AB19&amp;"("&amp;AC19&amp;")"&amp;CHAR(10)&amp;C19 &amp;CHAR(9)&amp;AG19&amp;CHAR(9)&amp;F19 &amp;CHAR(9),";;Error!"),"")</f>
        <v/>
      </c>
      <c r="AU19" s="25" t="str">
        <f>IF(IFERROR(AND(AA19&gt;0,LEN(AN19)&gt;0),FALSE),SUBSTITUTE(SUBSTITUTE(SUBSTITUTE(y_archiverXML,"~PVNAME",AE19),"~PREFIX",y_Prefix),"~PERIOD",MIN(30,AA19)),"")</f>
        <v xml:space="preserve">      &lt;channel&gt;
         &lt;name&gt;SR05ID01FST01:D1_IN_HLM&lt;/name&gt;
         &lt;period&gt;30&lt;/period&gt;
         &lt;monitor/&gt;
      &lt;/channel&gt;</v>
      </c>
      <c r="AV19" s="11">
        <f>IF($AB19="epics",AV$1-LEN(AE19),"")</f>
        <v>9</v>
      </c>
      <c r="AW19" s="11">
        <f>IF($AB19="epics",AW$1-LEN(AH19),"")</f>
        <v>9</v>
      </c>
      <c r="AX19" s="11">
        <f>IF($AB19="epics",AX$1-LEN(AI19),"")</f>
        <v>9</v>
      </c>
      <c r="AY19" s="11">
        <f>IF($AB19="epics",AY$1-LEN(I19)-LEN(" readback"),"")</f>
        <v>1</v>
      </c>
      <c r="AZ19" s="12" t="str">
        <f>IF(LEN(F19)&gt;0,IFERROR(VALUE(RIGHT(F19,LEN(F19)-1)),F19),"zzzzz")</f>
        <v>none</v>
      </c>
      <c r="BA19" s="12" t="str">
        <f>IFERROR(VALUE(RIGHT(F19,LEN(F19)-1)),F19)</f>
        <v>none</v>
      </c>
      <c r="BB19" s="22" t="str">
        <f>y_Prefix&amp;AE19</f>
        <v>SR05ID01FST01:D1_IN_HLM</v>
      </c>
    </row>
    <row r="20" spans="1:54" ht="15.75" customHeight="1" x14ac:dyDescent="0.25">
      <c r="A20" s="22">
        <v>17</v>
      </c>
      <c r="B20" s="23"/>
      <c r="C20" s="30" t="str">
        <f>IF(AND(ISBLANK(P20),ISBLANK(Q20)),";","#define")</f>
        <v>#define</v>
      </c>
      <c r="D20" s="28"/>
      <c r="E20" s="22" t="s">
        <v>566</v>
      </c>
      <c r="F20" s="10" t="s">
        <v>567</v>
      </c>
      <c r="G20" s="10" t="s">
        <v>77</v>
      </c>
      <c r="H20" s="10"/>
      <c r="I20" s="61" t="s">
        <v>568</v>
      </c>
      <c r="J20" s="10" t="s">
        <v>35</v>
      </c>
      <c r="K20" s="10" t="s">
        <v>560</v>
      </c>
      <c r="L20" s="10">
        <v>0</v>
      </c>
      <c r="M20" s="10">
        <v>10</v>
      </c>
      <c r="N20" s="10">
        <v>4</v>
      </c>
      <c r="O20" s="15"/>
      <c r="P20" s="49" t="s">
        <v>365</v>
      </c>
      <c r="Q20" s="49"/>
      <c r="R20" s="49"/>
      <c r="S20" s="49" t="s">
        <v>35</v>
      </c>
      <c r="T20" s="49"/>
      <c r="U20" s="49" t="s">
        <v>35</v>
      </c>
      <c r="V20" s="49"/>
      <c r="W20" s="98">
        <v>15</v>
      </c>
      <c r="Y20" s="31" t="s">
        <v>790</v>
      </c>
      <c r="Z20" s="31" t="s">
        <v>786</v>
      </c>
      <c r="AA20" s="31">
        <v>5</v>
      </c>
      <c r="AB20" s="55" t="str">
        <f>IF(LEN(R20&amp;S20&amp;T20&amp;U20&amp;V20)&gt;0,"epics","")</f>
        <v>epics</v>
      </c>
      <c r="AC20" s="52" t="str">
        <f>IF(NOT(ISBLANK(V20)),"base",IF(AB20="epics",IF(AND(ISBLANK(P20),ISBLANK(Q20)),"nmp","map"),""))</f>
        <v>map</v>
      </c>
      <c r="AD20" s="27" t="str">
        <f>UPPER(AD$1&amp;":"&amp;D20)</f>
        <v>:</v>
      </c>
      <c r="AE20" s="25" t="str">
        <f>UPPER(AE$1&amp;":"&amp;E20)</f>
        <v>:D1_IND_HLM</v>
      </c>
      <c r="AF20" s="27" t="str">
        <f>SUBSTITUTE(D20,"_","")</f>
        <v/>
      </c>
      <c r="AG20" s="25" t="str">
        <f>SUBSTITUTE(E20,"_","")&amp;IF(AND(RIGHT(P20)&lt;&gt;"s",RIGHT(Q20)&lt;&gt;"s"),"","")</f>
        <v>d1IndHLM</v>
      </c>
      <c r="AH20" s="25" t="str">
        <f>IF(ISNUMBER(Y20),Y20,"$(P)"&amp;$AE$1&amp;":"&amp;Y20)</f>
        <v>$(P):EN_INPROG</v>
      </c>
      <c r="AI20" s="25" t="str">
        <f>IF(ISNUMBER(Z20),Z20,"$(P)"&amp;$AE$1&amp;":"&amp;Z20)</f>
        <v>$(P):EN_NEVER</v>
      </c>
      <c r="AJ20" s="25"/>
      <c r="AK20" s="12" t="str">
        <f>IF(AC20="map",IF(G20="float",y_varMapAnalog,IF(G20="int",y_varMapLongint,IF(G20="bool",y_varMapBool,IF(G20="string",y_varMapString,IF(G20="option",y_varMapOption,"#unknown Type"))))),IF(AC20="nmp",y_nonMappedAnalog,""))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0" s="12" t="str">
        <f>VLOOKUP(G20,y_mapProtocolLUT,3)</f>
        <v>@pmac.proto getVar($(VAR)) $(PORT)</v>
      </c>
      <c r="AM20" s="12" t="str">
        <f>VLOOKUP(G20,y_mapProtocolLUT,2)</f>
        <v>@pmac.proto setVar($(VAR)) $(PORT)</v>
      </c>
      <c r="AN20" s="25" t="str">
        <f>IF(LEN(AG20)&gt;0,SUBSTITUTE(SUBSTITUTE(SUBSTITUTE(AK20,"$(DTYP)",y_DTYPE),"$(SETPROTO)",AM20),"$(GETPROTO)",AL20),"")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0" s="25" t="str">
        <f>IFERROR(SUBSTITUTE(SUBSTITUTE(SUBSTITUTE(SUBSTITUTE(SUBSTITUTE(SUBSTITUTE(SUBSTITUTE(SUBSTITUTE(SUBSTITUTE(AN20,"$(Q)",AE20),"$(EGU)",K20),"$(PREC)",N20),"$(VAR)",TRIM(CLEAN(y_dedicatedCS&amp;F20))),"$(GetSB)",AH20),"$(SetSB)",AI20),"$(DESC)",LEFT(I20,40)),"$(ENUMS)",AJ20),"$(DEFAULT)",H20),"")</f>
        <v>_x000D_
# PVs mapping to P2050 of type Analog_x000D_
record(ao, "$(P):D1_IND_HLM") {_x000D_
  field(DESC, "Fly axis total indent HLM")_x000D_
  field(OUT, "$(P):D1_IND_HLM:SET PP MS")_x000D_
  field(PINI, "NO")_x000D_
  field(EGU, "EGU") field(PREC, "4")_x000D_
  field(SDIS, "$(P):D1_IND_HLM:SCD MS")_x000D_
  field(DISV, "999999")  _x000D_
}_x000D_
record(ai, "$(P):D1_IND_HLM:RBV") {_x000D_
  field(DESC, "Fly axis total indent HLM readback")_x000D_
  field(DTYP, "stream")_x000D_
  field(INP, "@pmac.proto getVar(P2050) $(PORT)")_x000D_
  field(SDIS, "$(P):EN_INPROG NPP MS")_x000D_
  field(DISV, "0")_x000D_
  field(PINI, "NO")_x000D_
  field(DISS, "INVALID")_x000D_
  field(EGU, "EGU") field(PREC, "4")_x000D_
}_x000D_
#% autosave 0 VAL_x000D_
record(ao, "$(P):D1_IND_HLM:SET") {_x000D_
  field(DTYP, "stream")_x000D_
  field(SDIS, "$(P):D1_IND_HLM:ROL PP MS")_x000D_
  field(OUT, "@pmac.proto setVar(P2050) $(PORT)")_x000D_
  field(PINI, "YES")_x000D_
  field(FLNK, "$(P):D1_IND_HLM:SCD")  _x000D_
  field(DISS, "INVALID")_x000D_
}_x000D_
record(calc, "$(P):D1_IND_HLM:ROL") {_x000D_
  field(CALC, "(!B) || A")_x000D_
  field(INPA, "$(P):D1_IND_HLM:SYN.PACT")_x000D_
  field(INPB, "$(P):EN_NEVER NPP")_x000D_
  field(PINI, "NO")_x000D_
}_x000D_
record(calcout, "$(P):D1_IND_HLM:SYN") {_x000D_
 field(INPA, "$(P):D1_IND_HLM:RBV PP")_x000D_
 field(INPB, "$(P):EN_INPROG CP MS")_x000D_
 field(INPC, "$(P):EN_NEVER NPP")_x000D_
 field(INPD, "$(P):D1_IND_HLM:SCD CP MS")_x000D_
 field(INPE, "$(P):D1_IND_HLM:SET NPP")_x000D_
 field(INPF, "$(P):EN_AUTOSYNC CP")_x000D_
 field(SDIS, "$(P):D1_IND_HLM:SET.PACT")_x000D_
 field(DISS, "INVALID")_x000D_
 field(CALC, "((D&gt;0)||(F&gt;0))?A:E")_x000D_
 field(OUT, "$(P):D1_IND_HLM PP MS")_x000D_
 field(PINI, "NO")_x000D_
}_x000D_
record(calc, "$(P):D1_IND_HLM:SCD") {_x000D_
 field(CALC, "(ABS(B-A)&lt;10^(-C))?1:0")_x000D_
 field(INPA, "$(P):D1_IND_HLM:RBV CP MS")_x000D_
 field(INPB, "$(P):D1_IND_HLM:SET CP")_x000D_
 field(INPC, "$(P):D1_IND_HLM:RBV.PREC")_x000D_
 field(PINI, "YES")_x000D_
 field(VAL,"0")_x000D_
 field(LOLO, "0.5")_x000D_
 field(LLSV, "MINOR") _x000D_
}_x000D_
# -----------------------------_x000D_
#</v>
      </c>
      <c r="AP20" s="25" t="str">
        <f>IF(ISNUMBER(W20),SUBSTITUTE(SUBSTITUTE(SUBSTITUTE(SUBSTITUTE(SUBSTITUTE(SUBSTITUTE(SUBSTITUTE(SUBSTITUTE(y_QLabel &amp; IF(RIGHT(R20)="s",y_QELineEdit,y_QELabel),"~PVNAME",$AE20&amp;IF($AC20="map","","")),"~EGU",$K20),"~PREC",$N20),"~VAR",$F20),"~CANGET",$AH20),"~CANSET",$AI20),"~ROW",W20),"~NAME",$E20),"")</f>
        <v xml:space="preserve">&lt;item row="15" column="0"&gt;
         &lt;widget class="QLabel" name="L_d1_Ind_HLM"&gt;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&lt;string&gt;d1_Ind_HLM&lt;/string&gt;
          &lt;/property&gt;
          &lt;property name="margin"&gt;
           &lt;number&gt;3&lt;/number&gt;
          &lt;/property&gt;
         &lt;/widget&gt;
        &lt;/item&gt;
&lt;item row="15" column="1"&gt;
         &lt;widget class="QELabel" name="QL_d1_Ind_HLM"&gt;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&lt;string&gt;$(P)$(R):D1_IND_HLM&lt;/string&gt;
          &lt;/property&gt;
         &lt;/widget&gt;
   &lt;/item&gt;
</v>
      </c>
      <c r="AQ20" s="25" t="str">
        <f>IF(ISNUMBER(X20),SUBSTITUTE(SUBSTITUTE(SUBSTITUTE(SUBSTITUTE(SUBSTITUTE(SUBSTITUTE(SUBSTITUTE(SUBSTITUTE(y_QLabel &amp; IF(RIGHT(S20)="s",y_QELineEdit,y_QELabel),"~PVNAME",$AE20&amp;IF($AC20="map",":RBV","")),"~EGU",$K20),"~PREC",$N20),"~VAR",$F20),"~CANGET",$AH20),"~CANSET",$AI20),"~ROW",X20),"~NAME",$E20),"")</f>
        <v/>
      </c>
      <c r="AR20" s="25" t="e">
        <f>VLOOKUP(G20,y_EPICS_Formats,2,FALSE)</f>
        <v>#N/A</v>
      </c>
      <c r="AS20" s="25" t="str">
        <f>IF(AB20="epics",y_Prefix&amp;AE20&amp;" = ","")</f>
        <v xml:space="preserve">SR05ID01FST01:D1_IND_HLM = </v>
      </c>
      <c r="AT20" s="25" t="str">
        <f>IF(LEN(P20&amp;Q20)&gt;0,IFERROR(";"&amp;I20&amp;"["&amp;K20&amp;"]"&amp;AB20&amp;"("&amp;AC20&amp;")"&amp;CHAR(10)&amp;C20 &amp;CHAR(9)&amp;AG20&amp;CHAR(9)&amp;F20 &amp;CHAR(9),";;Error!"),"")</f>
        <v xml:space="preserve">;Fly axis total indent HLM[EGU]epics(map)
#define	d1IndHLM	P2050	</v>
      </c>
      <c r="AU20" s="25" t="str">
        <f>IF(IFERROR(AND(AA20&gt;0,LEN(AN20)&gt;0),FALSE),SUBSTITUTE(SUBSTITUTE(SUBSTITUTE(y_archiverXML,"~PVNAME",AE20),"~PREFIX",y_Prefix),"~PERIOD",MIN(30,AA20)),"")</f>
        <v xml:space="preserve">      &lt;channel&gt;
         &lt;name&gt;SR05ID01FST01:D1_IND_HLM&lt;/name&gt;
         &lt;period&gt;5&lt;/period&gt;
         &lt;monitor/&gt;
      &lt;/channel&gt;</v>
      </c>
      <c r="AV20" s="11">
        <f>IF($AB20="epics",AV$1-LEN(AE20),"")</f>
        <v>8</v>
      </c>
      <c r="AW20" s="11">
        <f>IF($AB20="epics",AW$1-LEN(AH20),"")</f>
        <v>10</v>
      </c>
      <c r="AX20" s="11">
        <f>IF($AB20="epics",AX$1-LEN(AI20),"")</f>
        <v>11</v>
      </c>
      <c r="AY20" s="11">
        <f>IF($AB20="epics",AY$1-LEN(I20)-LEN(" readback"),"")</f>
        <v>6</v>
      </c>
      <c r="AZ20" s="12">
        <f>IF(LEN(F20)&gt;0,IFERROR(VALUE(RIGHT(F20,LEN(F20)-1)),F20),"zzzzz")</f>
        <v>2050</v>
      </c>
      <c r="BA20" s="12">
        <f>IFERROR(VALUE(RIGHT(F20,LEN(F20)-1)),F20)</f>
        <v>2050</v>
      </c>
      <c r="BB20" s="22" t="str">
        <f>y_Prefix&amp;AE20</f>
        <v>SR05ID01FST01:D1_IND_HLM</v>
      </c>
    </row>
    <row r="21" spans="1:54" ht="15.75" customHeight="1" x14ac:dyDescent="0.25">
      <c r="A21" s="22">
        <v>18</v>
      </c>
      <c r="B21" s="23"/>
      <c r="C21" s="30" t="str">
        <f>IF(AND(ISBLANK(P21),ISBLANK(Q21)),";","#define")</f>
        <v>#define</v>
      </c>
      <c r="D21" s="28"/>
      <c r="E21" s="22" t="s">
        <v>569</v>
      </c>
      <c r="F21" s="10" t="s">
        <v>570</v>
      </c>
      <c r="G21" s="10" t="s">
        <v>77</v>
      </c>
      <c r="H21" s="10"/>
      <c r="I21" s="61" t="s">
        <v>571</v>
      </c>
      <c r="J21" s="10" t="s">
        <v>35</v>
      </c>
      <c r="K21" s="10" t="s">
        <v>560</v>
      </c>
      <c r="L21" s="10">
        <v>-9999999</v>
      </c>
      <c r="M21" s="10">
        <v>9999999</v>
      </c>
      <c r="N21" s="10">
        <v>4</v>
      </c>
      <c r="O21" s="15"/>
      <c r="P21" s="49" t="s">
        <v>365</v>
      </c>
      <c r="Q21" s="49"/>
      <c r="R21" s="49" t="s">
        <v>35</v>
      </c>
      <c r="S21" s="49"/>
      <c r="T21" s="49"/>
      <c r="U21" s="49"/>
      <c r="V21" s="49"/>
      <c r="W21" s="98">
        <v>16</v>
      </c>
      <c r="Y21" s="31" t="s">
        <v>790</v>
      </c>
      <c r="Z21" s="31" t="s">
        <v>786</v>
      </c>
      <c r="AA21" s="31">
        <v>0.5</v>
      </c>
      <c r="AB21" s="55" t="str">
        <f>IF(LEN(R21&amp;S21&amp;T21&amp;U21&amp;V21)&gt;0,"epics","")</f>
        <v>epics</v>
      </c>
      <c r="AC21" s="52" t="str">
        <f>IF(NOT(ISBLANK(V21)),"base",IF(AB21="epics",IF(AND(ISBLANK(P21),ISBLANK(Q21)),"nmp","map"),""))</f>
        <v>map</v>
      </c>
      <c r="AD21" s="27" t="str">
        <f>UPPER(AD$1&amp;":"&amp;D21)</f>
        <v>:</v>
      </c>
      <c r="AE21" s="25" t="str">
        <f>UPPER(AE$1&amp;":"&amp;E21)</f>
        <v>:D1_INDL</v>
      </c>
      <c r="AF21" s="27" t="str">
        <f>SUBSTITUTE(D21,"_","")</f>
        <v/>
      </c>
      <c r="AG21" s="25" t="str">
        <f>SUBSTITUTE(E21,"_","")&amp;IF(AND(RIGHT(P21)&lt;&gt;"s",RIGHT(Q21)&lt;&gt;"s"),"","")</f>
        <v>d1IndL</v>
      </c>
      <c r="AH21" s="25" t="str">
        <f>IF(ISNUMBER(Y21),Y21,"$(P)"&amp;$AE$1&amp;":"&amp;Y21)</f>
        <v>$(P):EN_INPROG</v>
      </c>
      <c r="AI21" s="25" t="str">
        <f>IF(ISNUMBER(Z21),Z21,"$(P)"&amp;$AE$1&amp;":"&amp;Z21)</f>
        <v>$(P):EN_NEVER</v>
      </c>
      <c r="AJ21" s="25"/>
      <c r="AK21" s="12" t="str">
        <f>IF(AC21="map",IF(G21="float",y_varMapAnalog,IF(G21="int",y_varMapLongint,IF(G21="bool",y_varMapBool,IF(G21="string",y_varMapString,IF(G21="option",y_varMapOption,"#unknown Type"))))),IF(AC21="nmp",y_nonMappedAnalog,""))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1" s="12" t="str">
        <f>VLOOKUP(G21,y_mapProtocolLUT,3)</f>
        <v>@pmac.proto getVar($(VAR)) $(PORT)</v>
      </c>
      <c r="AM21" s="12" t="str">
        <f>VLOOKUP(G21,y_mapProtocolLUT,2)</f>
        <v>@pmac.proto setVar($(VAR)) $(PORT)</v>
      </c>
      <c r="AN21" s="25" t="str">
        <f>IF(LEN(AG21)&gt;0,SUBSTITUTE(SUBSTITUTE(SUBSTITUTE(AK21,"$(DTYP)",y_DTYPE),"$(SETPROTO)",AM21),"$(GETPROTO)",AL21),"")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1" s="25" t="str">
        <f>IFERROR(SUBSTITUTE(SUBSTITUTE(SUBSTITUTE(SUBSTITUTE(SUBSTITUTE(SUBSTITUTE(SUBSTITUTE(SUBSTITUTE(SUBSTITUTE(AN21,"$(Q)",AE21),"$(EGU)",K21),"$(PREC)",N21),"$(VAR)",TRIM(CLEAN(y_dedicatedCS&amp;F21))),"$(GetSB)",AH21),"$(SetSB)",AI21),"$(DESC)",LEFT(I21,40)),"$(ENUMS)",AJ21),"$(DEFAULT)",H21),"")</f>
        <v>_x000D_
# PVs mapping to P2079 of type Analog_x000D_
record(ao, "$(P):D1_INDL") {_x000D_
  field(DESC, "Fly axis indent from Left")_x000D_
  field(OUT, "$(P):D1_INDL:SET PP MS")_x000D_
  field(PINI, "NO")_x000D_
  field(EGU, "EGU") field(PREC, "4")_x000D_
  field(SDIS, "$(P):D1_INDL:SCD MS")_x000D_
  field(DISV, "999999")  _x000D_
}_x000D_
record(ai, "$(P):D1_INDL:RBV") {_x000D_
  field(DESC, "Fly axis indent from Left readback")_x000D_
  field(DTYP, "stream")_x000D_
  field(INP, "@pmac.proto getVar(P2079) $(PORT)")_x000D_
  field(SDIS, "$(P):EN_INPROG NPP MS")_x000D_
  field(DISV, "0")_x000D_
  field(PINI, "NO")_x000D_
  field(DISS, "INVALID")_x000D_
  field(EGU, "EGU") field(PREC, "4")_x000D_
}_x000D_
#% autosave 0 VAL_x000D_
record(ao, "$(P):D1_INDL:SET") {_x000D_
  field(DTYP, "stream")_x000D_
  field(SDIS, "$(P):D1_INDL:ROL PP MS")_x000D_
  field(OUT, "@pmac.proto setVar(P2079) $(PORT)")_x000D_
  field(PINI, "YES")_x000D_
  field(FLNK, "$(P):D1_INDL:SCD")  _x000D_
  field(DISS, "INVALID")_x000D_
}_x000D_
record(calc, "$(P):D1_INDL:ROL") {_x000D_
  field(CALC, "(!B) || A")_x000D_
  field(INPA, "$(P):D1_INDL:SYN.PACT")_x000D_
  field(INPB, "$(P):EN_NEVER NPP")_x000D_
  field(PINI, "NO")_x000D_
}_x000D_
record(calcout, "$(P):D1_INDL:SYN") {_x000D_
 field(INPA, "$(P):D1_INDL:RBV PP")_x000D_
 field(INPB, "$(P):EN_INPROG CP MS")_x000D_
 field(INPC, "$(P):EN_NEVER NPP")_x000D_
 field(INPD, "$(P):D1_INDL:SCD CP MS")_x000D_
 field(INPE, "$(P):D1_INDL:SET NPP")_x000D_
 field(INPF, "$(P):EN_AUTOSYNC CP")_x000D_
 field(SDIS, "$(P):D1_INDL:SET.PACT")_x000D_
 field(DISS, "INVALID")_x000D_
 field(CALC, "((D&gt;0)||(F&gt;0))?A:E")_x000D_
 field(OUT, "$(P):D1_INDL PP MS")_x000D_
 field(PINI, "NO")_x000D_
}_x000D_
record(calc, "$(P):D1_INDL:SCD") {_x000D_
 field(CALC, "(ABS(B-A)&lt;10^(-C))?1:0")_x000D_
 field(INPA, "$(P):D1_INDL:RBV CP MS")_x000D_
 field(INPB, "$(P):D1_INDL:SET CP")_x000D_
 field(INPC, "$(P):D1_INDL:RBV.PREC")_x000D_
 field(PINI, "YES")_x000D_
 field(VAL,"0")_x000D_
 field(LOLO, "0.5")_x000D_
 field(LLSV, "MINOR") _x000D_
}_x000D_
# -----------------------------_x000D_
#</v>
      </c>
      <c r="AP21" s="25" t="str">
        <f>IF(ISNUMBER(W21),SUBSTITUTE(SUBSTITUTE(SUBSTITUTE(SUBSTITUTE(SUBSTITUTE(SUBSTITUTE(SUBSTITUTE(SUBSTITUTE(y_QLabel &amp; IF(RIGHT(R21)="s",y_QELineEdit,y_QELabel),"~PVNAME",$AE21&amp;IF($AC21="map","","")),"~EGU",$K21),"~PREC",$N21),"~VAR",$F21),"~CANGET",$AH21),"~CANSET",$AI21),"~ROW",W21),"~NAME",$E21),"")</f>
        <v xml:space="preserve">&lt;item row="16" column="0"&gt;
         &lt;widget class="QLabel" name="L_d1_IndL"&gt;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&lt;string&gt;d1_IndL&lt;/string&gt;
          &lt;/property&gt;
          &lt;property name="margin"&gt;
           &lt;number&gt;3&lt;/number&gt;
          &lt;/property&gt;
         &lt;/widget&gt;
        &lt;/item&gt;
&lt;item row="16" column="1"&gt;
         &lt;widget class="QELabel" name="QL_d1_IndL"&gt;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&lt;string&gt;$(P)$(R):D1_INDL&lt;/string&gt;
          &lt;/property&gt;
         &lt;/widget&gt;
   &lt;/item&gt;
</v>
      </c>
      <c r="AQ21" s="25" t="str">
        <f>IF(ISNUMBER(X21),SUBSTITUTE(SUBSTITUTE(SUBSTITUTE(SUBSTITUTE(SUBSTITUTE(SUBSTITUTE(SUBSTITUTE(SUBSTITUTE(y_QLabel &amp; IF(RIGHT(S21)="s",y_QELineEdit,y_QELabel),"~PVNAME",$AE21&amp;IF($AC21="map",":RBV","")),"~EGU",$K21),"~PREC",$N21),"~VAR",$F21),"~CANGET",$AH21),"~CANSET",$AI21),"~ROW",X21),"~NAME",$E21),"")</f>
        <v/>
      </c>
      <c r="AR21" s="25" t="e">
        <f>VLOOKUP(G21,y_EPICS_Formats,2,FALSE)</f>
        <v>#N/A</v>
      </c>
      <c r="AS21" s="25" t="str">
        <f>IF(AB21="epics",y_Prefix&amp;AE21&amp;" = ","")</f>
        <v xml:space="preserve">SR05ID01FST01:D1_INDL = </v>
      </c>
      <c r="AT21" s="25" t="str">
        <f>IF(LEN(P21&amp;Q21)&gt;0,IFERROR(";"&amp;I21&amp;"["&amp;K21&amp;"]"&amp;AB21&amp;"("&amp;AC21&amp;")"&amp;CHAR(10)&amp;C21 &amp;CHAR(9)&amp;AG21&amp;CHAR(9)&amp;F21 &amp;CHAR(9),";;Error!"),"")</f>
        <v xml:space="preserve">;Fly axis indent from Left[EGU]epics(map)
#define	d1IndL	P2079	</v>
      </c>
      <c r="AU21" s="25" t="str">
        <f>IF(IFERROR(AND(AA21&gt;0,LEN(AN21)&gt;0),FALSE),SUBSTITUTE(SUBSTITUTE(SUBSTITUTE(y_archiverXML,"~PVNAME",AE21),"~PREFIX",y_Prefix),"~PERIOD",MIN(30,AA21)),"")</f>
        <v xml:space="preserve">      &lt;channel&gt;
         &lt;name&gt;SR05ID01FST01:D1_INDL&lt;/name&gt;
         &lt;period&gt;0.5&lt;/period&gt;
         &lt;monitor/&gt;
      &lt;/channel&gt;</v>
      </c>
      <c r="AV21" s="11">
        <f>IF($AB21="epics",AV$1-LEN(AE21),"")</f>
        <v>11</v>
      </c>
      <c r="AW21" s="11">
        <f>IF($AB21="epics",AW$1-LEN(AH21),"")</f>
        <v>10</v>
      </c>
      <c r="AX21" s="11">
        <f>IF($AB21="epics",AX$1-LEN(AI21),"")</f>
        <v>11</v>
      </c>
      <c r="AY21" s="11">
        <f>IF($AB21="epics",AY$1-LEN(I21)-LEN(" readback"),"")</f>
        <v>6</v>
      </c>
      <c r="AZ21" s="12">
        <f>IF(LEN(F21)&gt;0,IFERROR(VALUE(RIGHT(F21,LEN(F21)-1)),F21),"zzzzz")</f>
        <v>2079</v>
      </c>
      <c r="BA21" s="12">
        <f>IFERROR(VALUE(RIGHT(F21,LEN(F21)-1)),F21)</f>
        <v>2079</v>
      </c>
      <c r="BB21" s="22" t="str">
        <f>y_Prefix&amp;AE21</f>
        <v>SR05ID01FST01:D1_INDL</v>
      </c>
    </row>
    <row r="22" spans="1:54" ht="15.75" customHeight="1" x14ac:dyDescent="0.25">
      <c r="A22" s="22">
        <v>19</v>
      </c>
      <c r="B22" s="23"/>
      <c r="C22" s="30" t="str">
        <f>IF(AND(ISBLANK(P22),ISBLANK(Q22)),";","#define")</f>
        <v>#define</v>
      </c>
      <c r="D22" s="29"/>
      <c r="E22" s="24" t="s">
        <v>572</v>
      </c>
      <c r="F22" s="10" t="s">
        <v>573</v>
      </c>
      <c r="G22" s="10" t="s">
        <v>77</v>
      </c>
      <c r="H22" s="10"/>
      <c r="I22" s="61" t="s">
        <v>574</v>
      </c>
      <c r="J22" s="10" t="s">
        <v>363</v>
      </c>
      <c r="K22" s="10" t="s">
        <v>560</v>
      </c>
      <c r="L22" s="10">
        <v>-9999999</v>
      </c>
      <c r="M22" s="10">
        <v>9999999</v>
      </c>
      <c r="N22" s="10">
        <v>4</v>
      </c>
      <c r="O22" s="15"/>
      <c r="P22" s="49" t="s">
        <v>35</v>
      </c>
      <c r="Q22" s="49"/>
      <c r="R22" s="49" t="s">
        <v>365</v>
      </c>
      <c r="S22" s="49" t="s">
        <v>35</v>
      </c>
      <c r="T22" s="49"/>
      <c r="U22" s="49" t="s">
        <v>35</v>
      </c>
      <c r="V22" s="49"/>
      <c r="W22" s="98">
        <v>17</v>
      </c>
      <c r="Y22" s="31" t="s">
        <v>790</v>
      </c>
      <c r="Z22" s="31" t="s">
        <v>790</v>
      </c>
      <c r="AA22" s="31">
        <v>0.5</v>
      </c>
      <c r="AB22" s="55" t="str">
        <f>IF(LEN(R22&amp;S22&amp;T22&amp;U22&amp;V22)&gt;0,"epics","")</f>
        <v>epics</v>
      </c>
      <c r="AC22" s="52" t="str">
        <f>IF(NOT(ISBLANK(V22)),"base",IF(AB22="epics",IF(AND(ISBLANK(P22),ISBLANK(Q22)),"nmp","map"),""))</f>
        <v>map</v>
      </c>
      <c r="AD22" s="27" t="str">
        <f>UPPER(AD$1&amp;":"&amp;D22)</f>
        <v>:</v>
      </c>
      <c r="AE22" s="25" t="str">
        <f>UPPER(AE$1&amp;":"&amp;E22)</f>
        <v>:D1_INDL_REQ</v>
      </c>
      <c r="AF22" s="27" t="str">
        <f>SUBSTITUTE(D22,"_","")</f>
        <v/>
      </c>
      <c r="AG22" s="25" t="str">
        <f>SUBSTITUTE(E22,"_","")&amp;IF(AND(RIGHT(P22)&lt;&gt;"s",RIGHT(Q22)&lt;&gt;"s"),"","")</f>
        <v>d1IndLReq</v>
      </c>
      <c r="AH22" s="25" t="str">
        <f>IF(ISNUMBER(Y22),Y22,"$(P)"&amp;$AE$1&amp;":"&amp;Y22)</f>
        <v>$(P):EN_INPROG</v>
      </c>
      <c r="AI22" s="25" t="str">
        <f>IF(ISNUMBER(Z22),Z22,"$(P)"&amp;$AE$1&amp;":"&amp;Z22)</f>
        <v>$(P):EN_INPROG</v>
      </c>
      <c r="AJ22" s="25"/>
      <c r="AK22" s="12" t="str">
        <f>IF(AC22="map",IF(G22="float",y_varMapAnalog,IF(G22="int",y_varMapLongint,IF(G22="bool",y_varMapBool,IF(G22="string",y_varMapString,IF(G22="option",y_varMapOption,"#unknown Type"))))),IF(AC22="nmp",y_nonMappedAnalog,""))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2" s="12" t="str">
        <f>VLOOKUP(G22,y_mapProtocolLUT,3)</f>
        <v>@pmac.proto getVar($(VAR)) $(PORT)</v>
      </c>
      <c r="AM22" s="12" t="str">
        <f>VLOOKUP(G22,y_mapProtocolLUT,2)</f>
        <v>@pmac.proto setVar($(VAR)) $(PORT)</v>
      </c>
      <c r="AN22" s="25" t="str">
        <f>IF(LEN(AG22)&gt;0,SUBSTITUTE(SUBSTITUTE(SUBSTITUTE(AK22,"$(DTYP)",y_DTYPE),"$(SETPROTO)",AM22),"$(GETPROTO)",AL22),"")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2" s="25" t="str">
        <f>IFERROR(SUBSTITUTE(SUBSTITUTE(SUBSTITUTE(SUBSTITUTE(SUBSTITUTE(SUBSTITUTE(SUBSTITUTE(SUBSTITUTE(SUBSTITUTE(AN22,"$(Q)",AE22),"$(EGU)",K22),"$(PREC)",N22),"$(VAR)",TRIM(CLEAN(y_dedicatedCS&amp;F22))),"$(GetSB)",AH22),"$(SetSB)",AI22),"$(DESC)",LEFT(I22,40)),"$(ENUMS)",AJ22),"$(DEFAULT)",H22),"")</f>
        <v>_x000D_
# PVs mapping to P2018 of type Analog_x000D_
record(ao, "$(P):D1_INDL_REQ") {_x000D_
  field(DESC, "Fly axis Left indent request")_x000D_
  field(OUT, "$(P):D1_INDL_REQ:SET PP MS")_x000D_
  field(PINI, "NO")_x000D_
  field(EGU, "EGU") field(PREC, "4")_x000D_
  field(SDIS, "$(P):D1_INDL_REQ:SCD MS")_x000D_
  field(DISV, "999999")  _x000D_
}_x000D_
record(ai, "$(P):D1_INDL_REQ:RBV") {_x000D_
  field(DESC, "Fly axis Left indent request readback")_x000D_
  field(DTYP, "stream")_x000D_
  field(INP, "@pmac.proto getVar(P2018) $(PORT)")_x000D_
  field(SDIS, "$(P):EN_INPROG NPP MS")_x000D_
  field(DISV, "0")_x000D_
  field(PINI, "NO")_x000D_
  field(DISS, "INVALID")_x000D_
  field(EGU, "EGU") field(PREC, "4")_x000D_
}_x000D_
#% autosave 0 VAL_x000D_
record(ao, "$(P):D1_INDL_REQ:SET") {_x000D_
  field(DTYP, "stream")_x000D_
  field(SDIS, "$(P):D1_INDL_REQ:ROL PP MS")_x000D_
  field(OUT, "@pmac.proto setVar(P2018) $(PORT)")_x000D_
  field(PINI, "YES")_x000D_
  field(FLNK, "$(P):D1_INDL_REQ:SCD")  _x000D_
  field(DISS, "INVALID")_x000D_
}_x000D_
record(calc, "$(P):D1_INDL_REQ:ROL") {_x000D_
  field(CALC, "(!B) || A")_x000D_
  field(INPA, "$(P):D1_INDL_REQ:SYN.PACT")_x000D_
  field(INPB, "$(P):EN_INPROG NPP")_x000D_
  field(PINI, "NO")_x000D_
}_x000D_
record(calcout, "$(P):D1_INDL_REQ:SYN") {_x000D_
 field(INPA, "$(P):D1_INDL_REQ:RBV PP")_x000D_
 field(INPB, "$(P):EN_INPROG CP MS")_x000D_
 field(INPC, "$(P):EN_INPROG NPP")_x000D_
 field(INPD, "$(P):D1_INDL_REQ:SCD CP MS")_x000D_
 field(INPE, "$(P):D1_INDL_REQ:SET NPP")_x000D_
 field(INPF, "$(P):EN_AUTOSYNC CP")_x000D_
 field(SDIS, "$(P):D1_INDL_REQ:SET.PACT")_x000D_
 field(DISS, "INVALID")_x000D_
 field(CALC, "((D&gt;0)||(F&gt;0))?A:E")_x000D_
 field(OUT, "$(P):D1_INDL_REQ PP MS")_x000D_
 field(PINI, "NO")_x000D_
}_x000D_
record(calc, "$(P):D1_INDL_REQ:SCD") {_x000D_
 field(CALC, "(ABS(B-A)&lt;10^(-C))?1:0")_x000D_
 field(INPA, "$(P):D1_INDL_REQ:RBV CP MS")_x000D_
 field(INPB, "$(P):D1_INDL_REQ:SET CP")_x000D_
 field(INPC, "$(P):D1_INDL_REQ:RBV.PREC")_x000D_
 field(PINI, "YES")_x000D_
 field(VAL,"0")_x000D_
 field(LOLO, "0.5")_x000D_
 field(LLSV, "MINOR") _x000D_
}_x000D_
# -----------------------------_x000D_
#</v>
      </c>
      <c r="AP22" s="25" t="str">
        <f>IF(ISNUMBER(W22),SUBSTITUTE(SUBSTITUTE(SUBSTITUTE(SUBSTITUTE(SUBSTITUTE(SUBSTITUTE(SUBSTITUTE(SUBSTITUTE(y_QLabel &amp; IF(RIGHT(R22)="s",y_QELineEdit,y_QELabel),"~PVNAME",$AE22&amp;IF($AC22="map","","")),"~EGU",$K22),"~PREC",$N22),"~VAR",$F22),"~CANGET",$AH22),"~CANSET",$AI22),"~ROW",W22),"~NAME",$E22),"")</f>
        <v>&lt;item row="17" column="0"&gt;
         &lt;widget class="QLabel" name="L_d1_IndL_Req"&gt;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&lt;string&gt;d1_IndL_Req&lt;/string&gt;
          &lt;/property&gt;
          &lt;property name="margin"&gt;
           &lt;number&gt;3&lt;/number&gt;
          &lt;/property&gt;
         &lt;/widget&gt;
        &lt;/item&gt;
&lt;item row="17" column="2"&gt;
            &lt;widget class="QELineEdit" name="QLD_d1_IndL_Req"&gt;
             &lt;property name="variable" stdset="0"&gt;
              &lt;string&gt;$(P)$(R):D1_INDL_REQ&lt;/string&gt;
             &lt;/property&gt;
             &lt;property name="addUnits"&gt;
             &lt;bool&gt;true&lt;/bool&gt;
             &lt;/property&gt;
            &lt;/widget&gt;
           &lt;/item&gt;</v>
      </c>
      <c r="AQ22" s="25" t="str">
        <f>IF(ISNUMBER(X22),SUBSTITUTE(SUBSTITUTE(SUBSTITUTE(SUBSTITUTE(SUBSTITUTE(SUBSTITUTE(SUBSTITUTE(SUBSTITUTE(y_QLabel &amp; IF(RIGHT(S22)="s",y_QELineEdit,y_QELabel),"~PVNAME",$AE22&amp;IF($AC22="map",":RBV","")),"~EGU",$K22),"~PREC",$N22),"~VAR",$F22),"~CANGET",$AH22),"~CANSET",$AI22),"~ROW",X22),"~NAME",$E22),"")</f>
        <v/>
      </c>
      <c r="AR22" s="25" t="e">
        <f>VLOOKUP(G22,y_EPICS_Formats,2,FALSE)</f>
        <v>#N/A</v>
      </c>
      <c r="AS22" s="25" t="str">
        <f>IF(AB22="epics",y_Prefix&amp;AE22&amp;" = ","")</f>
        <v xml:space="preserve">SR05ID01FST01:D1_INDL_REQ = </v>
      </c>
      <c r="AT22" s="25" t="str">
        <f>IF(LEN(P22&amp;Q22)&gt;0,IFERROR(";"&amp;I22&amp;"["&amp;K22&amp;"]"&amp;AB22&amp;"("&amp;AC22&amp;")"&amp;CHAR(10)&amp;C22 &amp;CHAR(9)&amp;AG22&amp;CHAR(9)&amp;F22 &amp;CHAR(9),";;Error!"),"")</f>
        <v xml:space="preserve">;Fly axis Left indent request[EGU]epics(map)
#define	d1IndLReq	P2018	</v>
      </c>
      <c r="AU22" s="25" t="str">
        <f>IF(IFERROR(AND(AA22&gt;0,LEN(AN22)&gt;0),FALSE),SUBSTITUTE(SUBSTITUTE(SUBSTITUTE(y_archiverXML,"~PVNAME",AE22),"~PREFIX",y_Prefix),"~PERIOD",MIN(30,AA22)),"")</f>
        <v xml:space="preserve">      &lt;channel&gt;
         &lt;name&gt;SR05ID01FST01:D1_INDL_REQ&lt;/name&gt;
         &lt;period&gt;0.5&lt;/period&gt;
         &lt;monitor/&gt;
      &lt;/channel&gt;</v>
      </c>
      <c r="AV22" s="11">
        <f>IF($AB22="epics",AV$1-LEN(AE22),"")</f>
        <v>7</v>
      </c>
      <c r="AW22" s="11">
        <f>IF($AB22="epics",AW$1-LEN(AH22),"")</f>
        <v>10</v>
      </c>
      <c r="AX22" s="11">
        <f>IF($AB22="epics",AX$1-LEN(AI22),"")</f>
        <v>10</v>
      </c>
      <c r="AY22" s="11">
        <f>IF($AB22="epics",AY$1-LEN(I22)-LEN(" readback"),"")</f>
        <v>3</v>
      </c>
      <c r="AZ22" s="12">
        <f>IF(LEN(F22)&gt;0,IFERROR(VALUE(RIGHT(F22,LEN(F22)-1)),F22),"zzzzz")</f>
        <v>2018</v>
      </c>
      <c r="BA22" s="12">
        <f>IFERROR(VALUE(RIGHT(F22,LEN(F22)-1)),F22)</f>
        <v>2018</v>
      </c>
      <c r="BB22" s="22" t="str">
        <f>y_Prefix&amp;AE22</f>
        <v>SR05ID01FST01:D1_INDL_REQ</v>
      </c>
    </row>
    <row r="23" spans="1:54" s="22" customFormat="1" ht="14.25" customHeight="1" x14ac:dyDescent="0.25">
      <c r="A23" s="22">
        <v>20</v>
      </c>
      <c r="B23" s="23"/>
      <c r="C23" s="30" t="str">
        <f>IF(AND(ISBLANK(P23),ISBLANK(Q23)),";","#define")</f>
        <v>#define</v>
      </c>
      <c r="D23" s="29"/>
      <c r="E23" s="24" t="s">
        <v>575</v>
      </c>
      <c r="F23" s="10" t="s">
        <v>576</v>
      </c>
      <c r="G23" s="10" t="s">
        <v>77</v>
      </c>
      <c r="H23" s="10"/>
      <c r="I23" s="61" t="s">
        <v>577</v>
      </c>
      <c r="J23" s="10" t="s">
        <v>35</v>
      </c>
      <c r="K23" s="10" t="s">
        <v>560</v>
      </c>
      <c r="L23" s="10">
        <v>-9999999</v>
      </c>
      <c r="M23" s="10">
        <v>9999999</v>
      </c>
      <c r="N23" s="10">
        <v>4</v>
      </c>
      <c r="O23" s="15"/>
      <c r="P23" s="49" t="s">
        <v>365</v>
      </c>
      <c r="Q23" s="49"/>
      <c r="R23" s="49" t="s">
        <v>35</v>
      </c>
      <c r="S23" s="49"/>
      <c r="T23" s="49"/>
      <c r="U23" s="49"/>
      <c r="V23" s="49"/>
      <c r="W23" s="98">
        <v>18</v>
      </c>
      <c r="X23" s="98"/>
      <c r="Y23" s="31" t="s">
        <v>790</v>
      </c>
      <c r="Z23" s="31" t="s">
        <v>786</v>
      </c>
      <c r="AA23" s="31">
        <v>0.5</v>
      </c>
      <c r="AB23" s="55" t="str">
        <f>IF(LEN(R23&amp;S23&amp;T23&amp;U23&amp;V23)&gt;0,"epics","")</f>
        <v>epics</v>
      </c>
      <c r="AC23" s="52" t="str">
        <f>IF(NOT(ISBLANK(V23)),"base",IF(AB23="epics",IF(AND(ISBLANK(P23),ISBLANK(Q23)),"nmp","map"),""))</f>
        <v>map</v>
      </c>
      <c r="AD23" s="27" t="str">
        <f>UPPER(AD$1&amp;":"&amp;D23)</f>
        <v>:</v>
      </c>
      <c r="AE23" s="25" t="str">
        <f>UPPER(AE$1&amp;":"&amp;E23)</f>
        <v>:D1_INDR</v>
      </c>
      <c r="AF23" s="27" t="str">
        <f>SUBSTITUTE(D23,"_","")</f>
        <v/>
      </c>
      <c r="AG23" s="25" t="str">
        <f>SUBSTITUTE(E23,"_","")&amp;IF(AND(RIGHT(P23)&lt;&gt;"s",RIGHT(Q23)&lt;&gt;"s"),"","")</f>
        <v>d1IndR</v>
      </c>
      <c r="AH23" s="25" t="str">
        <f>IF(ISNUMBER(Y23),Y23,"$(P)"&amp;$AE$1&amp;":"&amp;Y23)</f>
        <v>$(P):EN_INPROG</v>
      </c>
      <c r="AI23" s="25" t="str">
        <f>IF(ISNUMBER(Z23),Z23,"$(P)"&amp;$AE$1&amp;":"&amp;Z23)</f>
        <v>$(P):EN_NEVER</v>
      </c>
      <c r="AJ23" s="25"/>
      <c r="AK23" s="12" t="str">
        <f>IF(AC23="map",IF(G23="float",y_varMapAnalog,IF(G23="int",y_varMapLongint,IF(G23="bool",y_varMapBool,IF(G23="string",y_varMapString,IF(G23="option",y_varMapOption,"#unknown Type"))))),IF(AC23="nmp",y_nonMappedAnalog,""))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3" s="12" t="str">
        <f>VLOOKUP(G23,y_mapProtocolLUT,3)</f>
        <v>@pmac.proto getVar($(VAR)) $(PORT)</v>
      </c>
      <c r="AM23" s="12" t="str">
        <f>VLOOKUP(G23,y_mapProtocolLUT,2)</f>
        <v>@pmac.proto setVar($(VAR)) $(PORT)</v>
      </c>
      <c r="AN23" s="25" t="str">
        <f>IF(LEN(AG23)&gt;0,SUBSTITUTE(SUBSTITUTE(SUBSTITUTE(AK23,"$(DTYP)",y_DTYPE),"$(SETPROTO)",AM23),"$(GETPROTO)",AL23),"")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3" s="25" t="str">
        <f>IFERROR(SUBSTITUTE(SUBSTITUTE(SUBSTITUTE(SUBSTITUTE(SUBSTITUTE(SUBSTITUTE(SUBSTITUTE(SUBSTITUTE(SUBSTITUTE(AN23,"$(Q)",AE23),"$(EGU)",K23),"$(PREC)",N23),"$(VAR)",TRIM(CLEAN(y_dedicatedCS&amp;F23))),"$(GetSB)",AH23),"$(SetSB)",AI23),"$(DESC)",LEFT(I23,40)),"$(ENUMS)",AJ23),"$(DEFAULT)",H23),"")</f>
        <v>_x000D_
# PVs mapping to P2080 of type Analog_x000D_
record(ao, "$(P):D1_INDR") {_x000D_
  field(DESC, "Fly axis indent from Right")_x000D_
  field(OUT, "$(P):D1_INDR:SET PP MS")_x000D_
  field(PINI, "NO")_x000D_
  field(EGU, "EGU") field(PREC, "4")_x000D_
  field(SDIS, "$(P):D1_INDR:SCD MS")_x000D_
  field(DISV, "999999")  _x000D_
}_x000D_
record(ai, "$(P):D1_INDR:RBV") {_x000D_
  field(DESC, "Fly axis indent from Right readback")_x000D_
  field(DTYP, "stream")_x000D_
  field(INP, "@pmac.proto getVar(P2080) $(PORT)")_x000D_
  field(SDIS, "$(P):EN_INPROG NPP MS")_x000D_
  field(DISV, "0")_x000D_
  field(PINI, "NO")_x000D_
  field(DISS, "INVALID")_x000D_
  field(EGU, "EGU") field(PREC, "4")_x000D_
}_x000D_
#% autosave 0 VAL_x000D_
record(ao, "$(P):D1_INDR:SET") {_x000D_
  field(DTYP, "stream")_x000D_
  field(SDIS, "$(P):D1_INDR:ROL PP MS")_x000D_
  field(OUT, "@pmac.proto setVar(P2080) $(PORT)")_x000D_
  field(PINI, "YES")_x000D_
  field(FLNK, "$(P):D1_INDR:SCD")  _x000D_
  field(DISS, "INVALID")_x000D_
}_x000D_
record(calc, "$(P):D1_INDR:ROL") {_x000D_
  field(CALC, "(!B) || A")_x000D_
  field(INPA, "$(P):D1_INDR:SYN.PACT")_x000D_
  field(INPB, "$(P):EN_NEVER NPP")_x000D_
  field(PINI, "NO")_x000D_
}_x000D_
record(calcout, "$(P):D1_INDR:SYN") {_x000D_
 field(INPA, "$(P):D1_INDR:RBV PP")_x000D_
 field(INPB, "$(P):EN_INPROG CP MS")_x000D_
 field(INPC, "$(P):EN_NEVER NPP")_x000D_
 field(INPD, "$(P):D1_INDR:SCD CP MS")_x000D_
 field(INPE, "$(P):D1_INDR:SET NPP")_x000D_
 field(INPF, "$(P):EN_AUTOSYNC CP")_x000D_
 field(SDIS, "$(P):D1_INDR:SET.PACT")_x000D_
 field(DISS, "INVALID")_x000D_
 field(CALC, "((D&gt;0)||(F&gt;0))?A:E")_x000D_
 field(OUT, "$(P):D1_INDR PP MS")_x000D_
 field(PINI, "NO")_x000D_
}_x000D_
record(calc, "$(P):D1_INDR:SCD") {_x000D_
 field(CALC, "(ABS(B-A)&lt;10^(-C))?1:0")_x000D_
 field(INPA, "$(P):D1_INDR:RBV CP MS")_x000D_
 field(INPB, "$(P):D1_INDR:SET CP")_x000D_
 field(INPC, "$(P):D1_INDR:RBV.PREC")_x000D_
 field(PINI, "YES")_x000D_
 field(VAL,"0")_x000D_
 field(LOLO, "0.5")_x000D_
 field(LLSV, "MINOR") _x000D_
}_x000D_
# -----------------------------_x000D_
#</v>
      </c>
      <c r="AP23" s="25" t="str">
        <f>IF(ISNUMBER(W23),SUBSTITUTE(SUBSTITUTE(SUBSTITUTE(SUBSTITUTE(SUBSTITUTE(SUBSTITUTE(SUBSTITUTE(SUBSTITUTE(y_QLabel &amp; IF(RIGHT(R23)="s",y_QELineEdit,y_QELabel),"~PVNAME",$AE23&amp;IF($AC23="map","","")),"~EGU",$K23),"~PREC",$N23),"~VAR",$F23),"~CANGET",$AH23),"~CANSET",$AI23),"~ROW",W23),"~NAME",$E23),"")</f>
        <v xml:space="preserve">&lt;item row="18" column="0"&gt;
         &lt;widget class="QLabel" name="L_d1_IndR"&gt;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&lt;string&gt;d1_IndR&lt;/string&gt;
          &lt;/property&gt;
          &lt;property name="margin"&gt;
           &lt;number&gt;3&lt;/number&gt;
          &lt;/property&gt;
         &lt;/widget&gt;
        &lt;/item&gt;
&lt;item row="18" column="1"&gt;
         &lt;widget class="QELabel" name="QL_d1_IndR"&gt;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&lt;string&gt;$(P)$(R):D1_INDR&lt;/string&gt;
          &lt;/property&gt;
         &lt;/widget&gt;
   &lt;/item&gt;
</v>
      </c>
      <c r="AQ23" s="25" t="str">
        <f>IF(ISNUMBER(X23),SUBSTITUTE(SUBSTITUTE(SUBSTITUTE(SUBSTITUTE(SUBSTITUTE(SUBSTITUTE(SUBSTITUTE(SUBSTITUTE(y_QLabel &amp; IF(RIGHT(S23)="s",y_QELineEdit,y_QELabel),"~PVNAME",$AE23&amp;IF($AC23="map",":RBV","")),"~EGU",$K23),"~PREC",$N23),"~VAR",$F23),"~CANGET",$AH23),"~CANSET",$AI23),"~ROW",X23),"~NAME",$E23),"")</f>
        <v/>
      </c>
      <c r="AR23" s="25" t="e">
        <f>VLOOKUP(G23,y_EPICS_Formats,2,FALSE)</f>
        <v>#N/A</v>
      </c>
      <c r="AS23" s="25" t="str">
        <f>IF(AB23="epics",y_Prefix&amp;AE23&amp;" = ","")</f>
        <v xml:space="preserve">SR05ID01FST01:D1_INDR = </v>
      </c>
      <c r="AT23" s="25" t="str">
        <f>IF(LEN(P23&amp;Q23)&gt;0,IFERROR(";"&amp;I23&amp;"["&amp;K23&amp;"]"&amp;AB23&amp;"("&amp;AC23&amp;")"&amp;CHAR(10)&amp;C23 &amp;CHAR(9)&amp;AG23&amp;CHAR(9)&amp;F23 &amp;CHAR(9),";;Error!"),"")</f>
        <v xml:space="preserve">;Fly axis indent from Right[EGU]epics(map)
#define	d1IndR	P2080	</v>
      </c>
      <c r="AU23" s="25" t="str">
        <f>IF(IFERROR(AND(AA23&gt;0,LEN(AN23)&gt;0),FALSE),SUBSTITUTE(SUBSTITUTE(SUBSTITUTE(y_archiverXML,"~PVNAME",AE23),"~PREFIX",y_Prefix),"~PERIOD",MIN(30,AA23)),"")</f>
        <v xml:space="preserve">      &lt;channel&gt;
         &lt;name&gt;SR05ID01FST01:D1_INDR&lt;/name&gt;
         &lt;period&gt;0.5&lt;/period&gt;
         &lt;monitor/&gt;
      &lt;/channel&gt;</v>
      </c>
      <c r="AV23" s="11">
        <f>IF($AB23="epics",AV$1-LEN(AE23),"")</f>
        <v>11</v>
      </c>
      <c r="AW23" s="11">
        <f>IF($AB23="epics",AW$1-LEN(AH23),"")</f>
        <v>10</v>
      </c>
      <c r="AX23" s="11">
        <f>IF($AB23="epics",AX$1-LEN(AI23),"")</f>
        <v>11</v>
      </c>
      <c r="AY23" s="11">
        <f>IF($AB23="epics",AY$1-LEN(I23)-LEN(" readback"),"")</f>
        <v>5</v>
      </c>
      <c r="AZ23" s="12">
        <f>IF(LEN(F23)&gt;0,IFERROR(VALUE(RIGHT(F23,LEN(F23)-1)),F23),"zzzzz")</f>
        <v>2080</v>
      </c>
      <c r="BA23" s="12">
        <f>IFERROR(VALUE(RIGHT(F23,LEN(F23)-1)),F23)</f>
        <v>2080</v>
      </c>
      <c r="BB23" s="22" t="str">
        <f>y_Prefix&amp;AE23</f>
        <v>SR05ID01FST01:D1_INDR</v>
      </c>
    </row>
    <row r="24" spans="1:54" s="22" customFormat="1" ht="18.75" customHeight="1" x14ac:dyDescent="0.25">
      <c r="A24" s="22">
        <v>21</v>
      </c>
      <c r="B24" s="23"/>
      <c r="C24" s="30" t="str">
        <f>IF(AND(ISBLANK(P24),ISBLANK(Q24)),";","#define")</f>
        <v>#define</v>
      </c>
      <c r="D24" s="9"/>
      <c r="E24" s="24" t="s">
        <v>578</v>
      </c>
      <c r="F24" s="10" t="s">
        <v>579</v>
      </c>
      <c r="G24" s="10" t="s">
        <v>77</v>
      </c>
      <c r="H24" s="10"/>
      <c r="I24" s="61" t="s">
        <v>580</v>
      </c>
      <c r="J24" s="10" t="s">
        <v>363</v>
      </c>
      <c r="K24" s="10" t="s">
        <v>560</v>
      </c>
      <c r="L24" s="10">
        <v>-9999999</v>
      </c>
      <c r="M24" s="10">
        <v>9999999</v>
      </c>
      <c r="N24" s="10">
        <v>4</v>
      </c>
      <c r="O24" s="15"/>
      <c r="P24" s="49" t="s">
        <v>35</v>
      </c>
      <c r="Q24" s="49"/>
      <c r="R24" s="49" t="s">
        <v>365</v>
      </c>
      <c r="S24" s="49" t="s">
        <v>35</v>
      </c>
      <c r="T24" s="49"/>
      <c r="U24" s="49" t="s">
        <v>365</v>
      </c>
      <c r="V24" s="49"/>
      <c r="W24" s="98">
        <v>19</v>
      </c>
      <c r="X24" s="98"/>
      <c r="Y24" s="31" t="s">
        <v>790</v>
      </c>
      <c r="Z24" s="31" t="s">
        <v>790</v>
      </c>
      <c r="AA24" s="31">
        <v>0.5</v>
      </c>
      <c r="AB24" s="55" t="str">
        <f>IF(LEN(R24&amp;S24&amp;T24&amp;U24&amp;V24)&gt;0,"epics","")</f>
        <v>epics</v>
      </c>
      <c r="AC24" s="52" t="str">
        <f>IF(NOT(ISBLANK(V24)),"base",IF(AB24="epics",IF(AND(ISBLANK(P24),ISBLANK(Q24)),"nmp","map"),""))</f>
        <v>map</v>
      </c>
      <c r="AD24" s="27" t="str">
        <f>UPPER(AD$1&amp;":"&amp;D24)</f>
        <v>:</v>
      </c>
      <c r="AE24" s="25" t="str">
        <f>UPPER(AE$1&amp;":"&amp;E24)</f>
        <v>:D1_INDR_REQ</v>
      </c>
      <c r="AF24" s="27" t="str">
        <f>SUBSTITUTE(D24,"_","")</f>
        <v/>
      </c>
      <c r="AG24" s="25" t="str">
        <f>SUBSTITUTE(E24,"_","")&amp;IF(AND(RIGHT(P24)&lt;&gt;"s",RIGHT(Q24)&lt;&gt;"s"),"","")</f>
        <v>d1IndRReq</v>
      </c>
      <c r="AH24" s="25" t="str">
        <f>IF(ISNUMBER(Y24),Y24,"$(P)"&amp;$AE$1&amp;":"&amp;Y24)</f>
        <v>$(P):EN_INPROG</v>
      </c>
      <c r="AI24" s="25" t="str">
        <f>IF(ISNUMBER(Z24),Z24,"$(P)"&amp;$AE$1&amp;":"&amp;Z24)</f>
        <v>$(P):EN_INPROG</v>
      </c>
      <c r="AJ24" s="25"/>
      <c r="AK24" s="12" t="str">
        <f>IF(AC24="map",IF(G24="float",y_varMapAnalog,IF(G24="int",y_varMapLongint,IF(G24="bool",y_varMapBool,IF(G24="string",y_varMapString,IF(G24="option",y_varMapOption,"#unknown Type"))))),IF(AC24="nmp",y_nonMappedAnalog,""))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4" s="12" t="str">
        <f>VLOOKUP(G24,y_mapProtocolLUT,3)</f>
        <v>@pmac.proto getVar($(VAR)) $(PORT)</v>
      </c>
      <c r="AM24" s="12" t="str">
        <f>VLOOKUP(G24,y_mapProtocolLUT,2)</f>
        <v>@pmac.proto setVar($(VAR)) $(PORT)</v>
      </c>
      <c r="AN24" s="25" t="str">
        <f>IF(LEN(AG24)&gt;0,SUBSTITUTE(SUBSTITUTE(SUBSTITUTE(AK24,"$(DTYP)",y_DTYPE),"$(SETPROTO)",AM24),"$(GETPROTO)",AL24),"")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4" s="25" t="str">
        <f>IFERROR(SUBSTITUTE(SUBSTITUTE(SUBSTITUTE(SUBSTITUTE(SUBSTITUTE(SUBSTITUTE(SUBSTITUTE(SUBSTITUTE(SUBSTITUTE(AN24,"$(Q)",AE24),"$(EGU)",K24),"$(PREC)",N24),"$(VAR)",TRIM(CLEAN(y_dedicatedCS&amp;F24))),"$(GetSB)",AH24),"$(SetSB)",AI24),"$(DESC)",LEFT(I24,40)),"$(ENUMS)",AJ24),"$(DEFAULT)",H24),"")</f>
        <v>_x000D_
# PVs mapping to P2019 of type Analog_x000D_
record(ao, "$(P):D1_INDR_REQ") {_x000D_
  field(DESC, "Fly axis Right indent request")_x000D_
  field(OUT, "$(P):D1_INDR_REQ:SET PP MS")_x000D_
  field(PINI, "NO")_x000D_
  field(EGU, "EGU") field(PREC, "4")_x000D_
  field(SDIS, "$(P):D1_INDR_REQ:SCD MS")_x000D_
  field(DISV, "999999")  _x000D_
}_x000D_
record(ai, "$(P):D1_INDR_REQ:RBV") {_x000D_
  field(DESC, "Fly axis Right indent request readback")_x000D_
  field(DTYP, "stream")_x000D_
  field(INP, "@pmac.proto getVar(P2019) $(PORT)")_x000D_
  field(SDIS, "$(P):EN_INPROG NPP MS")_x000D_
  field(DISV, "0")_x000D_
  field(PINI, "NO")_x000D_
  field(DISS, "INVALID")_x000D_
  field(EGU, "EGU") field(PREC, "4")_x000D_
}_x000D_
#% autosave 0 VAL_x000D_
record(ao, "$(P):D1_INDR_REQ:SET") {_x000D_
  field(DTYP, "stream")_x000D_
  field(SDIS, "$(P):D1_INDR_REQ:ROL PP MS")_x000D_
  field(OUT, "@pmac.proto setVar(P2019) $(PORT)")_x000D_
  field(PINI, "YES")_x000D_
  field(FLNK, "$(P):D1_INDR_REQ:SCD")  _x000D_
  field(DISS, "INVALID")_x000D_
}_x000D_
record(calc, "$(P):D1_INDR_REQ:ROL") {_x000D_
  field(CALC, "(!B) || A")_x000D_
  field(INPA, "$(P):D1_INDR_REQ:SYN.PACT")_x000D_
  field(INPB, "$(P):EN_INPROG NPP")_x000D_
  field(PINI, "NO")_x000D_
}_x000D_
record(calcout, "$(P):D1_INDR_REQ:SYN") {_x000D_
 field(INPA, "$(P):D1_INDR_REQ:RBV PP")_x000D_
 field(INPB, "$(P):EN_INPROG CP MS")_x000D_
 field(INPC, "$(P):EN_INPROG NPP")_x000D_
 field(INPD, "$(P):D1_INDR_REQ:SCD CP MS")_x000D_
 field(INPE, "$(P):D1_INDR_REQ:SET NPP")_x000D_
 field(INPF, "$(P):EN_AUTOSYNC CP")_x000D_
 field(SDIS, "$(P):D1_INDR_REQ:SET.PACT")_x000D_
 field(DISS, "INVALID")_x000D_
 field(CALC, "((D&gt;0)||(F&gt;0))?A:E")_x000D_
 field(OUT, "$(P):D1_INDR_REQ PP MS")_x000D_
 field(PINI, "NO")_x000D_
}_x000D_
record(calc, "$(P):D1_INDR_REQ:SCD") {_x000D_
 field(CALC, "(ABS(B-A)&lt;10^(-C))?1:0")_x000D_
 field(INPA, "$(P):D1_INDR_REQ:RBV CP MS")_x000D_
 field(INPB, "$(P):D1_INDR_REQ:SET CP")_x000D_
 field(INPC, "$(P):D1_INDR_REQ:RBV.PREC")_x000D_
 field(PINI, "YES")_x000D_
 field(VAL,"0")_x000D_
 field(LOLO, "0.5")_x000D_
 field(LLSV, "MINOR") _x000D_
}_x000D_
# -----------------------------_x000D_
#</v>
      </c>
      <c r="AP24" s="25" t="str">
        <f>IF(ISNUMBER(W24),SUBSTITUTE(SUBSTITUTE(SUBSTITUTE(SUBSTITUTE(SUBSTITUTE(SUBSTITUTE(SUBSTITUTE(SUBSTITUTE(y_QLabel &amp; IF(RIGHT(R24)="s",y_QELineEdit,y_QELabel),"~PVNAME",$AE24&amp;IF($AC24="map","","")),"~EGU",$K24),"~PREC",$N24),"~VAR",$F24),"~CANGET",$AH24),"~CANSET",$AI24),"~ROW",W24),"~NAME",$E24),"")</f>
        <v>&lt;item row="19" column="0"&gt;
         &lt;widget class="QLabel" name="L_d1_IndR_Req"&gt;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&lt;string&gt;d1_IndR_Req&lt;/string&gt;
          &lt;/property&gt;
          &lt;property name="margin"&gt;
           &lt;number&gt;3&lt;/number&gt;
          &lt;/property&gt;
         &lt;/widget&gt;
        &lt;/item&gt;
&lt;item row="19" column="2"&gt;
            &lt;widget class="QELineEdit" name="QLD_d1_IndR_Req"&gt;
             &lt;property name="variable" stdset="0"&gt;
              &lt;string&gt;$(P)$(R):D1_INDR_REQ&lt;/string&gt;
             &lt;/property&gt;
             &lt;property name="addUnits"&gt;
             &lt;bool&gt;true&lt;/bool&gt;
             &lt;/property&gt;
            &lt;/widget&gt;
           &lt;/item&gt;</v>
      </c>
      <c r="AQ24" s="25" t="str">
        <f>IF(ISNUMBER(X24),SUBSTITUTE(SUBSTITUTE(SUBSTITUTE(SUBSTITUTE(SUBSTITUTE(SUBSTITUTE(SUBSTITUTE(SUBSTITUTE(y_QLabel &amp; IF(RIGHT(S24)="s",y_QELineEdit,y_QELabel),"~PVNAME",$AE24&amp;IF($AC24="map",":RBV","")),"~EGU",$K24),"~PREC",$N24),"~VAR",$F24),"~CANGET",$AH24),"~CANSET",$AI24),"~ROW",X24),"~NAME",$E24),"")</f>
        <v/>
      </c>
      <c r="AR24" s="25" t="e">
        <f>VLOOKUP(G24,y_EPICS_Formats,2,FALSE)</f>
        <v>#N/A</v>
      </c>
      <c r="AS24" s="25" t="str">
        <f>IF(AB24="epics",y_Prefix&amp;AE24&amp;" = ","")</f>
        <v xml:space="preserve">SR05ID01FST01:D1_INDR_REQ = </v>
      </c>
      <c r="AT24" s="25" t="str">
        <f>IF(LEN(P24&amp;Q24)&gt;0,IFERROR(";"&amp;I24&amp;"["&amp;K24&amp;"]"&amp;AB24&amp;"("&amp;AC24&amp;")"&amp;CHAR(10)&amp;C24 &amp;CHAR(9)&amp;AG24&amp;CHAR(9)&amp;F24 &amp;CHAR(9),";;Error!"),"")</f>
        <v xml:space="preserve">;Fly axis Right indent request[EGU]epics(map)
#define	d1IndRReq	P2019	</v>
      </c>
      <c r="AU24" s="25" t="str">
        <f>IF(IFERROR(AND(AA24&gt;0,LEN(AN24)&gt;0),FALSE),SUBSTITUTE(SUBSTITUTE(SUBSTITUTE(y_archiverXML,"~PVNAME",AE24),"~PREFIX",y_Prefix),"~PERIOD",MIN(30,AA24)),"")</f>
        <v xml:space="preserve">      &lt;channel&gt;
         &lt;name&gt;SR05ID01FST01:D1_INDR_REQ&lt;/name&gt;
         &lt;period&gt;0.5&lt;/period&gt;
         &lt;monitor/&gt;
      &lt;/channel&gt;</v>
      </c>
      <c r="AV24" s="11">
        <f>IF($AB24="epics",AV$1-LEN(AE24),"")</f>
        <v>7</v>
      </c>
      <c r="AW24" s="11">
        <f>IF($AB24="epics",AW$1-LEN(AH24),"")</f>
        <v>10</v>
      </c>
      <c r="AX24" s="11">
        <f>IF($AB24="epics",AX$1-LEN(AI24),"")</f>
        <v>10</v>
      </c>
      <c r="AY24" s="11">
        <f>IF($AB24="epics",AY$1-LEN(I24)-LEN(" readback"),"")</f>
        <v>2</v>
      </c>
      <c r="AZ24" s="12">
        <f>IF(LEN(F24)&gt;0,IFERROR(VALUE(RIGHT(F24,LEN(F24)-1)),F24),"zzzzz")</f>
        <v>2019</v>
      </c>
      <c r="BA24" s="12">
        <f>IFERROR(VALUE(RIGHT(F24,LEN(F24)-1)),F24)</f>
        <v>2019</v>
      </c>
      <c r="BB24" s="22" t="str">
        <f>y_Prefix&amp;AE24</f>
        <v>SR05ID01FST01:D1_INDR_REQ</v>
      </c>
    </row>
    <row r="25" spans="1:54" ht="14.25" customHeight="1" x14ac:dyDescent="0.25">
      <c r="A25" s="22">
        <v>22</v>
      </c>
      <c r="B25" s="23"/>
      <c r="C25" s="30" t="str">
        <f>IF(AND(ISBLANK(P25),ISBLANK(Q25)),";","#define")</f>
        <v>#define</v>
      </c>
      <c r="D25" s="29"/>
      <c r="E25" s="22" t="s">
        <v>581</v>
      </c>
      <c r="F25" s="10" t="s">
        <v>582</v>
      </c>
      <c r="G25" s="10" t="s">
        <v>77</v>
      </c>
      <c r="H25" s="10"/>
      <c r="I25" s="61" t="s">
        <v>583</v>
      </c>
      <c r="J25" s="10" t="s">
        <v>33</v>
      </c>
      <c r="K25" s="10"/>
      <c r="L25" s="10">
        <v>0</v>
      </c>
      <c r="M25" s="10">
        <v>10</v>
      </c>
      <c r="N25" s="10">
        <v>4</v>
      </c>
      <c r="O25" s="15"/>
      <c r="P25" s="49" t="s">
        <v>33</v>
      </c>
      <c r="Q25" s="49"/>
      <c r="R25" s="49"/>
      <c r="S25" s="49" t="s">
        <v>35</v>
      </c>
      <c r="T25" s="49"/>
      <c r="U25" s="49" t="s">
        <v>33</v>
      </c>
      <c r="V25" s="49"/>
      <c r="W25" s="98">
        <v>20</v>
      </c>
      <c r="Y25" s="31" t="s">
        <v>790</v>
      </c>
      <c r="Z25" s="31" t="s">
        <v>790</v>
      </c>
      <c r="AB25" s="55" t="str">
        <f>IF(LEN(R25&amp;S25&amp;T25&amp;U25&amp;V25)&gt;0,"epics","")</f>
        <v>epics</v>
      </c>
      <c r="AC25" s="52" t="str">
        <f>IF(NOT(ISBLANK(V25)),"base",IF(AB25="epics",IF(AND(ISBLANK(P25),ISBLANK(Q25)),"nmp","map"),""))</f>
        <v>map</v>
      </c>
      <c r="AD25" s="27" t="str">
        <f>UPPER(AD$1&amp;":"&amp;D25)</f>
        <v>:</v>
      </c>
      <c r="AE25" s="25" t="str">
        <f>UPPER(AE$1&amp;":"&amp;E25)</f>
        <v>:D1_INDST</v>
      </c>
      <c r="AF25" s="27" t="str">
        <f>SUBSTITUTE(D25,"_","")</f>
        <v/>
      </c>
      <c r="AG25" s="25" t="str">
        <f>SUBSTITUTE(E25,"_","")&amp;IF(AND(RIGHT(P25)&lt;&gt;"s",RIGHT(Q25)&lt;&gt;"s"),"","")</f>
        <v>d1IndSt</v>
      </c>
      <c r="AH25" s="25" t="str">
        <f>IF(ISNUMBER(Y25),Y25,"$(P)"&amp;$AE$1&amp;":"&amp;Y25)</f>
        <v>$(P):EN_INPROG</v>
      </c>
      <c r="AI25" s="25" t="str">
        <f>IF(ISNUMBER(Z25),Z25,"$(P)"&amp;$AE$1&amp;":"&amp;Z25)</f>
        <v>$(P):EN_INPROG</v>
      </c>
      <c r="AJ25" s="25"/>
      <c r="AK25" s="12" t="str">
        <f>IF(AC25="map",IF(G25="float",y_varMapAnalog,IF(G25="int",y_varMapLongint,IF(G25="bool",y_varMapBool,IF(G25="string",y_varMapString,IF(G25="option",y_varMapOption,"#unknown Type"))))),IF(AC25="nmp",y_nonMappedAnalog,""))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5" s="12" t="str">
        <f>VLOOKUP(G25,y_mapProtocolLUT,3)</f>
        <v>@pmac.proto getVar($(VAR)) $(PORT)</v>
      </c>
      <c r="AM25" s="12" t="str">
        <f>VLOOKUP(G25,y_mapProtocolLUT,2)</f>
        <v>@pmac.proto setVar($(VAR)) $(PORT)</v>
      </c>
      <c r="AN25" s="25" t="str">
        <f>IF(LEN(AG25)&gt;0,SUBSTITUTE(SUBSTITUTE(SUBSTITUTE(AK25,"$(DTYP)",y_DTYPE),"$(SETPROTO)",AM25),"$(GETPROTO)",AL25),"")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5" s="25" t="str">
        <f>IFERROR(SUBSTITUTE(SUBSTITUTE(SUBSTITUTE(SUBSTITUTE(SUBSTITUTE(SUBSTITUTE(SUBSTITUTE(SUBSTITUTE(SUBSTITUTE(AN25,"$(Q)",AE25),"$(EGU)",K25),"$(PREC)",N25),"$(VAR)",TRIM(CLEAN(y_dedicatedCS&amp;F25))),"$(GetSB)",AH25),"$(SetSB)",AI25),"$(DESC)",LEFT(I25,40)),"$(ENUMS)",AJ25),"$(DEFAULT)",H25),"")</f>
        <v>_x000D_
# PVs mapping to P2016 of type Analog_x000D_
record(ao, "$(P):D1_INDST") {_x000D_
  field(DESC, "Device indentation live switch")_x000D_
  field(OUT, "$(P):D1_INDST:SET PP MS")_x000D_
  field(PINI, "NO")_x000D_
  field(EGU, "") field(PREC, "4")_x000D_
  field(SDIS, "$(P):D1_INDST:SCD MS")_x000D_
  field(DISV, "999999")  _x000D_
}_x000D_
record(ai, "$(P):D1_INDST:RBV") {_x000D_
  field(DESC, "Device indentation live switch readback")_x000D_
  field(DTYP, "stream")_x000D_
  field(INP, "@pmac.proto getVar(P2016) $(PORT)")_x000D_
  field(SDIS, "$(P):EN_INPROG NPP MS")_x000D_
  field(DISV, "0")_x000D_
  field(PINI, "NO")_x000D_
  field(DISS, "INVALID")_x000D_
  field(EGU, "") field(PREC, "4")_x000D_
}_x000D_
#% autosave 0 VAL_x000D_
record(ao, "$(P):D1_INDST:SET") {_x000D_
  field(DTYP, "stream")_x000D_
  field(SDIS, "$(P):D1_INDST:ROL PP MS")_x000D_
  field(OUT, "@pmac.proto setVar(P2016) $(PORT)")_x000D_
  field(PINI, "YES")_x000D_
  field(FLNK, "$(P):D1_INDST:SCD")  _x000D_
  field(DISS, "INVALID")_x000D_
}_x000D_
record(calc, "$(P):D1_INDST:ROL") {_x000D_
  field(CALC, "(!B) || A")_x000D_
  field(INPA, "$(P):D1_INDST:SYN.PACT")_x000D_
  field(INPB, "$(P):EN_INPROG NPP")_x000D_
  field(PINI, "NO")_x000D_
}_x000D_
record(calcout, "$(P):D1_INDST:SYN") {_x000D_
 field(INPA, "$(P):D1_INDST:RBV PP")_x000D_
 field(INPB, "$(P):EN_INPROG CP MS")_x000D_
 field(INPC, "$(P):EN_INPROG NPP")_x000D_
 field(INPD, "$(P):D1_INDST:SCD CP MS")_x000D_
 field(INPE, "$(P):D1_INDST:SET NPP")_x000D_
 field(INPF, "$(P):EN_AUTOSYNC CP")_x000D_
 field(SDIS, "$(P):D1_INDST:SET.PACT")_x000D_
 field(DISS, "INVALID")_x000D_
 field(CALC, "((D&gt;0)||(F&gt;0))?A:E")_x000D_
 field(OUT, "$(P):D1_INDST PP MS")_x000D_
 field(PINI, "NO")_x000D_
}_x000D_
record(calc, "$(P):D1_INDST:SCD") {_x000D_
 field(CALC, "(ABS(B-A)&lt;10^(-C))?1:0")_x000D_
 field(INPA, "$(P):D1_INDST:RBV CP MS")_x000D_
 field(INPB, "$(P):D1_INDST:SET CP")_x000D_
 field(INPC, "$(P):D1_INDST:RBV.PREC")_x000D_
 field(PINI, "YES")_x000D_
 field(VAL,"0")_x000D_
 field(LOLO, "0.5")_x000D_
 field(LLSV, "MINOR") _x000D_
}_x000D_
# -----------------------------_x000D_
#</v>
      </c>
      <c r="AP25" s="25" t="str">
        <f>IF(ISNUMBER(W25),SUBSTITUTE(SUBSTITUTE(SUBSTITUTE(SUBSTITUTE(SUBSTITUTE(SUBSTITUTE(SUBSTITUTE(SUBSTITUTE(y_QLabel &amp; IF(RIGHT(R25)="s",y_QELineEdit,y_QELabel),"~PVNAME",$AE25&amp;IF($AC25="map","","")),"~EGU",$K25),"~PREC",$N25),"~VAR",$F25),"~CANGET",$AH25),"~CANSET",$AI25),"~ROW",W25),"~NAME",$E25),"")</f>
        <v xml:space="preserve">&lt;item row="20" column="0"&gt;
         &lt;widget class="QLabel" name="L_d1_IndSt"&gt;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&lt;string&gt;d1_IndSt&lt;/string&gt;
          &lt;/property&gt;
          &lt;property name="margin"&gt;
           &lt;number&gt;3&lt;/number&gt;
          &lt;/property&gt;
         &lt;/widget&gt;
        &lt;/item&gt;
&lt;item row="20" column="1"&gt;
         &lt;widget class="QELabel" name="QL_d1_IndSt"&gt;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&lt;string&gt;$(P)$(R):D1_INDST&lt;/string&gt;
          &lt;/property&gt;
         &lt;/widget&gt;
   &lt;/item&gt;
</v>
      </c>
      <c r="AQ25" s="25" t="str">
        <f>IF(ISNUMBER(X25),SUBSTITUTE(SUBSTITUTE(SUBSTITUTE(SUBSTITUTE(SUBSTITUTE(SUBSTITUTE(SUBSTITUTE(SUBSTITUTE(y_QLabel &amp; IF(RIGHT(S25)="s",y_QELineEdit,y_QELabel),"~PVNAME",$AE25&amp;IF($AC25="map",":RBV","")),"~EGU",$K25),"~PREC",$N25),"~VAR",$F25),"~CANGET",$AH25),"~CANSET",$AI25),"~ROW",X25),"~NAME",$E25),"")</f>
        <v/>
      </c>
      <c r="AR25" s="25" t="e">
        <f>VLOOKUP(G25,y_EPICS_Formats,2,FALSE)</f>
        <v>#N/A</v>
      </c>
      <c r="AS25" s="25" t="str">
        <f>IF(AB25="epics",y_Prefix&amp;AE25&amp;" = ","")</f>
        <v xml:space="preserve">SR05ID01FST01:D1_INDST = </v>
      </c>
      <c r="AT25" s="25" t="str">
        <f>IF(LEN(P25&amp;Q25)&gt;0,IFERROR(";"&amp;I25&amp;"["&amp;K25&amp;"]"&amp;AB25&amp;"("&amp;AC25&amp;")"&amp;CHAR(10)&amp;C25 &amp;CHAR(9)&amp;AG25&amp;CHAR(9)&amp;F25 &amp;CHAR(9),";;Error!"),"")</f>
        <v xml:space="preserve">;Device indentation live switch[]epics(map)
#define	d1IndSt	P2016	</v>
      </c>
      <c r="AU25" s="25" t="str">
        <f>IF(IFERROR(AND(AA25&gt;0,LEN(AN25)&gt;0),FALSE),SUBSTITUTE(SUBSTITUTE(SUBSTITUTE(y_archiverXML,"~PVNAME",AE25),"~PREFIX",y_Prefix),"~PERIOD",MIN(30,AA25)),"")</f>
        <v/>
      </c>
      <c r="AV25" s="11">
        <f>IF($AB25="epics",AV$1-LEN(AE25),"")</f>
        <v>10</v>
      </c>
      <c r="AW25" s="11">
        <f>IF($AB25="epics",AW$1-LEN(AH25),"")</f>
        <v>10</v>
      </c>
      <c r="AX25" s="11">
        <f>IF($AB25="epics",AX$1-LEN(AI25),"")</f>
        <v>10</v>
      </c>
      <c r="AY25" s="11">
        <f>IF($AB25="epics",AY$1-LEN(I25)-LEN(" readback"),"")</f>
        <v>1</v>
      </c>
      <c r="AZ25" s="12">
        <f>IF(LEN(F25)&gt;0,IFERROR(VALUE(RIGHT(F25,LEN(F25)-1)),F25),"zzzzz")</f>
        <v>2016</v>
      </c>
      <c r="BA25" s="12">
        <f>IFERROR(VALUE(RIGHT(F25,LEN(F25)-1)),F25)</f>
        <v>2016</v>
      </c>
      <c r="BB25" s="22" t="str">
        <f>y_Prefix&amp;AE25</f>
        <v>SR05ID01FST01:D1_INDST</v>
      </c>
    </row>
    <row r="26" spans="1:54" ht="15.75" customHeight="1" x14ac:dyDescent="0.25">
      <c r="A26" s="22">
        <v>23</v>
      </c>
      <c r="B26" s="23"/>
      <c r="C26" s="30" t="str">
        <f>IF(AND(ISBLANK(P26),ISBLANK(Q26)),";","#define")</f>
        <v>#define</v>
      </c>
      <c r="D26" s="29"/>
      <c r="E26" s="22" t="s">
        <v>584</v>
      </c>
      <c r="F26" s="10" t="s">
        <v>585</v>
      </c>
      <c r="G26" s="10" t="s">
        <v>77</v>
      </c>
      <c r="H26" s="10"/>
      <c r="I26" s="61" t="s">
        <v>586</v>
      </c>
      <c r="J26" s="10" t="s">
        <v>35</v>
      </c>
      <c r="K26" s="10" t="s">
        <v>560</v>
      </c>
      <c r="L26" s="10">
        <v>-9999999</v>
      </c>
      <c r="M26" s="10">
        <v>9999999</v>
      </c>
      <c r="N26" s="10">
        <v>4</v>
      </c>
      <c r="O26" s="15"/>
      <c r="P26" s="49" t="s">
        <v>365</v>
      </c>
      <c r="Q26" s="49"/>
      <c r="R26" s="49" t="s">
        <v>35</v>
      </c>
      <c r="S26" s="49"/>
      <c r="T26" s="49"/>
      <c r="U26" s="49"/>
      <c r="V26" s="49"/>
      <c r="W26" s="98">
        <v>21</v>
      </c>
      <c r="Y26" s="31" t="s">
        <v>785</v>
      </c>
      <c r="Z26" s="31" t="s">
        <v>786</v>
      </c>
      <c r="AA26" s="31">
        <v>30</v>
      </c>
      <c r="AB26" s="55" t="str">
        <f>IF(LEN(R26&amp;S26&amp;T26&amp;U26&amp;V26)&gt;0,"epics","")</f>
        <v>epics</v>
      </c>
      <c r="AC26" s="52" t="str">
        <f>IF(NOT(ISBLANK(V26)),"base",IF(AB26="epics",IF(AND(ISBLANK(P26),ISBLANK(Q26)),"nmp","map"),""))</f>
        <v>map</v>
      </c>
      <c r="AD26" s="27" t="str">
        <f>UPPER(AD$1&amp;":"&amp;D26)</f>
        <v>:</v>
      </c>
      <c r="AE26" s="25" t="str">
        <f>UPPER(AE$1&amp;":"&amp;E26)</f>
        <v>:D1_OUT</v>
      </c>
      <c r="AF26" s="27" t="str">
        <f>SUBSTITUTE(D26,"_","")</f>
        <v/>
      </c>
      <c r="AG26" s="25" t="str">
        <f>SUBSTITUTE(E26,"_","")&amp;IF(AND(RIGHT(P26)&lt;&gt;"s",RIGHT(Q26)&lt;&gt;"s"),"","")</f>
        <v>d1Out</v>
      </c>
      <c r="AH26" s="25" t="str">
        <f>IF(ISNUMBER(Y26),Y26,"$(P)"&amp;$AE$1&amp;":"&amp;Y26)</f>
        <v>$(P):EN_MONITOR</v>
      </c>
      <c r="AI26" s="25" t="str">
        <f>IF(ISNUMBER(Z26),Z26,"$(P)"&amp;$AE$1&amp;":"&amp;Z26)</f>
        <v>$(P):EN_NEVER</v>
      </c>
      <c r="AJ26" s="25"/>
      <c r="AK26" s="12" t="str">
        <f>IF(AC26="map",IF(G26="float",y_varMapAnalog,IF(G26="int",y_varMapLongint,IF(G26="bool",y_varMapBool,IF(G26="string",y_varMapString,IF(G26="option",y_varMapOption,"#unknown Type"))))),IF(AC26="nmp",y_nonMappedAnalog,""))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6" s="12" t="str">
        <f>VLOOKUP(G26,y_mapProtocolLUT,3)</f>
        <v>@pmac.proto getVar($(VAR)) $(PORT)</v>
      </c>
      <c r="AM26" s="12" t="str">
        <f>VLOOKUP(G26,y_mapProtocolLUT,2)</f>
        <v>@pmac.proto setVar($(VAR)) $(PORT)</v>
      </c>
      <c r="AN26" s="25" t="str">
        <f>IF(LEN(AG26)&gt;0,SUBSTITUTE(SUBSTITUTE(SUBSTITUTE(AK26,"$(DTYP)",y_DTYPE),"$(SETPROTO)",AM26),"$(GETPROTO)",AL26),"")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6" s="25" t="str">
        <f>IFERROR(SUBSTITUTE(SUBSTITUTE(SUBSTITUTE(SUBSTITUTE(SUBSTITUTE(SUBSTITUTE(SUBSTITUTE(SUBSTITUTE(SUBSTITUTE(AN26,"$(Q)",AE26),"$(EGU)",K26),"$(PREC)",N26),"$(VAR)",TRIM(CLEAN(y_dedicatedCS&amp;F26))),"$(GetSB)",AH26),"$(SetSB)",AI26),"$(DESC)",LEFT(I26,40)),"$(ENUMS)",AJ26),"$(DEFAULT)",H26),"")</f>
        <v>_x000D_
# PVs mapping to P2045 of type Analog_x000D_
record(ao, "$(P):D1_OUT") {_x000D_
  field(DESC, "Fly axis outer-skip band")_x000D_
  field(OUT, "$(P):D1_OUT:SET PP MS")_x000D_
  field(PINI, "NO")_x000D_
  field(EGU, "EGU") field(PREC, "4")_x000D_
  field(SDIS, "$(P):D1_OUT:SCD MS")_x000D_
  field(DISV, "999999")  _x000D_
}_x000D_
record(ai, "$(P):D1_OUT:RBV") {_x000D_
  field(DESC, "Fly axis outer-skip band readback")_x000D_
  field(DTYP, "stream")_x000D_
  field(INP, "@pmac.proto getVar(P2045) $(PORT)")_x000D_
  field(SDIS, "$(P):EN_MONITOR NPP MS")_x000D_
  field(DISV, "0")_x000D_
  field(PINI, "NO")_x000D_
  field(DISS, "INVALID")_x000D_
  field(EGU, "EGU") field(PREC, "4")_x000D_
}_x000D_
#% autosave 0 VAL_x000D_
record(ao, "$(P):D1_OUT:SET") {_x000D_
  field(DTYP, "stream")_x000D_
  field(SDIS, "$(P):D1_OUT:ROL PP MS")_x000D_
  field(OUT, "@pmac.proto setVar(P2045) $(PORT)")_x000D_
  field(PINI, "YES")_x000D_
  field(FLNK, "$(P):D1_OUT:SCD")  _x000D_
  field(DISS, "INVALID")_x000D_
}_x000D_
record(calc, "$(P):D1_OUT:ROL") {_x000D_
  field(CALC, "(!B) || A")_x000D_
  field(INPA, "$(P):D1_OUT:SYN.PACT")_x000D_
  field(INPB, "$(P):EN_NEVER NPP")_x000D_
  field(PINI, "NO")_x000D_
}_x000D_
record(calcout, "$(P):D1_OUT:SYN") {_x000D_
 field(INPA, "$(P):D1_OUT:RBV PP")_x000D_
 field(INPB, "$(P):EN_MONITOR CP MS")_x000D_
 field(INPC, "$(P):EN_NEVER NPP")_x000D_
 field(INPD, "$(P):D1_OUT:SCD CP MS")_x000D_
 field(INPE, "$(P):D1_OUT:SET NPP")_x000D_
 field(INPF, "$(P):EN_AUTOSYNC CP")_x000D_
 field(SDIS, "$(P):D1_OUT:SET.PACT")_x000D_
 field(DISS, "INVALID")_x000D_
 field(CALC, "((D&gt;0)||(F&gt;0))?A:E")_x000D_
 field(OUT, "$(P):D1_OUT PP MS")_x000D_
 field(PINI, "NO")_x000D_
}_x000D_
record(calc, "$(P):D1_OUT:SCD") {_x000D_
 field(CALC, "(ABS(B-A)&lt;10^(-C))?1:0")_x000D_
 field(INPA, "$(P):D1_OUT:RBV CP MS")_x000D_
 field(INPB, "$(P):D1_OUT:SET CP")_x000D_
 field(INPC, "$(P):D1_OUT:RBV.PREC")_x000D_
 field(PINI, "YES")_x000D_
 field(VAL,"0")_x000D_
 field(LOLO, "0.5")_x000D_
 field(LLSV, "MINOR") _x000D_
}_x000D_
# -----------------------------_x000D_
#</v>
      </c>
      <c r="AP26" s="25" t="str">
        <f>IF(ISNUMBER(W26),SUBSTITUTE(SUBSTITUTE(SUBSTITUTE(SUBSTITUTE(SUBSTITUTE(SUBSTITUTE(SUBSTITUTE(SUBSTITUTE(y_QLabel &amp; IF(RIGHT(R26)="s",y_QELineEdit,y_QELabel),"~PVNAME",$AE26&amp;IF($AC26="map","","")),"~EGU",$K26),"~PREC",$N26),"~VAR",$F26),"~CANGET",$AH26),"~CANSET",$AI26),"~ROW",W26),"~NAME",$E26),"")</f>
        <v xml:space="preserve">&lt;item row="21" column="0"&gt;
         &lt;widget class="QLabel" name="L_d1_Out"&gt;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&lt;string&gt;d1_Out&lt;/string&gt;
          &lt;/property&gt;
          &lt;property name="margin"&gt;
           &lt;number&gt;3&lt;/number&gt;
          &lt;/property&gt;
         &lt;/widget&gt;
        &lt;/item&gt;
&lt;item row="21" column="1"&gt;
         &lt;widget class="QELabel" name="QL_d1_Out"&gt;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&lt;string&gt;$(P)$(R):D1_OUT&lt;/string&gt;
          &lt;/property&gt;
         &lt;/widget&gt;
   &lt;/item&gt;
</v>
      </c>
      <c r="AQ26" s="25" t="str">
        <f>IF(ISNUMBER(X26),SUBSTITUTE(SUBSTITUTE(SUBSTITUTE(SUBSTITUTE(SUBSTITUTE(SUBSTITUTE(SUBSTITUTE(SUBSTITUTE(y_QLabel &amp; IF(RIGHT(S26)="s",y_QELineEdit,y_QELabel),"~PVNAME",$AE26&amp;IF($AC26="map",":RBV","")),"~EGU",$K26),"~PREC",$N26),"~VAR",$F26),"~CANGET",$AH26),"~CANSET",$AI26),"~ROW",X26),"~NAME",$E26),"")</f>
        <v/>
      </c>
      <c r="AR26" s="25" t="e">
        <f>VLOOKUP(G26,y_EPICS_Formats,2,FALSE)</f>
        <v>#N/A</v>
      </c>
      <c r="AS26" s="25" t="str">
        <f>IF(AB26="epics",y_Prefix&amp;AE26&amp;" = ","")</f>
        <v xml:space="preserve">SR05ID01FST01:D1_OUT = </v>
      </c>
      <c r="AT26" s="25" t="str">
        <f>IF(LEN(P26&amp;Q26)&gt;0,IFERROR(";"&amp;I26&amp;"["&amp;K26&amp;"]"&amp;AB26&amp;"("&amp;AC26&amp;")"&amp;CHAR(10)&amp;C26 &amp;CHAR(9)&amp;AG26&amp;CHAR(9)&amp;F26 &amp;CHAR(9),";;Error!"),"")</f>
        <v xml:space="preserve">;Fly axis outer-skip band[EGU]epics(map)
#define	d1Out	P2045	</v>
      </c>
      <c r="AU26" s="25" t="str">
        <f>IF(IFERROR(AND(AA26&gt;0,LEN(AN26)&gt;0),FALSE),SUBSTITUTE(SUBSTITUTE(SUBSTITUTE(y_archiverXML,"~PVNAME",AE26),"~PREFIX",y_Prefix),"~PERIOD",MIN(30,AA26)),"")</f>
        <v xml:space="preserve">      &lt;channel&gt;
         &lt;name&gt;SR05ID01FST01:D1_OUT&lt;/name&gt;
         &lt;period&gt;30&lt;/period&gt;
         &lt;monitor/&gt;
      &lt;/channel&gt;</v>
      </c>
      <c r="AV26" s="11">
        <f>IF($AB26="epics",AV$1-LEN(AE26),"")</f>
        <v>12</v>
      </c>
      <c r="AW26" s="11">
        <f>IF($AB26="epics",AW$1-LEN(AH26),"")</f>
        <v>9</v>
      </c>
      <c r="AX26" s="11">
        <f>IF($AB26="epics",AX$1-LEN(AI26),"")</f>
        <v>11</v>
      </c>
      <c r="AY26" s="11">
        <f>IF($AB26="epics",AY$1-LEN(I26)-LEN(" readback"),"")</f>
        <v>7</v>
      </c>
      <c r="AZ26" s="12">
        <f>IF(LEN(F26)&gt;0,IFERROR(VALUE(RIGHT(F26,LEN(F26)-1)),F26),"zzzzz")</f>
        <v>2045</v>
      </c>
      <c r="BA26" s="12">
        <f>IFERROR(VALUE(RIGHT(F26,LEN(F26)-1)),F26)</f>
        <v>2045</v>
      </c>
      <c r="BB26" s="22" t="str">
        <f>y_Prefix&amp;AE26</f>
        <v>SR05ID01FST01:D1_OUT</v>
      </c>
    </row>
    <row r="27" spans="1:54" s="22" customFormat="1" ht="15.75" customHeight="1" x14ac:dyDescent="0.25">
      <c r="A27" s="22">
        <v>23.5</v>
      </c>
      <c r="B27" s="23">
        <v>0</v>
      </c>
      <c r="C27" s="30" t="str">
        <f>IF(AND(ISBLANK(P27),ISBLANK(Q27)),";","#define")</f>
        <v>;</v>
      </c>
      <c r="D27" s="29"/>
      <c r="E27" s="22" t="s">
        <v>803</v>
      </c>
      <c r="F27" s="10" t="s">
        <v>41</v>
      </c>
      <c r="G27" s="10" t="s">
        <v>77</v>
      </c>
      <c r="H27" s="10"/>
      <c r="I27" s="61" t="s">
        <v>804</v>
      </c>
      <c r="J27" s="10" t="s">
        <v>364</v>
      </c>
      <c r="K27" s="10" t="s">
        <v>560</v>
      </c>
      <c r="L27" s="10">
        <v>-9999999</v>
      </c>
      <c r="M27" s="10">
        <v>9999999</v>
      </c>
      <c r="N27" s="10">
        <v>4</v>
      </c>
      <c r="O27" s="15"/>
      <c r="P27" s="49"/>
      <c r="Q27" s="49"/>
      <c r="R27" s="49" t="s">
        <v>365</v>
      </c>
      <c r="S27" s="49"/>
      <c r="T27" s="49" t="s">
        <v>35</v>
      </c>
      <c r="U27" s="49"/>
      <c r="V27" s="49"/>
      <c r="W27" s="98">
        <v>22</v>
      </c>
      <c r="X27" s="98"/>
      <c r="Y27" s="31" t="s">
        <v>784</v>
      </c>
      <c r="Z27" s="31" t="s">
        <v>784</v>
      </c>
      <c r="AA27" s="31">
        <v>30</v>
      </c>
      <c r="AB27" s="55" t="str">
        <f>IF(LEN(R27&amp;S27&amp;T27&amp;U27&amp;V27)&gt;0,"epics","")</f>
        <v>epics</v>
      </c>
      <c r="AC27" s="52" t="str">
        <f>IF(NOT(ISBLANK(V27)),"base",IF(AB27="epics",IF(AND(ISBLANK(P27),ISBLANK(Q27)),"nmp","map"),""))</f>
        <v>nmp</v>
      </c>
      <c r="AD27" s="27" t="str">
        <f>UPPER(AD$1&amp;":"&amp;D27)</f>
        <v>:</v>
      </c>
      <c r="AE27" s="25" t="str">
        <f>UPPER(AE$1&amp;":"&amp;E27)</f>
        <v>:D1_OUTHDM</v>
      </c>
      <c r="AF27" s="27" t="str">
        <f>SUBSTITUTE(D27,"_","")</f>
        <v/>
      </c>
      <c r="AG27" s="25" t="str">
        <f>SUBSTITUTE(E27,"_","")&amp;IF(AND(RIGHT(P27)&lt;&gt;"s",RIGHT(Q27)&lt;&gt;"s"),"","")</f>
        <v>d1OutHDM</v>
      </c>
      <c r="AH27" s="25" t="str">
        <f>IF(ISNUMBER(Y27),Y27,"$(P)"&amp;$AE$1&amp;":"&amp;Y27)</f>
        <v>$(P):EN_TRAJSET</v>
      </c>
      <c r="AI27" s="25" t="str">
        <f>IF(ISNUMBER(Z27),Z27,"$(P)"&amp;$AE$1&amp;":"&amp;Z27)</f>
        <v>$(P):EN_TRAJSET</v>
      </c>
      <c r="AJ27" s="25"/>
      <c r="AK27" s="12" t="str">
        <f>IF(AC27="map",IF(G27="float",y_varMapAnalog,IF(G27="int",y_varMapLongint,IF(G27="bool",y_varMapBool,IF(G27="string",y_varMapString,IF(G27="option",y_varMapOption,"#unknown Type"))))),IF(AC27="nmp",y_nonMappedAnalog,""))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27" s="12" t="str">
        <f>VLOOKUP(G27,y_mapProtocolLUT,3)</f>
        <v>@pmac.proto getVar($(VAR)) $(PORT)</v>
      </c>
      <c r="AM27" s="12" t="str">
        <f>VLOOKUP(G27,y_mapProtocolLUT,2)</f>
        <v>@pmac.proto setVar($(VAR)) $(PORT)</v>
      </c>
      <c r="AN27" s="25" t="str">
        <f>IF(LEN(AG27)&gt;0,SUBSTITUTE(SUBSTITUTE(SUBSTITUTE(AK27,"$(DTYP)",y_DTYPE),"$(SETPROTO)",AM27),"$(GETPROTO)",AL27),"")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27" s="25" t="str">
        <f>IFERROR(SUBSTITUTE(SUBSTITUTE(SUBSTITUTE(SUBSTITUTE(SUBSTITUTE(SUBSTITUTE(SUBSTITUTE(SUBSTITUTE(SUBSTITUTE(AN27,"$(Q)",AE27),"$(EGU)",K27),"$(PREC)",N27),"$(VAR)",TRIM(CLEAN(y_dedicatedCS&amp;F27))),"$(GetSB)",AH27),"$(SetSB)",AI27),"$(DESC)",LEFT(I27,40)),"$(ENUMS)",AJ27),"$(DEFAULT)",H27),"")</f>
        <v># non-mapped PV
#% autosave 0 VAL
record(ai, "$(P):D1_OUTHDM") {
  field(DESC, "Fly axis outer distance desired lim")
  field(PINI, "YES")
  field(EGU, "EGU")
  field(PREC, "4")
  field(VAL,"")
  field(SDIS, "$(P):EN_TRAJSET CP MS")
  field(DISV, "0")
  field(DISS, "INVALID")
}
#--------------</v>
      </c>
      <c r="AP27" s="25" t="str">
        <f>IF(ISNUMBER(W27),SUBSTITUTE(SUBSTITUTE(SUBSTITUTE(SUBSTITUTE(SUBSTITUTE(SUBSTITUTE(SUBSTITUTE(SUBSTITUTE(y_QLabel &amp; IF(RIGHT(R27)="s",y_QELineEdit,y_QELabel),"~PVNAME",$AE27&amp;IF($AC27="map","","")),"~EGU",$K27),"~PREC",$N27),"~VAR",$F27),"~CANGET",$AH27),"~CANSET",$AI27),"~ROW",W27),"~NAME",$E27),"")</f>
        <v>&lt;item row="22" column="0"&gt;
         &lt;widget class="QLabel" name="L_d1_OutHDM"&gt;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&lt;string&gt;d1_OutHDM&lt;/string&gt;
          &lt;/property&gt;
          &lt;property name="margin"&gt;
           &lt;number&gt;3&lt;/number&gt;
          &lt;/property&gt;
         &lt;/widget&gt;
        &lt;/item&gt;
&lt;item row="22" column="2"&gt;
            &lt;widget class="QELineEdit" name="QLD_d1_OutHDM"&gt;
             &lt;property name="variable" stdset="0"&gt;
              &lt;string&gt;$(P)$(R):D1_OUTHDM&lt;/string&gt;
             &lt;/property&gt;
             &lt;property name="addUnits"&gt;
             &lt;bool&gt;true&lt;/bool&gt;
             &lt;/property&gt;
            &lt;/widget&gt;
           &lt;/item&gt;</v>
      </c>
      <c r="AQ27" s="25" t="str">
        <f>IF(ISNUMBER(X27),SUBSTITUTE(SUBSTITUTE(SUBSTITUTE(SUBSTITUTE(SUBSTITUTE(SUBSTITUTE(SUBSTITUTE(SUBSTITUTE(y_QLabel &amp; IF(RIGHT(S27)="s",y_QELineEdit,y_QELabel),"~PVNAME",$AE27&amp;IF($AC27="map",":RBV","")),"~EGU",$K27),"~PREC",$N27),"~VAR",$F27),"~CANGET",$AH27),"~CANSET",$AI27),"~ROW",X27),"~NAME",$E27),"")</f>
        <v/>
      </c>
      <c r="AR27" s="25" t="e">
        <f>VLOOKUP(G27,y_EPICS_Formats,2,FALSE)</f>
        <v>#N/A</v>
      </c>
      <c r="AS27" s="25" t="str">
        <f>IF(AB27="epics",y_Prefix&amp;AE27&amp;" = ","")</f>
        <v xml:space="preserve">SR05ID01FST01:D1_OUTHDM = </v>
      </c>
      <c r="AT27" s="25" t="str">
        <f>IF(LEN(P27&amp;Q27)&gt;0,IFERROR(";"&amp;I27&amp;"["&amp;K27&amp;"]"&amp;AB27&amp;"("&amp;AC27&amp;")"&amp;CHAR(10)&amp;C27 &amp;CHAR(9)&amp;AG27&amp;CHAR(9)&amp;F27 &amp;CHAR(9),";;Error!"),"")</f>
        <v/>
      </c>
      <c r="AU27" s="25" t="str">
        <f>IF(IFERROR(AND(AA27&gt;0,LEN(AN27)&gt;0),FALSE),SUBSTITUTE(SUBSTITUTE(SUBSTITUTE(y_archiverXML,"~PVNAME",AE27),"~PREFIX",y_Prefix),"~PERIOD",MIN(30,AA27)),"")</f>
        <v xml:space="preserve">      &lt;channel&gt;
         &lt;name&gt;SR05ID01FST01:D1_OUTHDM&lt;/name&gt;
         &lt;period&gt;30&lt;/period&gt;
         &lt;monitor/&gt;
      &lt;/channel&gt;</v>
      </c>
      <c r="AV27" s="11">
        <f>IF($AB27="epics",AV$1-LEN(AE27),"")</f>
        <v>9</v>
      </c>
      <c r="AW27" s="11">
        <f>IF($AB27="epics",AW$1-LEN(AH27),"")</f>
        <v>9</v>
      </c>
      <c r="AX27" s="11">
        <f>IF($AB27="epics",AX$1-LEN(AI27),"")</f>
        <v>9</v>
      </c>
      <c r="AY27" s="11">
        <f>IF($AB27="epics",AY$1-LEN(I27)-LEN(" readback"),"")</f>
        <v>-4</v>
      </c>
      <c r="AZ27" s="12" t="str">
        <f>IF(LEN(F27)&gt;0,IFERROR(VALUE(RIGHT(F27,LEN(F27)-1)),F27),"zzzzz")</f>
        <v>none</v>
      </c>
      <c r="BA27" s="12" t="str">
        <f>IFERROR(VALUE(RIGHT(F27,LEN(F27)-1)),F27)</f>
        <v>none</v>
      </c>
      <c r="BB27" s="22" t="str">
        <f>y_Prefix&amp;AE27</f>
        <v>SR05ID01FST01:D1_OUTHDM</v>
      </c>
    </row>
    <row r="28" spans="1:54" ht="15.75" customHeight="1" x14ac:dyDescent="0.25">
      <c r="A28" s="22">
        <v>24</v>
      </c>
      <c r="B28" s="23"/>
      <c r="C28" s="30" t="str">
        <f>IF(AND(ISBLANK(P28),ISBLANK(Q28)),";","#define")</f>
        <v>#define</v>
      </c>
      <c r="D28" s="28"/>
      <c r="E28" s="22" t="s">
        <v>587</v>
      </c>
      <c r="F28" s="10" t="s">
        <v>588</v>
      </c>
      <c r="G28" s="10" t="s">
        <v>77</v>
      </c>
      <c r="H28" s="10"/>
      <c r="I28" s="61" t="s">
        <v>589</v>
      </c>
      <c r="J28" s="10" t="s">
        <v>363</v>
      </c>
      <c r="K28" s="10" t="s">
        <v>560</v>
      </c>
      <c r="L28" s="10">
        <v>-9999999</v>
      </c>
      <c r="M28" s="10">
        <v>9999999</v>
      </c>
      <c r="N28" s="10">
        <v>4</v>
      </c>
      <c r="O28" s="15"/>
      <c r="P28" s="49" t="s">
        <v>35</v>
      </c>
      <c r="Q28" s="49"/>
      <c r="R28" s="49" t="s">
        <v>365</v>
      </c>
      <c r="S28" s="49"/>
      <c r="T28" s="49" t="s">
        <v>35</v>
      </c>
      <c r="U28" s="49"/>
      <c r="V28" s="49"/>
      <c r="W28" s="98">
        <v>23</v>
      </c>
      <c r="Y28" s="31" t="s">
        <v>784</v>
      </c>
      <c r="Z28" s="31" t="s">
        <v>784</v>
      </c>
      <c r="AA28" s="31">
        <v>30</v>
      </c>
      <c r="AB28" s="55" t="str">
        <f>IF(LEN(R28&amp;S28&amp;T28&amp;U28&amp;V28)&gt;0,"epics","")</f>
        <v>epics</v>
      </c>
      <c r="AC28" s="52" t="str">
        <f>IF(NOT(ISBLANK(V28)),"base",IF(AB28="epics",IF(AND(ISBLANK(P28),ISBLANK(Q28)),"nmp","map"),""))</f>
        <v>map</v>
      </c>
      <c r="AD28" s="27" t="str">
        <f>UPPER(AD$1&amp;":"&amp;D28)</f>
        <v>:</v>
      </c>
      <c r="AE28" s="25" t="str">
        <f>UPPER(AE$1&amp;":"&amp;E28)</f>
        <v>:D1_SPAN</v>
      </c>
      <c r="AF28" s="27" t="str">
        <f>SUBSTITUTE(D28,"_","")</f>
        <v/>
      </c>
      <c r="AG28" s="25" t="str">
        <f>SUBSTITUTE(E28,"_","")&amp;IF(AND(RIGHT(P28)&lt;&gt;"s",RIGHT(Q28)&lt;&gt;"s"),"","")</f>
        <v>d1Span</v>
      </c>
      <c r="AH28" s="25" t="str">
        <f>IF(ISNUMBER(Y28),Y28,"$(P)"&amp;$AE$1&amp;":"&amp;Y28)</f>
        <v>$(P):EN_TRAJSET</v>
      </c>
      <c r="AI28" s="25" t="str">
        <f>IF(ISNUMBER(Z28),Z28,"$(P)"&amp;$AE$1&amp;":"&amp;Z28)</f>
        <v>$(P):EN_TRAJSET</v>
      </c>
      <c r="AJ28" s="25"/>
      <c r="AK28" s="12" t="str">
        <f>IF(AC28="map",IF(G28="float",y_varMapAnalog,IF(G28="int",y_varMapLongint,IF(G28="bool",y_varMapBool,IF(G28="string",y_varMapString,IF(G28="option",y_varMapOption,"#unknown Type"))))),IF(AC28="nmp",y_nonMappedAnalog,""))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8" s="12" t="str">
        <f>VLOOKUP(G28,y_mapProtocolLUT,3)</f>
        <v>@pmac.proto getVar($(VAR)) $(PORT)</v>
      </c>
      <c r="AM28" s="12" t="str">
        <f>VLOOKUP(G28,y_mapProtocolLUT,2)</f>
        <v>@pmac.proto setVar($(VAR)) $(PORT)</v>
      </c>
      <c r="AN28" s="25" t="str">
        <f>IF(LEN(AG28)&gt;0,SUBSTITUTE(SUBSTITUTE(SUBSTITUTE(AK28,"$(DTYP)",y_DTYPE),"$(SETPROTO)",AM28),"$(GETPROTO)",AL28),"")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8" s="25" t="str">
        <f>IFERROR(SUBSTITUTE(SUBSTITUTE(SUBSTITUTE(SUBSTITUTE(SUBSTITUTE(SUBSTITUTE(SUBSTITUTE(SUBSTITUTE(SUBSTITUTE(AN28,"$(Q)",AE28),"$(EGU)",K28),"$(PREC)",N28),"$(VAR)",TRIM(CLEAN(y_dedicatedCS&amp;F28))),"$(GetSB)",AH28),"$(SetSB)",AI28),"$(DESC)",LEFT(I28,40)),"$(ENUMS)",AJ28),"$(DEFAULT)",H28),"")</f>
        <v>_x000D_
# PVs mapping to P2001 of type Analog_x000D_
record(ao, "$(P):D1_SPAN") {_x000D_
  field(DESC, "Fly axis span (span)")_x000D_
  field(OUT, "$(P):D1_SPAN:SET PP MS")_x000D_
  field(PINI, "NO")_x000D_
  field(EGU, "EGU") field(PREC, "4")_x000D_
  field(SDIS, "$(P):D1_SPAN:SCD MS")_x000D_
  field(DISV, "999999")  _x000D_
}_x000D_
record(ai, "$(P):D1_SPAN:RBV") {_x000D_
  field(DESC, "Fly axis span (span) readback")_x000D_
  field(DTYP, "stream")_x000D_
  field(INP, "@pmac.proto getVar(P2001) $(PORT)")_x000D_
  field(SDIS, "$(P):EN_TRAJSET NPP MS")_x000D_
  field(DISV, "0")_x000D_
  field(PINI, "NO")_x000D_
  field(DISS, "INVALID")_x000D_
  field(EGU, "EGU") field(PREC, "4")_x000D_
}_x000D_
#% autosave 0 VAL_x000D_
record(ao, "$(P):D1_SPAN:SET") {_x000D_
  field(DTYP, "stream")_x000D_
  field(SDIS, "$(P):D1_SPAN:ROL PP MS")_x000D_
  field(OUT, "@pmac.proto setVar(P2001) $(PORT)")_x000D_
  field(PINI, "YES")_x000D_
  field(FLNK, "$(P):D1_SPAN:SCD")  _x000D_
  field(DISS, "INVALID")_x000D_
}_x000D_
record(calc, "$(P):D1_SPAN:ROL") {_x000D_
  field(CALC, "(!B) || A")_x000D_
  field(INPA, "$(P):D1_SPAN:SYN.PACT")_x000D_
  field(INPB, "$(P):EN_TRAJSET NPP")_x000D_
  field(PINI, "NO")_x000D_
}_x000D_
record(calcout, "$(P):D1_SPAN:SYN") {_x000D_
 field(INPA, "$(P):D1_SPAN:RBV PP")_x000D_
 field(INPB, "$(P):EN_TRAJSET CP MS")_x000D_
 field(INPC, "$(P):EN_TRAJSET NPP")_x000D_
 field(INPD, "$(P):D1_SPAN:SCD CP MS")_x000D_
 field(INPE, "$(P):D1_SPAN:SET NPP")_x000D_
 field(INPF, "$(P):EN_AUTOSYNC CP")_x000D_
 field(SDIS, "$(P):D1_SPAN:SET.PACT")_x000D_
 field(DISS, "INVALID")_x000D_
 field(CALC, "((D&gt;0)||(F&gt;0))?A:E")_x000D_
 field(OUT, "$(P):D1_SPAN PP MS")_x000D_
 field(PINI, "NO")_x000D_
}_x000D_
record(calc, "$(P):D1_SPAN:SCD") {_x000D_
 field(CALC, "(ABS(B-A)&lt;10^(-C))?1:0")_x000D_
 field(INPA, "$(P):D1_SPAN:RBV CP MS")_x000D_
 field(INPB, "$(P):D1_SPAN:SET CP")_x000D_
 field(INPC, "$(P):D1_SPAN:RBV.PREC")_x000D_
 field(PINI, "YES")_x000D_
 field(VAL,"0")_x000D_
 field(LOLO, "0.5")_x000D_
 field(LLSV, "MINOR") _x000D_
}_x000D_
# -----------------------------_x000D_
#</v>
      </c>
      <c r="AP28" s="25" t="str">
        <f>IF(ISNUMBER(W28),SUBSTITUTE(SUBSTITUTE(SUBSTITUTE(SUBSTITUTE(SUBSTITUTE(SUBSTITUTE(SUBSTITUTE(SUBSTITUTE(y_QLabel &amp; IF(RIGHT(R28)="s",y_QELineEdit,y_QELabel),"~PVNAME",$AE28&amp;IF($AC28="map","","")),"~EGU",$K28),"~PREC",$N28),"~VAR",$F28),"~CANGET",$AH28),"~CANSET",$AI28),"~ROW",W28),"~NAME",$E28),"")</f>
        <v>&lt;item row="23" column="0"&gt;
         &lt;widget class="QLabel" name="L_d1_Span"&gt;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&lt;string&gt;d1_Span&lt;/string&gt;
          &lt;/property&gt;
          &lt;property name="margin"&gt;
           &lt;number&gt;3&lt;/number&gt;
          &lt;/property&gt;
         &lt;/widget&gt;
        &lt;/item&gt;
&lt;item row="23" column="2"&gt;
            &lt;widget class="QELineEdit" name="QLD_d1_Span"&gt;
             &lt;property name="variable" stdset="0"&gt;
              &lt;string&gt;$(P)$(R):D1_SPAN&lt;/string&gt;
             &lt;/property&gt;
             &lt;property name="addUnits"&gt;
             &lt;bool&gt;true&lt;/bool&gt;
             &lt;/property&gt;
            &lt;/widget&gt;
           &lt;/item&gt;</v>
      </c>
      <c r="AQ28" s="25" t="str">
        <f>IF(ISNUMBER(X28),SUBSTITUTE(SUBSTITUTE(SUBSTITUTE(SUBSTITUTE(SUBSTITUTE(SUBSTITUTE(SUBSTITUTE(SUBSTITUTE(y_QLabel &amp; IF(RIGHT(S28)="s",y_QELineEdit,y_QELabel),"~PVNAME",$AE28&amp;IF($AC28="map",":RBV","")),"~EGU",$K28),"~PREC",$N28),"~VAR",$F28),"~CANGET",$AH28),"~CANSET",$AI28),"~ROW",X28),"~NAME",$E28),"")</f>
        <v/>
      </c>
      <c r="AR28" s="25" t="e">
        <f>VLOOKUP(G28,y_EPICS_Formats,2,FALSE)</f>
        <v>#N/A</v>
      </c>
      <c r="AS28" s="25" t="str">
        <f>IF(AB28="epics",y_Prefix&amp;AE28&amp;" = ","")</f>
        <v xml:space="preserve">SR05ID01FST01:D1_SPAN = </v>
      </c>
      <c r="AT28" s="25" t="str">
        <f>IF(LEN(P28&amp;Q28)&gt;0,IFERROR(";"&amp;I28&amp;"["&amp;K28&amp;"]"&amp;AB28&amp;"("&amp;AC28&amp;")"&amp;CHAR(10)&amp;C28 &amp;CHAR(9)&amp;AG28&amp;CHAR(9)&amp;F28 &amp;CHAR(9),";;Error!"),"")</f>
        <v xml:space="preserve">;Fly axis span (span)[EGU]epics(map)
#define	d1Span	P2001	</v>
      </c>
      <c r="AU28" s="25" t="str">
        <f>IF(IFERROR(AND(AA28&gt;0,LEN(AN28)&gt;0),FALSE),SUBSTITUTE(SUBSTITUTE(SUBSTITUTE(y_archiverXML,"~PVNAME",AE28),"~PREFIX",y_Prefix),"~PERIOD",MIN(30,AA28)),"")</f>
        <v xml:space="preserve">      &lt;channel&gt;
         &lt;name&gt;SR05ID01FST01:D1_SPAN&lt;/name&gt;
         &lt;period&gt;30&lt;/period&gt;
         &lt;monitor/&gt;
      &lt;/channel&gt;</v>
      </c>
      <c r="AV28" s="11">
        <f>IF($AB28="epics",AV$1-LEN(AE28),"")</f>
        <v>11</v>
      </c>
      <c r="AW28" s="11">
        <f>IF($AB28="epics",AW$1-LEN(AH28),"")</f>
        <v>9</v>
      </c>
      <c r="AX28" s="11">
        <f>IF($AB28="epics",AX$1-LEN(AI28),"")</f>
        <v>9</v>
      </c>
      <c r="AY28" s="11">
        <f>IF($AB28="epics",AY$1-LEN(I28)-LEN(" readback"),"")</f>
        <v>11</v>
      </c>
      <c r="AZ28" s="12">
        <f>IF(LEN(F28)&gt;0,IFERROR(VALUE(RIGHT(F28,LEN(F28)-1)),F28),"zzzzz")</f>
        <v>2001</v>
      </c>
      <c r="BA28" s="12">
        <f>IFERROR(VALUE(RIGHT(F28,LEN(F28)-1)),F28)</f>
        <v>2001</v>
      </c>
      <c r="BB28" s="22" t="str">
        <f>y_Prefix&amp;AE28</f>
        <v>SR05ID01FST01:D1_SPAN</v>
      </c>
    </row>
    <row r="29" spans="1:54" ht="15.75" customHeight="1" x14ac:dyDescent="0.25">
      <c r="A29" s="22">
        <v>25</v>
      </c>
      <c r="B29" s="23"/>
      <c r="C29" s="30" t="str">
        <f>IF(AND(ISBLANK(P29),ISBLANK(Q29)),";","#define")</f>
        <v>#define</v>
      </c>
      <c r="D29" s="28"/>
      <c r="E29" s="24" t="s">
        <v>590</v>
      </c>
      <c r="F29" s="10" t="s">
        <v>591</v>
      </c>
      <c r="G29" s="10" t="s">
        <v>77</v>
      </c>
      <c r="H29" s="10"/>
      <c r="I29" s="61" t="s">
        <v>592</v>
      </c>
      <c r="J29" s="10" t="s">
        <v>35</v>
      </c>
      <c r="K29" s="10" t="s">
        <v>560</v>
      </c>
      <c r="L29" s="10">
        <v>-9999999</v>
      </c>
      <c r="M29" s="10">
        <v>9999999</v>
      </c>
      <c r="N29" s="10">
        <v>4</v>
      </c>
      <c r="O29" s="15"/>
      <c r="P29" s="49" t="s">
        <v>365</v>
      </c>
      <c r="Q29" s="49"/>
      <c r="R29" s="49"/>
      <c r="S29" s="49" t="s">
        <v>35</v>
      </c>
      <c r="T29" s="49"/>
      <c r="U29" s="49"/>
      <c r="V29" s="49"/>
      <c r="W29" s="98">
        <v>24</v>
      </c>
      <c r="Y29" s="31" t="s">
        <v>785</v>
      </c>
      <c r="Z29" s="31" t="s">
        <v>786</v>
      </c>
      <c r="AA29" s="31">
        <v>30</v>
      </c>
      <c r="AB29" s="55" t="str">
        <f>IF(LEN(R29&amp;S29&amp;T29&amp;U29&amp;V29)&gt;0,"epics","")</f>
        <v>epics</v>
      </c>
      <c r="AC29" s="52" t="str">
        <f>IF(NOT(ISBLANK(V29)),"base",IF(AB29="epics",IF(AND(ISBLANK(P29),ISBLANK(Q29)),"nmp","map"),""))</f>
        <v>map</v>
      </c>
      <c r="AD29" s="27" t="str">
        <f>UPPER(AD$1&amp;":"&amp;D29)</f>
        <v>:</v>
      </c>
      <c r="AE29" s="25" t="str">
        <f>UPPER(AE$1&amp;":"&amp;E29)</f>
        <v>:D2_EDGE</v>
      </c>
      <c r="AF29" s="27" t="str">
        <f>SUBSTITUTE(D29,"_","")</f>
        <v/>
      </c>
      <c r="AG29" s="25" t="str">
        <f>SUBSTITUTE(E29,"_","")&amp;IF(AND(RIGHT(P29)&lt;&gt;"s",RIGHT(Q29)&lt;&gt;"s"),"","")</f>
        <v>d2Edge</v>
      </c>
      <c r="AH29" s="25" t="str">
        <f>IF(ISNUMBER(Y29),Y29,"$(P)"&amp;$AE$1&amp;":"&amp;Y29)</f>
        <v>$(P):EN_MONITOR</v>
      </c>
      <c r="AI29" s="25" t="str">
        <f>IF(ISNUMBER(Z29),Z29,"$(P)"&amp;$AE$1&amp;":"&amp;Z29)</f>
        <v>$(P):EN_NEVER</v>
      </c>
      <c r="AJ29" s="25"/>
      <c r="AK29" s="12" t="str">
        <f>IF(AC29="map",IF(G29="float",y_varMapAnalog,IF(G29="int",y_varMapLongint,IF(G29="bool",y_varMapBool,IF(G29="string",y_varMapString,IF(G29="option",y_varMapOption,"#unknown Type"))))),IF(AC29="nmp",y_nonMappedAnalog,""))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29" s="12" t="str">
        <f>VLOOKUP(G29,y_mapProtocolLUT,3)</f>
        <v>@pmac.proto getVar($(VAR)) $(PORT)</v>
      </c>
      <c r="AM29" s="12" t="str">
        <f>VLOOKUP(G29,y_mapProtocolLUT,2)</f>
        <v>@pmac.proto setVar($(VAR)) $(PORT)</v>
      </c>
      <c r="AN29" s="25" t="str">
        <f>IF(LEN(AG29)&gt;0,SUBSTITUTE(SUBSTITUTE(SUBSTITUTE(AK29,"$(DTYP)",y_DTYPE),"$(SETPROTO)",AM29),"$(GETPROTO)",AL29),"")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29" s="25" t="str">
        <f>IFERROR(SUBSTITUTE(SUBSTITUTE(SUBSTITUTE(SUBSTITUTE(SUBSTITUTE(SUBSTITUTE(SUBSTITUTE(SUBSTITUTE(SUBSTITUTE(AN29,"$(Q)",AE29),"$(EGU)",K29),"$(PREC)",N29),"$(VAR)",TRIM(CLEAN(y_dedicatedCS&amp;F29))),"$(GetSB)",AH29),"$(SetSB)",AI29),"$(DESC)",LEFT(I29,40)),"$(ENUMS)",AJ29),"$(DEFAULT)",H29),"")</f>
        <v>_x000D_
# PVs mapping to P2065 of type Analog_x000D_
record(ao, "$(P):D2_EDGE") {_x000D_
  field(DESC, "Inc. axis Edge-skip distance")_x000D_
  field(OUT, "$(P):D2_EDGE:SET PP MS")_x000D_
  field(PINI, "NO")_x000D_
  field(EGU, "EGU") field(PREC, "4")_x000D_
  field(SDIS, "$(P):D2_EDGE:SCD MS")_x000D_
  field(DISV, "999999")  _x000D_
}_x000D_
record(ai, "$(P):D2_EDGE:RBV") {_x000D_
  field(DESC, "Inc. axis Edge-skip distance readback")_x000D_
  field(DTYP, "stream")_x000D_
  field(INP, "@pmac.proto getVar(P2065) $(PORT)")_x000D_
  field(SDIS, "$(P):EN_MONITOR NPP MS")_x000D_
  field(DISV, "0")_x000D_
  field(PINI, "NO")_x000D_
  field(DISS, "INVALID")_x000D_
  field(EGU, "EGU") field(PREC, "4")_x000D_
}_x000D_
#% autosave 0 VAL_x000D_
record(ao, "$(P):D2_EDGE:SET") {_x000D_
  field(DTYP, "stream")_x000D_
  field(SDIS, "$(P):D2_EDGE:ROL PP MS")_x000D_
  field(OUT, "@pmac.proto setVar(P2065) $(PORT)")_x000D_
  field(PINI, "YES")_x000D_
  field(FLNK, "$(P):D2_EDGE:SCD")  _x000D_
  field(DISS, "INVALID")_x000D_
}_x000D_
record(calc, "$(P):D2_EDGE:ROL") {_x000D_
  field(CALC, "(!B) || A")_x000D_
  field(INPA, "$(P):D2_EDGE:SYN.PACT")_x000D_
  field(INPB, "$(P):EN_NEVER NPP")_x000D_
  field(PINI, "NO")_x000D_
}_x000D_
record(calcout, "$(P):D2_EDGE:SYN") {_x000D_
 field(INPA, "$(P):D2_EDGE:RBV PP")_x000D_
 field(INPB, "$(P):EN_MONITOR CP MS")_x000D_
 field(INPC, "$(P):EN_NEVER NPP")_x000D_
 field(INPD, "$(P):D2_EDGE:SCD CP MS")_x000D_
 field(INPE, "$(P):D2_EDGE:SET NPP")_x000D_
 field(INPF, "$(P):EN_AUTOSYNC CP")_x000D_
 field(SDIS, "$(P):D2_EDGE:SET.PACT")_x000D_
 field(DISS, "INVALID")_x000D_
 field(CALC, "((D&gt;0)||(F&gt;0))?A:E")_x000D_
 field(OUT, "$(P):D2_EDGE PP MS")_x000D_
 field(PINI, "NO")_x000D_
}_x000D_
record(calc, "$(P):D2_EDGE:SCD") {_x000D_
 field(CALC, "(ABS(B-A)&lt;10^(-C))?1:0")_x000D_
 field(INPA, "$(P):D2_EDGE:RBV CP MS")_x000D_
 field(INPB, "$(P):D2_EDGE:SET CP")_x000D_
 field(INPC, "$(P):D2_EDGE:RBV.PREC")_x000D_
 field(PINI, "YES")_x000D_
 field(VAL,"0")_x000D_
 field(LOLO, "0.5")_x000D_
 field(LLSV, "MINOR") _x000D_
}_x000D_
# -----------------------------_x000D_
#</v>
      </c>
      <c r="AP29" s="25" t="str">
        <f>IF(ISNUMBER(W29),SUBSTITUTE(SUBSTITUTE(SUBSTITUTE(SUBSTITUTE(SUBSTITUTE(SUBSTITUTE(SUBSTITUTE(SUBSTITUTE(y_QLabel &amp; IF(RIGHT(R29)="s",y_QELineEdit,y_QELabel),"~PVNAME",$AE29&amp;IF($AC29="map","","")),"~EGU",$K29),"~PREC",$N29),"~VAR",$F29),"~CANGET",$AH29),"~CANSET",$AI29),"~ROW",W29),"~NAME",$E29),"")</f>
        <v xml:space="preserve">&lt;item row="24" column="0"&gt;
         &lt;widget class="QLabel" name="L_d2_Edge"&gt;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&lt;string&gt;d2_Edge&lt;/string&gt;
          &lt;/property&gt;
          &lt;property name="margin"&gt;
           &lt;number&gt;3&lt;/number&gt;
          &lt;/property&gt;
         &lt;/widget&gt;
        &lt;/item&gt;
&lt;item row="24" column="1"&gt;
         &lt;widget class="QELabel" name="QL_d2_Edge"&gt;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&lt;string&gt;$(P)$(R):D2_EDGE&lt;/string&gt;
          &lt;/property&gt;
         &lt;/widget&gt;
   &lt;/item&gt;
</v>
      </c>
      <c r="AQ29" s="25" t="str">
        <f>IF(ISNUMBER(X29),SUBSTITUTE(SUBSTITUTE(SUBSTITUTE(SUBSTITUTE(SUBSTITUTE(SUBSTITUTE(SUBSTITUTE(SUBSTITUTE(y_QLabel &amp; IF(RIGHT(S29)="s",y_QELineEdit,y_QELabel),"~PVNAME",$AE29&amp;IF($AC29="map",":RBV","")),"~EGU",$K29),"~PREC",$N29),"~VAR",$F29),"~CANGET",$AH29),"~CANSET",$AI29),"~ROW",X29),"~NAME",$E29),"")</f>
        <v/>
      </c>
      <c r="AR29" s="25" t="e">
        <f>VLOOKUP(G29,y_EPICS_Formats,2,FALSE)</f>
        <v>#N/A</v>
      </c>
      <c r="AS29" s="25" t="str">
        <f>IF(AB29="epics",y_Prefix&amp;AE29&amp;" = ","")</f>
        <v xml:space="preserve">SR05ID01FST01:D2_EDGE = </v>
      </c>
      <c r="AT29" s="25" t="str">
        <f>IF(LEN(P29&amp;Q29)&gt;0,IFERROR(";"&amp;I29&amp;"["&amp;K29&amp;"]"&amp;AB29&amp;"("&amp;AC29&amp;")"&amp;CHAR(10)&amp;C29 &amp;CHAR(9)&amp;AG29&amp;CHAR(9)&amp;F29 &amp;CHAR(9),";;Error!"),"")</f>
        <v xml:space="preserve">;Inc. axis Edge-skip distance[EGU]epics(map)
#define	d2Edge	P2065	</v>
      </c>
      <c r="AU29" s="25" t="str">
        <f>IF(IFERROR(AND(AA29&gt;0,LEN(AN29)&gt;0),FALSE),SUBSTITUTE(SUBSTITUTE(SUBSTITUTE(y_archiverXML,"~PVNAME",AE29),"~PREFIX",y_Prefix),"~PERIOD",MIN(30,AA29)),"")</f>
        <v xml:space="preserve">      &lt;channel&gt;
         &lt;name&gt;SR05ID01FST01:D2_EDGE&lt;/name&gt;
         &lt;period&gt;30&lt;/period&gt;
         &lt;monitor/&gt;
      &lt;/channel&gt;</v>
      </c>
      <c r="AV29" s="11">
        <f>IF($AB29="epics",AV$1-LEN(AE29),"")</f>
        <v>11</v>
      </c>
      <c r="AW29" s="11">
        <f>IF($AB29="epics",AW$1-LEN(AH29),"")</f>
        <v>9</v>
      </c>
      <c r="AX29" s="11">
        <f>IF($AB29="epics",AX$1-LEN(AI29),"")</f>
        <v>11</v>
      </c>
      <c r="AY29" s="11">
        <f>IF($AB29="epics",AY$1-LEN(I29)-LEN(" readback"),"")</f>
        <v>3</v>
      </c>
      <c r="AZ29" s="12">
        <f>IF(LEN(F29)&gt;0,IFERROR(VALUE(RIGHT(F29,LEN(F29)-1)),F29),"zzzzz")</f>
        <v>2065</v>
      </c>
      <c r="BA29" s="12">
        <f>IFERROR(VALUE(RIGHT(F29,LEN(F29)-1)),F29)</f>
        <v>2065</v>
      </c>
      <c r="BB29" s="22" t="str">
        <f>y_Prefix&amp;AE29</f>
        <v>SR05ID01FST01:D2_EDGE</v>
      </c>
    </row>
    <row r="30" spans="1:54" ht="15.75" customHeight="1" x14ac:dyDescent="0.25">
      <c r="A30" s="22">
        <v>26</v>
      </c>
      <c r="B30" s="23"/>
      <c r="C30" s="30" t="str">
        <f>IF(AND(ISBLANK(P30),ISBLANK(Q30)),";","#define")</f>
        <v>#define</v>
      </c>
      <c r="D30" s="29"/>
      <c r="E30" s="24" t="s">
        <v>593</v>
      </c>
      <c r="F30" s="10" t="s">
        <v>594</v>
      </c>
      <c r="G30" s="10" t="s">
        <v>77</v>
      </c>
      <c r="H30" s="10"/>
      <c r="I30" s="61" t="s">
        <v>595</v>
      </c>
      <c r="J30" s="10" t="s">
        <v>35</v>
      </c>
      <c r="K30" s="10" t="s">
        <v>560</v>
      </c>
      <c r="L30" s="10">
        <v>-9999999</v>
      </c>
      <c r="M30" s="10">
        <v>9999999</v>
      </c>
      <c r="N30" s="10">
        <v>4</v>
      </c>
      <c r="O30" s="15"/>
      <c r="P30" s="49" t="s">
        <v>365</v>
      </c>
      <c r="Q30" s="49"/>
      <c r="R30" s="49"/>
      <c r="S30" s="49" t="s">
        <v>35</v>
      </c>
      <c r="T30" s="49"/>
      <c r="U30" s="49"/>
      <c r="V30" s="49"/>
      <c r="W30" s="98">
        <v>25</v>
      </c>
      <c r="Y30" s="31" t="s">
        <v>785</v>
      </c>
      <c r="Z30" s="31" t="s">
        <v>786</v>
      </c>
      <c r="AA30" s="31">
        <v>30</v>
      </c>
      <c r="AB30" s="55" t="str">
        <f>IF(LEN(R30&amp;S30&amp;T30&amp;U30&amp;V30)&gt;0,"epics","")</f>
        <v>epics</v>
      </c>
      <c r="AC30" s="52" t="str">
        <f>IF(NOT(ISBLANK(V30)),"base",IF(AB30="epics",IF(AND(ISBLANK(P30),ISBLANK(Q30)),"nmp","map"),""))</f>
        <v>map</v>
      </c>
      <c r="AD30" s="27" t="str">
        <f>UPPER(AD$1&amp;":"&amp;D30)</f>
        <v>:</v>
      </c>
      <c r="AE30" s="25" t="str">
        <f>UPPER(AE$1&amp;":"&amp;E30)</f>
        <v>:D2_IN</v>
      </c>
      <c r="AF30" s="27" t="str">
        <f>SUBSTITUTE(D30,"_","")</f>
        <v/>
      </c>
      <c r="AG30" s="25" t="str">
        <f>SUBSTITUTE(E30,"_","")&amp;IF(AND(RIGHT(P30)&lt;&gt;"s",RIGHT(Q30)&lt;&gt;"s"),"","")</f>
        <v>d2In</v>
      </c>
      <c r="AH30" s="25" t="str">
        <f>IF(ISNUMBER(Y30),Y30,"$(P)"&amp;$AE$1&amp;":"&amp;Y30)</f>
        <v>$(P):EN_MONITOR</v>
      </c>
      <c r="AI30" s="25" t="str">
        <f>IF(ISNUMBER(Z30),Z30,"$(P)"&amp;$AE$1&amp;":"&amp;Z30)</f>
        <v>$(P):EN_NEVER</v>
      </c>
      <c r="AJ30" s="25"/>
      <c r="AK30" s="12" t="str">
        <f>IF(AC30="map",IF(G30="float",y_varMapAnalog,IF(G30="int",y_varMapLongint,IF(G30="bool",y_varMapBool,IF(G30="string",y_varMapString,IF(G30="option",y_varMapOption,"#unknown Type"))))),IF(AC30="nmp",y_nonMappedAnalog,""))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30" s="12" t="str">
        <f>VLOOKUP(G30,y_mapProtocolLUT,3)</f>
        <v>@pmac.proto getVar($(VAR)) $(PORT)</v>
      </c>
      <c r="AM30" s="12" t="str">
        <f>VLOOKUP(G30,y_mapProtocolLUT,2)</f>
        <v>@pmac.proto setVar($(VAR)) $(PORT)</v>
      </c>
      <c r="AN30" s="25" t="str">
        <f>IF(LEN(AG30)&gt;0,SUBSTITUTE(SUBSTITUTE(SUBSTITUTE(AK30,"$(DTYP)",y_DTYPE),"$(SETPROTO)",AM30),"$(GETPROTO)",AL30),"")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30" s="25" t="str">
        <f>IFERROR(SUBSTITUTE(SUBSTITUTE(SUBSTITUTE(SUBSTITUTE(SUBSTITUTE(SUBSTITUTE(SUBSTITUTE(SUBSTITUTE(SUBSTITUTE(AN30,"$(Q)",AE30),"$(EGU)",K30),"$(PREC)",N30),"$(VAR)",TRIM(CLEAN(y_dedicatedCS&amp;F30))),"$(GetSB)",AH30),"$(SetSB)",AI30),"$(DESC)",LEFT(I30,40)),"$(ENUMS)",AJ30),"$(DEFAULT)",H30),"")</f>
        <v>_x000D_
# PVs mapping to P2053 of type Analog_x000D_
record(ao, "$(P):D2_IN") {_x000D_
  field(DESC, "Inc. axis inner-skip distance")_x000D_
  field(OUT, "$(P):D2_IN:SET PP MS")_x000D_
  field(PINI, "NO")_x000D_
  field(EGU, "EGU") field(PREC, "4")_x000D_
  field(SDIS, "$(P):D2_IN:SCD MS")_x000D_
  field(DISV, "999999")  _x000D_
}_x000D_
record(ai, "$(P):D2_IN:RBV") {_x000D_
  field(DESC, "Inc. axis inner-skip distance readback")_x000D_
  field(DTYP, "stream")_x000D_
  field(INP, "@pmac.proto getVar(P2053) $(PORT)")_x000D_
  field(SDIS, "$(P):EN_MONITOR NPP MS")_x000D_
  field(DISV, "0")_x000D_
  field(PINI, "NO")_x000D_
  field(DISS, "INVALID")_x000D_
  field(EGU, "EGU") field(PREC, "4")_x000D_
}_x000D_
#% autosave 0 VAL_x000D_
record(ao, "$(P):D2_IN:SET") {_x000D_
  field(DTYP, "stream")_x000D_
  field(SDIS, "$(P):D2_IN:ROL PP MS")_x000D_
  field(OUT, "@pmac.proto setVar(P2053) $(PORT)")_x000D_
  field(PINI, "YES")_x000D_
  field(FLNK, "$(P):D2_IN:SCD")  _x000D_
  field(DISS, "INVALID")_x000D_
}_x000D_
record(calc, "$(P):D2_IN:ROL") {_x000D_
  field(CALC, "(!B) || A")_x000D_
  field(INPA, "$(P):D2_IN:SYN.PACT")_x000D_
  field(INPB, "$(P):EN_NEVER NPP")_x000D_
  field(PINI, "NO")_x000D_
}_x000D_
record(calcout, "$(P):D2_IN:SYN") {_x000D_
 field(INPA, "$(P):D2_IN:RBV PP")_x000D_
 field(INPB, "$(P):EN_MONITOR CP MS")_x000D_
 field(INPC, "$(P):EN_NEVER NPP")_x000D_
 field(INPD, "$(P):D2_IN:SCD CP MS")_x000D_
 field(INPE, "$(P):D2_IN:SET NPP")_x000D_
 field(INPF, "$(P):EN_AUTOSYNC CP")_x000D_
 field(SDIS, "$(P):D2_IN:SET.PACT")_x000D_
 field(DISS, "INVALID")_x000D_
 field(CALC, "((D&gt;0)||(F&gt;0))?A:E")_x000D_
 field(OUT, "$(P):D2_IN PP MS")_x000D_
 field(PINI, "NO")_x000D_
}_x000D_
record(calc, "$(P):D2_IN:SCD") {_x000D_
 field(CALC, "(ABS(B-A)&lt;10^(-C))?1:0")_x000D_
 field(INPA, "$(P):D2_IN:RBV CP MS")_x000D_
 field(INPB, "$(P):D2_IN:SET CP")_x000D_
 field(INPC, "$(P):D2_IN:RBV.PREC")_x000D_
 field(PINI, "YES")_x000D_
 field(VAL,"0")_x000D_
 field(LOLO, "0.5")_x000D_
 field(LLSV, "MINOR") _x000D_
}_x000D_
# -----------------------------_x000D_
#</v>
      </c>
      <c r="AP30" s="25" t="str">
        <f>IF(ISNUMBER(W30),SUBSTITUTE(SUBSTITUTE(SUBSTITUTE(SUBSTITUTE(SUBSTITUTE(SUBSTITUTE(SUBSTITUTE(SUBSTITUTE(y_QLabel &amp; IF(RIGHT(R30)="s",y_QELineEdit,y_QELabel),"~PVNAME",$AE30&amp;IF($AC30="map","","")),"~EGU",$K30),"~PREC",$N30),"~VAR",$F30),"~CANGET",$AH30),"~CANSET",$AI30),"~ROW",W30),"~NAME",$E30),"")</f>
        <v xml:space="preserve">&lt;item row="25" column="0"&gt;
         &lt;widget class="QLabel" name="L_d2_In"&gt;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&lt;string&gt;d2_In&lt;/string&gt;
          &lt;/property&gt;
          &lt;property name="margin"&gt;
           &lt;number&gt;3&lt;/number&gt;
          &lt;/property&gt;
         &lt;/widget&gt;
        &lt;/item&gt;
&lt;item row="25" column="1"&gt;
         &lt;widget class="QELabel" name="QL_d2_In"&gt;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&lt;string&gt;$(P)$(R):D2_IN&lt;/string&gt;
          &lt;/property&gt;
         &lt;/widget&gt;
   &lt;/item&gt;
</v>
      </c>
      <c r="AQ30" s="25" t="str">
        <f>IF(ISNUMBER(X30),SUBSTITUTE(SUBSTITUTE(SUBSTITUTE(SUBSTITUTE(SUBSTITUTE(SUBSTITUTE(SUBSTITUTE(SUBSTITUTE(y_QLabel &amp; IF(RIGHT(S30)="s",y_QELineEdit,y_QELabel),"~PVNAME",$AE30&amp;IF($AC30="map",":RBV","")),"~EGU",$K30),"~PREC",$N30),"~VAR",$F30),"~CANGET",$AH30),"~CANSET",$AI30),"~ROW",X30),"~NAME",$E30),"")</f>
        <v/>
      </c>
      <c r="AR30" s="25" t="e">
        <f>VLOOKUP(G30,y_EPICS_Formats,2,FALSE)</f>
        <v>#N/A</v>
      </c>
      <c r="AS30" s="25" t="str">
        <f>IF(AB30="epics",y_Prefix&amp;AE30&amp;" = ","")</f>
        <v xml:space="preserve">SR05ID01FST01:D2_IN = </v>
      </c>
      <c r="AT30" s="25" t="str">
        <f>IF(LEN(P30&amp;Q30)&gt;0,IFERROR(";"&amp;I30&amp;"["&amp;K30&amp;"]"&amp;AB30&amp;"("&amp;AC30&amp;")"&amp;CHAR(10)&amp;C30 &amp;CHAR(9)&amp;AG30&amp;CHAR(9)&amp;F30 &amp;CHAR(9),";;Error!"),"")</f>
        <v xml:space="preserve">;Inc. axis inner-skip distance[EGU]epics(map)
#define	d2In	P2053	</v>
      </c>
      <c r="AU30" s="25" t="str">
        <f>IF(IFERROR(AND(AA30&gt;0,LEN(AN30)&gt;0),FALSE),SUBSTITUTE(SUBSTITUTE(SUBSTITUTE(y_archiverXML,"~PVNAME",AE30),"~PREFIX",y_Prefix),"~PERIOD",MIN(30,AA30)),"")</f>
        <v xml:space="preserve">      &lt;channel&gt;
         &lt;name&gt;SR05ID01FST01:D2_IN&lt;/name&gt;
         &lt;period&gt;30&lt;/period&gt;
         &lt;monitor/&gt;
      &lt;/channel&gt;</v>
      </c>
      <c r="AV30" s="11">
        <f>IF($AB30="epics",AV$1-LEN(AE30),"")</f>
        <v>13</v>
      </c>
      <c r="AW30" s="11">
        <f>IF($AB30="epics",AW$1-LEN(AH30),"")</f>
        <v>9</v>
      </c>
      <c r="AX30" s="11">
        <f>IF($AB30="epics",AX$1-LEN(AI30),"")</f>
        <v>11</v>
      </c>
      <c r="AY30" s="11">
        <f>IF($AB30="epics",AY$1-LEN(I30)-LEN(" readback"),"")</f>
        <v>2</v>
      </c>
      <c r="AZ30" s="12">
        <f>IF(LEN(F30)&gt;0,IFERROR(VALUE(RIGHT(F30,LEN(F30)-1)),F30),"zzzzz")</f>
        <v>2053</v>
      </c>
      <c r="BA30" s="12">
        <f>IFERROR(VALUE(RIGHT(F30,LEN(F30)-1)),F30)</f>
        <v>2053</v>
      </c>
      <c r="BB30" s="22" t="str">
        <f>y_Prefix&amp;AE30</f>
        <v>SR05ID01FST01:D2_IN</v>
      </c>
    </row>
    <row r="31" spans="1:54" ht="15.75" customHeight="1" x14ac:dyDescent="0.25">
      <c r="A31" s="22">
        <v>27</v>
      </c>
      <c r="B31" s="23"/>
      <c r="C31" s="30" t="str">
        <f>IF(AND(ISBLANK(P31),ISBLANK(Q31)),";","#define")</f>
        <v>#define</v>
      </c>
      <c r="D31" s="28"/>
      <c r="E31" s="22" t="s">
        <v>596</v>
      </c>
      <c r="F31" s="10" t="s">
        <v>597</v>
      </c>
      <c r="G31" s="10" t="s">
        <v>77</v>
      </c>
      <c r="H31" s="10"/>
      <c r="I31" s="61" t="s">
        <v>598</v>
      </c>
      <c r="J31" s="10" t="s">
        <v>35</v>
      </c>
      <c r="K31" s="10" t="s">
        <v>560</v>
      </c>
      <c r="L31" s="10">
        <v>-9999999</v>
      </c>
      <c r="M31" s="10">
        <v>9999999</v>
      </c>
      <c r="N31" s="10">
        <v>4</v>
      </c>
      <c r="O31" s="15"/>
      <c r="P31" s="49" t="s">
        <v>365</v>
      </c>
      <c r="Q31" s="49"/>
      <c r="R31" s="49"/>
      <c r="S31" s="49" t="s">
        <v>35</v>
      </c>
      <c r="T31" s="49"/>
      <c r="U31" s="49"/>
      <c r="V31" s="49"/>
      <c r="W31" s="98">
        <v>26</v>
      </c>
      <c r="Y31" s="31" t="s">
        <v>785</v>
      </c>
      <c r="Z31" s="31" t="s">
        <v>786</v>
      </c>
      <c r="AA31" s="31">
        <v>30</v>
      </c>
      <c r="AB31" s="55" t="str">
        <f>IF(LEN(R31&amp;S31&amp;T31&amp;U31&amp;V31)&gt;0,"epics","")</f>
        <v>epics</v>
      </c>
      <c r="AC31" s="52" t="str">
        <f>IF(NOT(ISBLANK(V31)),"base",IF(AB31="epics",IF(AND(ISBLANK(P31),ISBLANK(Q31)),"nmp","map"),""))</f>
        <v>map</v>
      </c>
      <c r="AD31" s="27" t="str">
        <f>UPPER(AD$1&amp;":"&amp;D31)</f>
        <v>:</v>
      </c>
      <c r="AE31" s="25" t="str">
        <f>UPPER(AE$1&amp;":"&amp;E31)</f>
        <v>:D2_OUT</v>
      </c>
      <c r="AF31" s="27" t="str">
        <f>SUBSTITUTE(D31,"_","")</f>
        <v/>
      </c>
      <c r="AG31" s="25" t="str">
        <f>SUBSTITUTE(E31,"_","")&amp;IF(AND(RIGHT(P31)&lt;&gt;"s",RIGHT(Q31)&lt;&gt;"s"),"","")</f>
        <v>d2Out</v>
      </c>
      <c r="AH31" s="25" t="str">
        <f>IF(ISNUMBER(Y31),Y31,"$(P)"&amp;$AE$1&amp;":"&amp;Y31)</f>
        <v>$(P):EN_MONITOR</v>
      </c>
      <c r="AI31" s="25" t="str">
        <f>IF(ISNUMBER(Z31),Z31,"$(P)"&amp;$AE$1&amp;":"&amp;Z31)</f>
        <v>$(P):EN_NEVER</v>
      </c>
      <c r="AJ31" s="25"/>
      <c r="AK31" s="12" t="str">
        <f>IF(AC31="map",IF(G31="float",y_varMapAnalog,IF(G31="int",y_varMapLongint,IF(G31="bool",y_varMapBool,IF(G31="string",y_varMapString,IF(G31="option",y_varMapOption,"#unknown Type"))))),IF(AC31="nmp",y_nonMappedAnalog,""))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31" s="12" t="str">
        <f>VLOOKUP(G31,y_mapProtocolLUT,3)</f>
        <v>@pmac.proto getVar($(VAR)) $(PORT)</v>
      </c>
      <c r="AM31" s="12" t="str">
        <f>VLOOKUP(G31,y_mapProtocolLUT,2)</f>
        <v>@pmac.proto setVar($(VAR)) $(PORT)</v>
      </c>
      <c r="AN31" s="25" t="str">
        <f>IF(LEN(AG31)&gt;0,SUBSTITUTE(SUBSTITUTE(SUBSTITUTE(AK31,"$(DTYP)",y_DTYPE),"$(SETPROTO)",AM31),"$(GETPROTO)",AL31),"")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31" s="25" t="str">
        <f>IFERROR(SUBSTITUTE(SUBSTITUTE(SUBSTITUTE(SUBSTITUTE(SUBSTITUTE(SUBSTITUTE(SUBSTITUTE(SUBSTITUTE(SUBSTITUTE(AN31,"$(Q)",AE31),"$(EGU)",K31),"$(PREC)",N31),"$(VAR)",TRIM(CLEAN(y_dedicatedCS&amp;F31))),"$(GetSB)",AH31),"$(SetSB)",AI31),"$(DESC)",LEFT(I31,40)),"$(ENUMS)",AJ31),"$(DEFAULT)",H31),"")</f>
        <v>_x000D_
# PVs mapping to P2054 of type Analog_x000D_
record(ao, "$(P):D2_OUT") {_x000D_
  field(DESC, "Inc. axis skip distance")_x000D_
  field(OUT, "$(P):D2_OUT:SET PP MS")_x000D_
  field(PINI, "NO")_x000D_
  field(EGU, "EGU") field(PREC, "4")_x000D_
  field(SDIS, "$(P):D2_OUT:SCD MS")_x000D_
  field(DISV, "999999")  _x000D_
}_x000D_
record(ai, "$(P):D2_OUT:RBV") {_x000D_
  field(DESC, "Inc. axis skip distance readback")_x000D_
  field(DTYP, "stream")_x000D_
  field(INP, "@pmac.proto getVar(P2054) $(PORT)")_x000D_
  field(SDIS, "$(P):EN_MONITOR NPP MS")_x000D_
  field(DISV, "0")_x000D_
  field(PINI, "NO")_x000D_
  field(DISS, "INVALID")_x000D_
  field(EGU, "EGU") field(PREC, "4")_x000D_
}_x000D_
#% autosave 0 VAL_x000D_
record(ao, "$(P):D2_OUT:SET") {_x000D_
  field(DTYP, "stream")_x000D_
  field(SDIS, "$(P):D2_OUT:ROL PP MS")_x000D_
  field(OUT, "@pmac.proto setVar(P2054) $(PORT)")_x000D_
  field(PINI, "YES")_x000D_
  field(FLNK, "$(P):D2_OUT:SCD")  _x000D_
  field(DISS, "INVALID")_x000D_
}_x000D_
record(calc, "$(P):D2_OUT:ROL") {_x000D_
  field(CALC, "(!B) || A")_x000D_
  field(INPA, "$(P):D2_OUT:SYN.PACT")_x000D_
  field(INPB, "$(P):EN_NEVER NPP")_x000D_
  field(PINI, "NO")_x000D_
}_x000D_
record(calcout, "$(P):D2_OUT:SYN") {_x000D_
 field(INPA, "$(P):D2_OUT:RBV PP")_x000D_
 field(INPB, "$(P):EN_MONITOR CP MS")_x000D_
 field(INPC, "$(P):EN_NEVER NPP")_x000D_
 field(INPD, "$(P):D2_OUT:SCD CP MS")_x000D_
 field(INPE, "$(P):D2_OUT:SET NPP")_x000D_
 field(INPF, "$(P):EN_AUTOSYNC CP")_x000D_
 field(SDIS, "$(P):D2_OUT:SET.PACT")_x000D_
 field(DISS, "INVALID")_x000D_
 field(CALC, "((D&gt;0)||(F&gt;0))?A:E")_x000D_
 field(OUT, "$(P):D2_OUT PP MS")_x000D_
 field(PINI, "NO")_x000D_
}_x000D_
record(calc, "$(P):D2_OUT:SCD") {_x000D_
 field(CALC, "(ABS(B-A)&lt;10^(-C))?1:0")_x000D_
 field(INPA, "$(P):D2_OUT:RBV CP MS")_x000D_
 field(INPB, "$(P):D2_OUT:SET CP")_x000D_
 field(INPC, "$(P):D2_OUT:RBV.PREC")_x000D_
 field(PINI, "YES")_x000D_
 field(VAL,"0")_x000D_
 field(LOLO, "0.5")_x000D_
 field(LLSV, "MINOR") _x000D_
}_x000D_
# -----------------------------_x000D_
#</v>
      </c>
      <c r="AP31" s="25" t="str">
        <f>IF(ISNUMBER(W31),SUBSTITUTE(SUBSTITUTE(SUBSTITUTE(SUBSTITUTE(SUBSTITUTE(SUBSTITUTE(SUBSTITUTE(SUBSTITUTE(y_QLabel &amp; IF(RIGHT(R31)="s",y_QELineEdit,y_QELabel),"~PVNAME",$AE31&amp;IF($AC31="map","","")),"~EGU",$K31),"~PREC",$N31),"~VAR",$F31),"~CANGET",$AH31),"~CANSET",$AI31),"~ROW",W31),"~NAME",$E31),"")</f>
        <v xml:space="preserve">&lt;item row="26" column="0"&gt;
         &lt;widget class="QLabel" name="L_d2_Out"&gt;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&lt;string&gt;d2_Out&lt;/string&gt;
          &lt;/property&gt;
          &lt;property name="margin"&gt;
           &lt;number&gt;3&lt;/number&gt;
          &lt;/property&gt;
         &lt;/widget&gt;
        &lt;/item&gt;
&lt;item row="26" column="1"&gt;
         &lt;widget class="QELabel" name="QL_d2_Out"&gt;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&lt;string&gt;$(P)$(R):D2_OUT&lt;/string&gt;
          &lt;/property&gt;
         &lt;/widget&gt;
   &lt;/item&gt;
</v>
      </c>
      <c r="AQ31" s="25" t="str">
        <f>IF(ISNUMBER(X31),SUBSTITUTE(SUBSTITUTE(SUBSTITUTE(SUBSTITUTE(SUBSTITUTE(SUBSTITUTE(SUBSTITUTE(SUBSTITUTE(y_QLabel &amp; IF(RIGHT(S31)="s",y_QELineEdit,y_QELabel),"~PVNAME",$AE31&amp;IF($AC31="map",":RBV","")),"~EGU",$K31),"~PREC",$N31),"~VAR",$F31),"~CANGET",$AH31),"~CANSET",$AI31),"~ROW",X31),"~NAME",$E31),"")</f>
        <v/>
      </c>
      <c r="AR31" s="25" t="e">
        <f>VLOOKUP(G31,y_EPICS_Formats,2,FALSE)</f>
        <v>#N/A</v>
      </c>
      <c r="AS31" s="25" t="str">
        <f>IF(AB31="epics",y_Prefix&amp;AE31&amp;" = ","")</f>
        <v xml:space="preserve">SR05ID01FST01:D2_OUT = </v>
      </c>
      <c r="AT31" s="25" t="str">
        <f>IF(LEN(P31&amp;Q31)&gt;0,IFERROR(";"&amp;I31&amp;"["&amp;K31&amp;"]"&amp;AB31&amp;"("&amp;AC31&amp;")"&amp;CHAR(10)&amp;C31 &amp;CHAR(9)&amp;AG31&amp;CHAR(9)&amp;F31 &amp;CHAR(9),";;Error!"),"")</f>
        <v xml:space="preserve">;Inc. axis skip distance[EGU]epics(map)
#define	d2Out	P2054	</v>
      </c>
      <c r="AU31" s="25" t="str">
        <f>IF(IFERROR(AND(AA31&gt;0,LEN(AN31)&gt;0),FALSE),SUBSTITUTE(SUBSTITUTE(SUBSTITUTE(y_archiverXML,"~PVNAME",AE31),"~PREFIX",y_Prefix),"~PERIOD",MIN(30,AA31)),"")</f>
        <v xml:space="preserve">      &lt;channel&gt;
         &lt;name&gt;SR05ID01FST01:D2_OUT&lt;/name&gt;
         &lt;period&gt;30&lt;/period&gt;
         &lt;monitor/&gt;
      &lt;/channel&gt;</v>
      </c>
      <c r="AV31" s="11">
        <f>IF($AB31="epics",AV$1-LEN(AE31),"")</f>
        <v>12</v>
      </c>
      <c r="AW31" s="11">
        <f>IF($AB31="epics",AW$1-LEN(AH31),"")</f>
        <v>9</v>
      </c>
      <c r="AX31" s="11">
        <f>IF($AB31="epics",AX$1-LEN(AI31),"")</f>
        <v>11</v>
      </c>
      <c r="AY31" s="11">
        <f>IF($AB31="epics",AY$1-LEN(I31)-LEN(" readback"),"")</f>
        <v>8</v>
      </c>
      <c r="AZ31" s="12">
        <f>IF(LEN(F31)&gt;0,IFERROR(VALUE(RIGHT(F31,LEN(F31)-1)),F31),"zzzzz")</f>
        <v>2054</v>
      </c>
      <c r="BA31" s="12">
        <f>IFERROR(VALUE(RIGHT(F31,LEN(F31)-1)),F31)</f>
        <v>2054</v>
      </c>
      <c r="BB31" s="22" t="str">
        <f>y_Prefix&amp;AE31</f>
        <v>SR05ID01FST01:D2_OUT</v>
      </c>
    </row>
    <row r="32" spans="1:54" ht="15.75" customHeight="1" x14ac:dyDescent="0.25">
      <c r="A32" s="22">
        <v>28</v>
      </c>
      <c r="B32" s="23"/>
      <c r="C32" s="30" t="str">
        <f>IF(AND(ISBLANK(P32),ISBLANK(Q32)),";","#define")</f>
        <v>#define</v>
      </c>
      <c r="D32" s="28"/>
      <c r="E32" s="22" t="s">
        <v>599</v>
      </c>
      <c r="F32" s="10" t="s">
        <v>600</v>
      </c>
      <c r="G32" s="10" t="s">
        <v>77</v>
      </c>
      <c r="H32" s="10"/>
      <c r="I32" s="61" t="s">
        <v>601</v>
      </c>
      <c r="J32" s="10" t="s">
        <v>35</v>
      </c>
      <c r="K32" s="10" t="s">
        <v>560</v>
      </c>
      <c r="L32" s="10">
        <v>-9999999</v>
      </c>
      <c r="M32" s="10">
        <v>9999999</v>
      </c>
      <c r="N32" s="10">
        <v>4</v>
      </c>
      <c r="O32" s="15"/>
      <c r="P32" s="49" t="s">
        <v>365</v>
      </c>
      <c r="Q32" s="49"/>
      <c r="R32" s="49"/>
      <c r="S32" s="49" t="s">
        <v>35</v>
      </c>
      <c r="T32" s="49"/>
      <c r="U32" s="49"/>
      <c r="V32" s="49"/>
      <c r="W32" s="98">
        <v>27</v>
      </c>
      <c r="Y32" s="31" t="s">
        <v>785</v>
      </c>
      <c r="Z32" s="31" t="s">
        <v>786</v>
      </c>
      <c r="AA32" s="31">
        <v>30</v>
      </c>
      <c r="AB32" s="55" t="str">
        <f>IF(LEN(R32&amp;S32&amp;T32&amp;U32&amp;V32)&gt;0,"epics","")</f>
        <v>epics</v>
      </c>
      <c r="AC32" s="52" t="str">
        <f>IF(NOT(ISBLANK(V32)),"base",IF(AB32="epics",IF(AND(ISBLANK(P32),ISBLANK(Q32)),"nmp","map"),""))</f>
        <v>map</v>
      </c>
      <c r="AD32" s="27" t="str">
        <f>UPPER(AD$1&amp;":"&amp;D32)</f>
        <v>:</v>
      </c>
      <c r="AE32" s="25" t="str">
        <f>UPPER(AE$1&amp;":"&amp;E32)</f>
        <v>:D2_SPAN</v>
      </c>
      <c r="AF32" s="27" t="str">
        <f>SUBSTITUTE(D32,"_","")</f>
        <v/>
      </c>
      <c r="AG32" s="25" t="str">
        <f>SUBSTITUTE(E32,"_","")&amp;IF(AND(RIGHT(P32)&lt;&gt;"s",RIGHT(Q32)&lt;&gt;"s"),"","")</f>
        <v>d2Span</v>
      </c>
      <c r="AH32" s="25" t="str">
        <f>IF(ISNUMBER(Y32),Y32,"$(P)"&amp;$AE$1&amp;":"&amp;Y32)</f>
        <v>$(P):EN_MONITOR</v>
      </c>
      <c r="AI32" s="25" t="str">
        <f>IF(ISNUMBER(Z32),Z32,"$(P)"&amp;$AE$1&amp;":"&amp;Z32)</f>
        <v>$(P):EN_NEVER</v>
      </c>
      <c r="AJ32" s="25"/>
      <c r="AK32" s="12" t="str">
        <f>IF(AC32="map",IF(G32="float",y_varMapAnalog,IF(G32="int",y_varMapLongint,IF(G32="bool",y_varMapBool,IF(G32="string",y_varMapString,IF(G32="option",y_varMapOption,"#unknown Type"))))),IF(AC32="nmp",y_nonMappedAnalog,""))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32" s="12" t="str">
        <f>VLOOKUP(G32,y_mapProtocolLUT,3)</f>
        <v>@pmac.proto getVar($(VAR)) $(PORT)</v>
      </c>
      <c r="AM32" s="12" t="str">
        <f>VLOOKUP(G32,y_mapProtocolLUT,2)</f>
        <v>@pmac.proto setVar($(VAR)) $(PORT)</v>
      </c>
      <c r="AN32" s="25" t="str">
        <f>IF(LEN(AG32)&gt;0,SUBSTITUTE(SUBSTITUTE(SUBSTITUTE(AK32,"$(DTYP)",y_DTYPE),"$(SETPROTO)",AM32),"$(GETPROTO)",AL32),"")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32" s="25" t="str">
        <f>IFERROR(SUBSTITUTE(SUBSTITUTE(SUBSTITUTE(SUBSTITUTE(SUBSTITUTE(SUBSTITUTE(SUBSTITUTE(SUBSTITUTE(SUBSTITUTE(AN32,"$(Q)",AE32),"$(EGU)",K32),"$(PREC)",N32),"$(VAR)",TRIM(CLEAN(y_dedicatedCS&amp;F32))),"$(GetSB)",AH32),"$(SetSB)",AI32),"$(DESC)",LEFT(I32,40)),"$(ENUMS)",AJ32),"$(DEFAULT)",H32),"")</f>
        <v>_x000D_
# PVs mapping to P2048 of type Analog_x000D_
record(ao, "$(P):D2_SPAN") {_x000D_
  field(DESC, "Inc. axis scan span (span)")_x000D_
  field(OUT, "$(P):D2_SPAN:SET PP MS")_x000D_
  field(PINI, "NO")_x000D_
  field(EGU, "EGU") field(PREC, "4")_x000D_
  field(SDIS, "$(P):D2_SPAN:SCD MS")_x000D_
  field(DISV, "999999")  _x000D_
}_x000D_
record(ai, "$(P):D2_SPAN:RBV") {_x000D_
  field(DESC, "Inc. axis scan span (span) readback")_x000D_
  field(DTYP, "stream")_x000D_
  field(INP, "@pmac.proto getVar(P2048) $(PORT)")_x000D_
  field(SDIS, "$(P):EN_MONITOR NPP MS")_x000D_
  field(DISV, "0")_x000D_
  field(PINI, "NO")_x000D_
  field(DISS, "INVALID")_x000D_
  field(EGU, "EGU") field(PREC, "4")_x000D_
}_x000D_
#% autosave 0 VAL_x000D_
record(ao, "$(P):D2_SPAN:SET") {_x000D_
  field(DTYP, "stream")_x000D_
  field(SDIS, "$(P):D2_SPAN:ROL PP MS")_x000D_
  field(OUT, "@pmac.proto setVar(P2048) $(PORT)")_x000D_
  field(PINI, "YES")_x000D_
  field(FLNK, "$(P):D2_SPAN:SCD")  _x000D_
  field(DISS, "INVALID")_x000D_
}_x000D_
record(calc, "$(P):D2_SPAN:ROL") {_x000D_
  field(CALC, "(!B) || A")_x000D_
  field(INPA, "$(P):D2_SPAN:SYN.PACT")_x000D_
  field(INPB, "$(P):EN_NEVER NPP")_x000D_
  field(PINI, "NO")_x000D_
}_x000D_
record(calcout, "$(P):D2_SPAN:SYN") {_x000D_
 field(INPA, "$(P):D2_SPAN:RBV PP")_x000D_
 field(INPB, "$(P):EN_MONITOR CP MS")_x000D_
 field(INPC, "$(P):EN_NEVER NPP")_x000D_
 field(INPD, "$(P):D2_SPAN:SCD CP MS")_x000D_
 field(INPE, "$(P):D2_SPAN:SET NPP")_x000D_
 field(INPF, "$(P):EN_AUTOSYNC CP")_x000D_
 field(SDIS, "$(P):D2_SPAN:SET.PACT")_x000D_
 field(DISS, "INVALID")_x000D_
 field(CALC, "((D&gt;0)||(F&gt;0))?A:E")_x000D_
 field(OUT, "$(P):D2_SPAN PP MS")_x000D_
 field(PINI, "NO")_x000D_
}_x000D_
record(calc, "$(P):D2_SPAN:SCD") {_x000D_
 field(CALC, "(ABS(B-A)&lt;10^(-C))?1:0")_x000D_
 field(INPA, "$(P):D2_SPAN:RBV CP MS")_x000D_
 field(INPB, "$(P):D2_SPAN:SET CP")_x000D_
 field(INPC, "$(P):D2_SPAN:RBV.PREC")_x000D_
 field(PINI, "YES")_x000D_
 field(VAL,"0")_x000D_
 field(LOLO, "0.5")_x000D_
 field(LLSV, "MINOR") _x000D_
}_x000D_
# -----------------------------_x000D_
#</v>
      </c>
      <c r="AP32" s="25" t="str">
        <f>IF(ISNUMBER(W32),SUBSTITUTE(SUBSTITUTE(SUBSTITUTE(SUBSTITUTE(SUBSTITUTE(SUBSTITUTE(SUBSTITUTE(SUBSTITUTE(y_QLabel &amp; IF(RIGHT(R32)="s",y_QELineEdit,y_QELabel),"~PVNAME",$AE32&amp;IF($AC32="map","","")),"~EGU",$K32),"~PREC",$N32),"~VAR",$F32),"~CANGET",$AH32),"~CANSET",$AI32),"~ROW",W32),"~NAME",$E32),"")</f>
        <v xml:space="preserve">&lt;item row="27" column="0"&gt;
         &lt;widget class="QLabel" name="L_d2_Span"&gt;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&lt;string&gt;d2_Span&lt;/string&gt;
          &lt;/property&gt;
          &lt;property name="margin"&gt;
           &lt;number&gt;3&lt;/number&gt;
          &lt;/property&gt;
         &lt;/widget&gt;
        &lt;/item&gt;
&lt;item row="27" column="1"&gt;
         &lt;widget class="QELabel" name="QL_d2_Span"&gt;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&lt;string&gt;$(P)$(R):D2_SPAN&lt;/string&gt;
          &lt;/property&gt;
         &lt;/widget&gt;
   &lt;/item&gt;
</v>
      </c>
      <c r="AQ32" s="25" t="str">
        <f>IF(ISNUMBER(X32),SUBSTITUTE(SUBSTITUTE(SUBSTITUTE(SUBSTITUTE(SUBSTITUTE(SUBSTITUTE(SUBSTITUTE(SUBSTITUTE(y_QLabel &amp; IF(RIGHT(S32)="s",y_QELineEdit,y_QELabel),"~PVNAME",$AE32&amp;IF($AC32="map",":RBV","")),"~EGU",$K32),"~PREC",$N32),"~VAR",$F32),"~CANGET",$AH32),"~CANSET",$AI32),"~ROW",X32),"~NAME",$E32),"")</f>
        <v/>
      </c>
      <c r="AR32" s="25" t="e">
        <f>VLOOKUP(G32,y_EPICS_Formats,2,FALSE)</f>
        <v>#N/A</v>
      </c>
      <c r="AS32" s="25" t="str">
        <f>IF(AB32="epics",y_Prefix&amp;AE32&amp;" = ","")</f>
        <v xml:space="preserve">SR05ID01FST01:D2_SPAN = </v>
      </c>
      <c r="AT32" s="25" t="str">
        <f>IF(LEN(P32&amp;Q32)&gt;0,IFERROR(";"&amp;I32&amp;"["&amp;K32&amp;"]"&amp;AB32&amp;"("&amp;AC32&amp;")"&amp;CHAR(10)&amp;C32 &amp;CHAR(9)&amp;AG32&amp;CHAR(9)&amp;F32 &amp;CHAR(9),";;Error!"),"")</f>
        <v xml:space="preserve">;Inc. axis scan span (span)[EGU]epics(map)
#define	d2Span	P2048	</v>
      </c>
      <c r="AU32" s="25" t="str">
        <f>IF(IFERROR(AND(AA32&gt;0,LEN(AN32)&gt;0),FALSE),SUBSTITUTE(SUBSTITUTE(SUBSTITUTE(y_archiverXML,"~PVNAME",AE32),"~PREFIX",y_Prefix),"~PERIOD",MIN(30,AA32)),"")</f>
        <v xml:space="preserve">      &lt;channel&gt;
         &lt;name&gt;SR05ID01FST01:D2_SPAN&lt;/name&gt;
         &lt;period&gt;30&lt;/period&gt;
         &lt;monitor/&gt;
      &lt;/channel&gt;</v>
      </c>
      <c r="AV32" s="11">
        <f>IF($AB32="epics",AV$1-LEN(AE32),"")</f>
        <v>11</v>
      </c>
      <c r="AW32" s="11">
        <f>IF($AB32="epics",AW$1-LEN(AH32),"")</f>
        <v>9</v>
      </c>
      <c r="AX32" s="11">
        <f>IF($AB32="epics",AX$1-LEN(AI32),"")</f>
        <v>11</v>
      </c>
      <c r="AY32" s="11">
        <f>IF($AB32="epics",AY$1-LEN(I32)-LEN(" readback"),"")</f>
        <v>5</v>
      </c>
      <c r="AZ32" s="12">
        <f>IF(LEN(F32)&gt;0,IFERROR(VALUE(RIGHT(F32,LEN(F32)-1)),F32),"zzzzz")</f>
        <v>2048</v>
      </c>
      <c r="BA32" s="12">
        <f>IFERROR(VALUE(RIGHT(F32,LEN(F32)-1)),F32)</f>
        <v>2048</v>
      </c>
      <c r="BB32" s="22" t="str">
        <f>y_Prefix&amp;AE32</f>
        <v>SR05ID01FST01:D2_SPAN</v>
      </c>
    </row>
    <row r="33" spans="1:54" ht="12" customHeight="1" x14ac:dyDescent="0.25">
      <c r="A33" s="22">
        <v>29</v>
      </c>
      <c r="B33" s="23"/>
      <c r="C33" s="30" t="str">
        <f>IF(AND(ISBLANK(P33),ISBLANK(Q33)),";","#define")</f>
        <v>#define</v>
      </c>
      <c r="D33" s="28"/>
      <c r="E33" s="22" t="s">
        <v>602</v>
      </c>
      <c r="F33" s="10" t="s">
        <v>603</v>
      </c>
      <c r="G33" s="10" t="s">
        <v>77</v>
      </c>
      <c r="H33" s="10"/>
      <c r="I33" s="61" t="s">
        <v>604</v>
      </c>
      <c r="J33" s="10" t="s">
        <v>363</v>
      </c>
      <c r="K33" s="10" t="s">
        <v>560</v>
      </c>
      <c r="L33" s="10">
        <v>-9999999</v>
      </c>
      <c r="M33" s="10">
        <v>9999999</v>
      </c>
      <c r="N33" s="10">
        <v>4</v>
      </c>
      <c r="O33" s="15"/>
      <c r="P33" s="49" t="s">
        <v>35</v>
      </c>
      <c r="Q33" s="49"/>
      <c r="R33" s="49" t="s">
        <v>365</v>
      </c>
      <c r="S33" s="49"/>
      <c r="T33" s="49"/>
      <c r="U33" s="49"/>
      <c r="V33" s="49"/>
      <c r="W33" s="98">
        <v>28</v>
      </c>
      <c r="Y33" s="31" t="s">
        <v>785</v>
      </c>
      <c r="Z33" s="31" t="s">
        <v>785</v>
      </c>
      <c r="AA33" s="31">
        <v>30</v>
      </c>
      <c r="AB33" s="55" t="str">
        <f>IF(LEN(R33&amp;S33&amp;T33&amp;U33&amp;V33)&gt;0,"epics","")</f>
        <v>epics</v>
      </c>
      <c r="AC33" s="52" t="str">
        <f>IF(NOT(ISBLANK(V33)),"base",IF(AB33="epics",IF(AND(ISBLANK(P33),ISBLANK(Q33)),"nmp","map"),""))</f>
        <v>map</v>
      </c>
      <c r="AD33" s="27" t="str">
        <f>UPPER(AD$1&amp;":"&amp;D33)</f>
        <v>:</v>
      </c>
      <c r="AE33" s="25" t="str">
        <f>UPPER(AE$1&amp;":"&amp;E33)</f>
        <v>:D2_START</v>
      </c>
      <c r="AF33" s="27" t="str">
        <f>SUBSTITUTE(D33,"_","")</f>
        <v/>
      </c>
      <c r="AG33" s="25" t="str">
        <f>SUBSTITUTE(E33,"_","")&amp;IF(AND(RIGHT(P33)&lt;&gt;"s",RIGHT(Q33)&lt;&gt;"s"),"","")</f>
        <v>d2Start</v>
      </c>
      <c r="AH33" s="25" t="str">
        <f>IF(ISNUMBER(Y33),Y33,"$(P)"&amp;$AE$1&amp;":"&amp;Y33)</f>
        <v>$(P):EN_MONITOR</v>
      </c>
      <c r="AI33" s="25" t="str">
        <f>IF(ISNUMBER(Z33),Z33,"$(P)"&amp;$AE$1&amp;":"&amp;Z33)</f>
        <v>$(P):EN_MONITOR</v>
      </c>
      <c r="AJ33" s="25"/>
      <c r="AK33" s="12" t="str">
        <f>IF(AC33="map",IF(G33="float",y_varMapAnalog,IF(G33="int",y_varMapLongint,IF(G33="bool",y_varMapBool,IF(G33="string",y_varMapString,IF(G33="option",y_varMapOption,"#unknown Type"))))),IF(AC33="nmp",y_nonMappedAnalog,""))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33" s="12" t="str">
        <f>VLOOKUP(G33,y_mapProtocolLUT,3)</f>
        <v>@pmac.proto getVar($(VAR)) $(PORT)</v>
      </c>
      <c r="AM33" s="12" t="str">
        <f>VLOOKUP(G33,y_mapProtocolLUT,2)</f>
        <v>@pmac.proto setVar($(VAR)) $(PORT)</v>
      </c>
      <c r="AN33" s="25" t="str">
        <f>IF(LEN(AG33)&gt;0,SUBSTITUTE(SUBSTITUTE(SUBSTITUTE(AK33,"$(DTYP)",y_DTYPE),"$(SETPROTO)",AM33),"$(GETPROTO)",AL33),"")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33" s="25" t="str">
        <f>IFERROR(SUBSTITUTE(SUBSTITUTE(SUBSTITUTE(SUBSTITUTE(SUBSTITUTE(SUBSTITUTE(SUBSTITUTE(SUBSTITUTE(SUBSTITUTE(AN33,"$(Q)",AE33),"$(EGU)",K33),"$(PREC)",N33),"$(VAR)",TRIM(CLEAN(y_dedicatedCS&amp;F33))),"$(GetSB)",AH33),"$(SetSB)",AI33),"$(DESC)",LEFT(I33,40)),"$(ENUMS)",AJ33),"$(DEFAULT)",H33),"")</f>
        <v>_x000D_
# PVs mapping to P2014 of type Analog_x000D_
record(ao, "$(P):D2_START") {_x000D_
  field(DESC, "Inc. axis scan start position")_x000D_
  field(OUT, "$(P):D2_START:SET PP MS")_x000D_
  field(PINI, "NO")_x000D_
  field(EGU, "EGU") field(PREC, "4")_x000D_
  field(SDIS, "$(P):D2_START:SCD MS")_x000D_
  field(DISV, "999999")  _x000D_
}_x000D_
record(ai, "$(P):D2_START:RBV") {_x000D_
  field(DESC, "Inc. axis scan start position readback")_x000D_
  field(DTYP, "stream")_x000D_
  field(INP, "@pmac.proto getVar(P2014) $(PORT)")_x000D_
  field(SDIS, "$(P):EN_MONITOR NPP MS")_x000D_
  field(DISV, "0")_x000D_
  field(PINI, "NO")_x000D_
  field(DISS, "INVALID")_x000D_
  field(EGU, "EGU") field(PREC, "4")_x000D_
}_x000D_
#% autosave 0 VAL_x000D_
record(ao, "$(P):D2_START:SET") {_x000D_
  field(DTYP, "stream")_x000D_
  field(SDIS, "$(P):D2_START:ROL PP MS")_x000D_
  field(OUT, "@pmac.proto setVar(P2014) $(PORT)")_x000D_
  field(PINI, "YES")_x000D_
  field(FLNK, "$(P):D2_START:SCD")  _x000D_
  field(DISS, "INVALID")_x000D_
}_x000D_
record(calc, "$(P):D2_START:ROL") {_x000D_
  field(CALC, "(!B) || A")_x000D_
  field(INPA, "$(P):D2_START:SYN.PACT")_x000D_
  field(INPB, "$(P):EN_MONITOR NPP")_x000D_
  field(PINI, "NO")_x000D_
}_x000D_
record(calcout, "$(P):D2_START:SYN") {_x000D_
 field(INPA, "$(P):D2_START:RBV PP")_x000D_
 field(INPB, "$(P):EN_MONITOR CP MS")_x000D_
 field(INPC, "$(P):EN_MONITOR NPP")_x000D_
 field(INPD, "$(P):D2_START:SCD CP MS")_x000D_
 field(INPE, "$(P):D2_START:SET NPP")_x000D_
 field(INPF, "$(P):EN_AUTOSYNC CP")_x000D_
 field(SDIS, "$(P):D2_START:SET.PACT")_x000D_
 field(DISS, "INVALID")_x000D_
 field(CALC, "((D&gt;0)||(F&gt;0))?A:E")_x000D_
 field(OUT, "$(P):D2_START PP MS")_x000D_
 field(PINI, "NO")_x000D_
}_x000D_
record(calc, "$(P):D2_START:SCD") {_x000D_
 field(CALC, "(ABS(B-A)&lt;10^(-C))?1:0")_x000D_
 field(INPA, "$(P):D2_START:RBV CP MS")_x000D_
 field(INPB, "$(P):D2_START:SET CP")_x000D_
 field(INPC, "$(P):D2_START:RBV.PREC")_x000D_
 field(PINI, "YES")_x000D_
 field(VAL,"0")_x000D_
 field(LOLO, "0.5")_x000D_
 field(LLSV, "MINOR") _x000D_
}_x000D_
# -----------------------------_x000D_
#</v>
      </c>
      <c r="AP33" s="25" t="str">
        <f>IF(ISNUMBER(W33),SUBSTITUTE(SUBSTITUTE(SUBSTITUTE(SUBSTITUTE(SUBSTITUTE(SUBSTITUTE(SUBSTITUTE(SUBSTITUTE(y_QLabel &amp; IF(RIGHT(R33)="s",y_QELineEdit,y_QELabel),"~PVNAME",$AE33&amp;IF($AC33="map","","")),"~EGU",$K33),"~PREC",$N33),"~VAR",$F33),"~CANGET",$AH33),"~CANSET",$AI33),"~ROW",W33),"~NAME",$E33),"")</f>
        <v>&lt;item row="28" column="0"&gt;
         &lt;widget class="QLabel" name="L_d2_Start"&gt;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&lt;string&gt;d2_Start&lt;/string&gt;
          &lt;/property&gt;
          &lt;property name="margin"&gt;
           &lt;number&gt;3&lt;/number&gt;
          &lt;/property&gt;
         &lt;/widget&gt;
        &lt;/item&gt;
&lt;item row="28" column="2"&gt;
            &lt;widget class="QELineEdit" name="QLD_d2_Start"&gt;
             &lt;property name="variable" stdset="0"&gt;
              &lt;string&gt;$(P)$(R):D2_START&lt;/string&gt;
             &lt;/property&gt;
             &lt;property name="addUnits"&gt;
             &lt;bool&gt;true&lt;/bool&gt;
             &lt;/property&gt;
            &lt;/widget&gt;
           &lt;/item&gt;</v>
      </c>
      <c r="AQ33" s="25" t="str">
        <f>IF(ISNUMBER(X33),SUBSTITUTE(SUBSTITUTE(SUBSTITUTE(SUBSTITUTE(SUBSTITUTE(SUBSTITUTE(SUBSTITUTE(SUBSTITUTE(y_QLabel &amp; IF(RIGHT(S33)="s",y_QELineEdit,y_QELabel),"~PVNAME",$AE33&amp;IF($AC33="map",":RBV","")),"~EGU",$K33),"~PREC",$N33),"~VAR",$F33),"~CANGET",$AH33),"~CANSET",$AI33),"~ROW",X33),"~NAME",$E33),"")</f>
        <v/>
      </c>
      <c r="AR33" s="25" t="e">
        <f>VLOOKUP(G33,y_EPICS_Formats,2,FALSE)</f>
        <v>#N/A</v>
      </c>
      <c r="AS33" s="25" t="str">
        <f>IF(AB33="epics",y_Prefix&amp;AE33&amp;" = ","")</f>
        <v xml:space="preserve">SR05ID01FST01:D2_START = </v>
      </c>
      <c r="AT33" s="25" t="str">
        <f>IF(LEN(P33&amp;Q33)&gt;0,IFERROR(";"&amp;I33&amp;"["&amp;K33&amp;"]"&amp;AB33&amp;"("&amp;AC33&amp;")"&amp;CHAR(10)&amp;C33 &amp;CHAR(9)&amp;AG33&amp;CHAR(9)&amp;F33 &amp;CHAR(9),";;Error!"),"")</f>
        <v xml:space="preserve">;Inc. axis scan start position[EGU]epics(map)
#define	d2Start	P2014	</v>
      </c>
      <c r="AU33" s="25" t="str">
        <f>IF(IFERROR(AND(AA33&gt;0,LEN(AN33)&gt;0),FALSE),SUBSTITUTE(SUBSTITUTE(SUBSTITUTE(y_archiverXML,"~PVNAME",AE33),"~PREFIX",y_Prefix),"~PERIOD",MIN(30,AA33)),"")</f>
        <v xml:space="preserve">      &lt;channel&gt;
         &lt;name&gt;SR05ID01FST01:D2_START&lt;/name&gt;
         &lt;period&gt;30&lt;/period&gt;
         &lt;monitor/&gt;
      &lt;/channel&gt;</v>
      </c>
      <c r="AV33" s="11">
        <f>IF($AB33="epics",AV$1-LEN(AE33),"")</f>
        <v>10</v>
      </c>
      <c r="AW33" s="11">
        <f>IF($AB33="epics",AW$1-LEN(AH33),"")</f>
        <v>9</v>
      </c>
      <c r="AX33" s="11">
        <f>IF($AB33="epics",AX$1-LEN(AI33),"")</f>
        <v>9</v>
      </c>
      <c r="AY33" s="11">
        <f>IF($AB33="epics",AY$1-LEN(I33)-LEN(" readback"),"")</f>
        <v>2</v>
      </c>
      <c r="AZ33" s="12">
        <f>IF(LEN(F33)&gt;0,IFERROR(VALUE(RIGHT(F33,LEN(F33)-1)),F33),"zzzzz")</f>
        <v>2014</v>
      </c>
      <c r="BA33" s="12">
        <f>IFERROR(VALUE(RIGHT(F33,LEN(F33)-1)),F33)</f>
        <v>2014</v>
      </c>
      <c r="BB33" s="22" t="str">
        <f>y_Prefix&amp;AE33</f>
        <v>SR05ID01FST01:D2_START</v>
      </c>
    </row>
    <row r="34" spans="1:54" ht="16.5" customHeight="1" x14ac:dyDescent="0.25">
      <c r="A34" s="22">
        <v>30</v>
      </c>
      <c r="B34" s="23"/>
      <c r="C34" s="30" t="str">
        <f>IF(AND(ISBLANK(P34),ISBLANK(Q34)),";","#define")</f>
        <v>#define</v>
      </c>
      <c r="D34" s="29"/>
      <c r="E34" s="24" t="s">
        <v>605</v>
      </c>
      <c r="F34" s="10" t="s">
        <v>606</v>
      </c>
      <c r="G34" s="10" t="s">
        <v>77</v>
      </c>
      <c r="H34" s="10"/>
      <c r="I34" s="61" t="s">
        <v>607</v>
      </c>
      <c r="J34" s="10" t="s">
        <v>363</v>
      </c>
      <c r="K34" s="10" t="s">
        <v>560</v>
      </c>
      <c r="L34" s="10">
        <v>0</v>
      </c>
      <c r="M34" s="10">
        <v>9999999</v>
      </c>
      <c r="N34" s="10">
        <v>4</v>
      </c>
      <c r="O34" s="15"/>
      <c r="P34" s="49" t="s">
        <v>35</v>
      </c>
      <c r="Q34" s="49"/>
      <c r="R34" s="49" t="s">
        <v>365</v>
      </c>
      <c r="S34" s="49"/>
      <c r="T34" s="49" t="s">
        <v>35</v>
      </c>
      <c r="U34" s="49"/>
      <c r="V34" s="49"/>
      <c r="W34" s="98">
        <v>29</v>
      </c>
      <c r="Y34" s="31" t="s">
        <v>784</v>
      </c>
      <c r="Z34" s="31" t="s">
        <v>784</v>
      </c>
      <c r="AA34" s="31">
        <v>30</v>
      </c>
      <c r="AB34" s="55" t="str">
        <f>IF(LEN(R34&amp;S34&amp;T34&amp;U34&amp;V34)&gt;0,"epics","")</f>
        <v>epics</v>
      </c>
      <c r="AC34" s="52" t="str">
        <f>IF(NOT(ISBLANK(V34)),"base",IF(AB34="epics",IF(AND(ISBLANK(P34),ISBLANK(Q34)),"nmp","map"),""))</f>
        <v>map</v>
      </c>
      <c r="AD34" s="27" t="str">
        <f>UPPER(AD$1&amp;":"&amp;D34)</f>
        <v>:</v>
      </c>
      <c r="AE34" s="25" t="str">
        <f>UPPER(AE$1&amp;":"&amp;E34)</f>
        <v>:D2_STEP</v>
      </c>
      <c r="AF34" s="27" t="str">
        <f>SUBSTITUTE(D34,"_","")</f>
        <v/>
      </c>
      <c r="AG34" s="25" t="str">
        <f>SUBSTITUTE(E34,"_","")&amp;IF(AND(RIGHT(P34)&lt;&gt;"s",RIGHT(Q34)&lt;&gt;"s"),"","")</f>
        <v>d2Step</v>
      </c>
      <c r="AH34" s="25" t="str">
        <f>IF(ISNUMBER(Y34),Y34,"$(P)"&amp;$AE$1&amp;":"&amp;Y34)</f>
        <v>$(P):EN_TRAJSET</v>
      </c>
      <c r="AI34" s="25" t="str">
        <f>IF(ISNUMBER(Z34),Z34,"$(P)"&amp;$AE$1&amp;":"&amp;Z34)</f>
        <v>$(P):EN_TRAJSET</v>
      </c>
      <c r="AJ34" s="25"/>
      <c r="AK34" s="12" t="str">
        <f>IF(AC34="map",IF(G34="float",y_varMapAnalog,IF(G34="int",y_varMapLongint,IF(G34="bool",y_varMapBool,IF(G34="string",y_varMapString,IF(G34="option",y_varMapOption,"#unknown Type"))))),IF(AC34="nmp",y_nonMappedAnalog,""))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34" s="12" t="str">
        <f>VLOOKUP(G34,y_mapProtocolLUT,3)</f>
        <v>@pmac.proto getVar($(VAR)) $(PORT)</v>
      </c>
      <c r="AM34" s="12" t="str">
        <f>VLOOKUP(G34,y_mapProtocolLUT,2)</f>
        <v>@pmac.proto setVar($(VAR)) $(PORT)</v>
      </c>
      <c r="AN34" s="25" t="str">
        <f>IF(LEN(AG34)&gt;0,SUBSTITUTE(SUBSTITUTE(SUBSTITUTE(AK34,"$(DTYP)",y_DTYPE),"$(SETPROTO)",AM34),"$(GETPROTO)",AL34),"")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34" s="25" t="str">
        <f>IFERROR(SUBSTITUTE(SUBSTITUTE(SUBSTITUTE(SUBSTITUTE(SUBSTITUTE(SUBSTITUTE(SUBSTITUTE(SUBSTITUTE(SUBSTITUTE(AN34,"$(Q)",AE34),"$(EGU)",K34),"$(PREC)",N34),"$(VAR)",TRIM(CLEAN(y_dedicatedCS&amp;F34))),"$(GetSB)",AH34),"$(SetSB)",AI34),"$(DESC)",LEFT(I34,40)),"$(ENUMS)",AJ34),"$(DEFAULT)",H34),"")</f>
        <v>_x000D_
# PVs mapping to P2006 of type Analog_x000D_
record(ao, "$(P):D2_STEP") {_x000D_
  field(DESC, "Inc. axis line separation")_x000D_
  field(OUT, "$(P):D2_STEP:SET PP MS")_x000D_
  field(PINI, "NO")_x000D_
  field(EGU, "EGU") field(PREC, "4")_x000D_
  field(SDIS, "$(P):D2_STEP:SCD MS")_x000D_
  field(DISV, "999999")  _x000D_
}_x000D_
record(ai, "$(P):D2_STEP:RBV") {_x000D_
  field(DESC, "Inc. axis line separation readback")_x000D_
  field(DTYP, "stream")_x000D_
  field(INP, "@pmac.proto getVar(P2006) $(PORT)")_x000D_
  field(SDIS, "$(P):EN_TRAJSET NPP MS")_x000D_
  field(DISV, "0")_x000D_
  field(PINI, "NO")_x000D_
  field(DISS, "INVALID")_x000D_
  field(EGU, "EGU") field(PREC, "4")_x000D_
}_x000D_
#% autosave 0 VAL_x000D_
record(ao, "$(P):D2_STEP:SET") {_x000D_
  field(DTYP, "stream")_x000D_
  field(SDIS, "$(P):D2_STEP:ROL PP MS")_x000D_
  field(OUT, "@pmac.proto setVar(P2006) $(PORT)")_x000D_
  field(PINI, "YES")_x000D_
  field(FLNK, "$(P):D2_STEP:SCD")  _x000D_
  field(DISS, "INVALID")_x000D_
}_x000D_
record(calc, "$(P):D2_STEP:ROL") {_x000D_
  field(CALC, "(!B) || A")_x000D_
  field(INPA, "$(P):D2_STEP:SYN.PACT")_x000D_
  field(INPB, "$(P):EN_TRAJSET NPP")_x000D_
  field(PINI, "NO")_x000D_
}_x000D_
record(calcout, "$(P):D2_STEP:SYN") {_x000D_
 field(INPA, "$(P):D2_STEP:RBV PP")_x000D_
 field(INPB, "$(P):EN_TRAJSET CP MS")_x000D_
 field(INPC, "$(P):EN_TRAJSET NPP")_x000D_
 field(INPD, "$(P):D2_STEP:SCD CP MS")_x000D_
 field(INPE, "$(P):D2_STEP:SET NPP")_x000D_
 field(INPF, "$(P):EN_AUTOSYNC CP")_x000D_
 field(SDIS, "$(P):D2_STEP:SET.PACT")_x000D_
 field(DISS, "INVALID")_x000D_
 field(CALC, "((D&gt;0)||(F&gt;0))?A:E")_x000D_
 field(OUT, "$(P):D2_STEP PP MS")_x000D_
 field(PINI, "NO")_x000D_
}_x000D_
record(calc, "$(P):D2_STEP:SCD") {_x000D_
 field(CALC, "(ABS(B-A)&lt;10^(-C))?1:0")_x000D_
 field(INPA, "$(P):D2_STEP:RBV CP MS")_x000D_
 field(INPB, "$(P):D2_STEP:SET CP")_x000D_
 field(INPC, "$(P):D2_STEP:RBV.PREC")_x000D_
 field(PINI, "YES")_x000D_
 field(VAL,"0")_x000D_
 field(LOLO, "0.5")_x000D_
 field(LLSV, "MINOR") _x000D_
}_x000D_
# -----------------------------_x000D_
#</v>
      </c>
      <c r="AP34" s="25" t="str">
        <f>IF(ISNUMBER(W34),SUBSTITUTE(SUBSTITUTE(SUBSTITUTE(SUBSTITUTE(SUBSTITUTE(SUBSTITUTE(SUBSTITUTE(SUBSTITUTE(y_QLabel &amp; IF(RIGHT(R34)="s",y_QELineEdit,y_QELabel),"~PVNAME",$AE34&amp;IF($AC34="map","","")),"~EGU",$K34),"~PREC",$N34),"~VAR",$F34),"~CANGET",$AH34),"~CANSET",$AI34),"~ROW",W34),"~NAME",$E34),"")</f>
        <v>&lt;item row="29" column="0"&gt;
         &lt;widget class="QLabel" name="L_d2_Step"&gt;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&lt;string&gt;d2_Step&lt;/string&gt;
          &lt;/property&gt;
          &lt;property name="margin"&gt;
           &lt;number&gt;3&lt;/number&gt;
          &lt;/property&gt;
         &lt;/widget&gt;
        &lt;/item&gt;
&lt;item row="29" column="2"&gt;
            &lt;widget class="QELineEdit" name="QLD_d2_Step"&gt;
             &lt;property name="variable" stdset="0"&gt;
              &lt;string&gt;$(P)$(R):D2_STEP&lt;/string&gt;
             &lt;/property&gt;
             &lt;property name="addUnits"&gt;
             &lt;bool&gt;true&lt;/bool&gt;
             &lt;/property&gt;
            &lt;/widget&gt;
           &lt;/item&gt;</v>
      </c>
      <c r="AQ34" s="25" t="str">
        <f>IF(ISNUMBER(X34),SUBSTITUTE(SUBSTITUTE(SUBSTITUTE(SUBSTITUTE(SUBSTITUTE(SUBSTITUTE(SUBSTITUTE(SUBSTITUTE(y_QLabel &amp; IF(RIGHT(S34)="s",y_QELineEdit,y_QELabel),"~PVNAME",$AE34&amp;IF($AC34="map",":RBV","")),"~EGU",$K34),"~PREC",$N34),"~VAR",$F34),"~CANGET",$AH34),"~CANSET",$AI34),"~ROW",X34),"~NAME",$E34),"")</f>
        <v/>
      </c>
      <c r="AR34" s="25" t="e">
        <f>VLOOKUP(G34,y_EPICS_Formats,2,FALSE)</f>
        <v>#N/A</v>
      </c>
      <c r="AS34" s="25" t="str">
        <f>IF(AB34="epics",y_Prefix&amp;AE34&amp;" = ","")</f>
        <v xml:space="preserve">SR05ID01FST01:D2_STEP = </v>
      </c>
      <c r="AT34" s="25" t="str">
        <f>IF(LEN(P34&amp;Q34)&gt;0,IFERROR(";"&amp;I34&amp;"["&amp;K34&amp;"]"&amp;AB34&amp;"("&amp;AC34&amp;")"&amp;CHAR(10)&amp;C34 &amp;CHAR(9)&amp;AG34&amp;CHAR(9)&amp;F34 &amp;CHAR(9),";;Error!"),"")</f>
        <v xml:space="preserve">;Inc. axis line separation[EGU]epics(map)
#define	d2Step	P2006	</v>
      </c>
      <c r="AU34" s="25" t="str">
        <f>IF(IFERROR(AND(AA34&gt;0,LEN(AN34)&gt;0),FALSE),SUBSTITUTE(SUBSTITUTE(SUBSTITUTE(y_archiverXML,"~PVNAME",AE34),"~PREFIX",y_Prefix),"~PERIOD",MIN(30,AA34)),"")</f>
        <v xml:space="preserve">      &lt;channel&gt;
         &lt;name&gt;SR05ID01FST01:D2_STEP&lt;/name&gt;
         &lt;period&gt;30&lt;/period&gt;
         &lt;monitor/&gt;
      &lt;/channel&gt;</v>
      </c>
      <c r="AV34" s="11">
        <f>IF($AB34="epics",AV$1-LEN(AE34),"")</f>
        <v>11</v>
      </c>
      <c r="AW34" s="11">
        <f>IF($AB34="epics",AW$1-LEN(AH34),"")</f>
        <v>9</v>
      </c>
      <c r="AX34" s="11">
        <f>IF($AB34="epics",AX$1-LEN(AI34),"")</f>
        <v>9</v>
      </c>
      <c r="AY34" s="11">
        <f>IF($AB34="epics",AY$1-LEN(I34)-LEN(" readback"),"")</f>
        <v>6</v>
      </c>
      <c r="AZ34" s="12">
        <f>IF(LEN(F34)&gt;0,IFERROR(VALUE(RIGHT(F34,LEN(F34)-1)),F34),"zzzzz")</f>
        <v>2006</v>
      </c>
      <c r="BA34" s="12">
        <f>IFERROR(VALUE(RIGHT(F34,LEN(F34)-1)),F34)</f>
        <v>2006</v>
      </c>
      <c r="BB34" s="22" t="str">
        <f>y_Prefix&amp;AE34</f>
        <v>SR05ID01FST01:D2_STEP</v>
      </c>
    </row>
    <row r="35" spans="1:54" x14ac:dyDescent="0.25">
      <c r="A35" s="22">
        <v>31</v>
      </c>
      <c r="B35" s="23"/>
      <c r="C35" s="30" t="str">
        <f>IF(AND(ISBLANK(P35),ISBLANK(Q35)),";","#define")</f>
        <v>;</v>
      </c>
      <c r="D35" s="29"/>
      <c r="E35" s="24" t="s">
        <v>608</v>
      </c>
      <c r="F35" s="10" t="s">
        <v>41</v>
      </c>
      <c r="G35" s="10" t="s">
        <v>77</v>
      </c>
      <c r="H35" s="10"/>
      <c r="I35" s="61" t="s">
        <v>609</v>
      </c>
      <c r="J35" s="10" t="s">
        <v>364</v>
      </c>
      <c r="K35" s="10"/>
      <c r="L35" s="10">
        <v>-9999999</v>
      </c>
      <c r="M35" s="10">
        <v>9999999</v>
      </c>
      <c r="N35" s="10">
        <v>2</v>
      </c>
      <c r="O35" s="15"/>
      <c r="P35" s="49"/>
      <c r="Q35" s="49"/>
      <c r="R35" s="49" t="s">
        <v>365</v>
      </c>
      <c r="S35" s="49"/>
      <c r="T35" s="49" t="s">
        <v>35</v>
      </c>
      <c r="U35" s="49"/>
      <c r="V35" s="49"/>
      <c r="W35" s="98">
        <v>30</v>
      </c>
      <c r="Y35" s="31" t="s">
        <v>784</v>
      </c>
      <c r="Z35" s="31" t="s">
        <v>784</v>
      </c>
      <c r="AA35" s="31">
        <v>30</v>
      </c>
      <c r="AB35" s="55" t="str">
        <f>IF(LEN(R35&amp;S35&amp;T35&amp;U35&amp;V35)&gt;0,"epics","")</f>
        <v>epics</v>
      </c>
      <c r="AC35" s="52" t="str">
        <f>IF(NOT(ISBLANK(V35)),"base",IF(AB35="epics",IF(AND(ISBLANK(P35),ISBLANK(Q35)),"nmp","map"),""))</f>
        <v>nmp</v>
      </c>
      <c r="AD35" s="27" t="str">
        <f>UPPER(AD$1&amp;":"&amp;D35)</f>
        <v>:</v>
      </c>
      <c r="AE35" s="25" t="str">
        <f>UPPER(AE$1&amp;":"&amp;E35)</f>
        <v>:D2_TOLRATIO</v>
      </c>
      <c r="AF35" s="27" t="str">
        <f>SUBSTITUTE(D35,"_","")</f>
        <v/>
      </c>
      <c r="AG35" s="25" t="str">
        <f>SUBSTITUTE(E35,"_","")&amp;IF(AND(RIGHT(P35)&lt;&gt;"s",RIGHT(Q35)&lt;&gt;"s"),"","")</f>
        <v>d2TolRatio</v>
      </c>
      <c r="AH35" s="25" t="str">
        <f>IF(ISNUMBER(Y35),Y35,"$(P)"&amp;$AE$1&amp;":"&amp;Y35)</f>
        <v>$(P):EN_TRAJSET</v>
      </c>
      <c r="AI35" s="25" t="str">
        <f>IF(ISNUMBER(Z35),Z35,"$(P)"&amp;$AE$1&amp;":"&amp;Z35)</f>
        <v>$(P):EN_TRAJSET</v>
      </c>
      <c r="AJ35" s="25"/>
      <c r="AK35" s="12" t="str">
        <f>IF(AC35="map",IF(G35="float",y_varMapAnalog,IF(G35="int",y_varMapLongint,IF(G35="bool",y_varMapBool,IF(G35="string",y_varMapString,IF(G35="option",y_varMapOption,"#unknown Type"))))),IF(AC35="nmp",y_nonMappedAnalog,""))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35" s="12" t="str">
        <f>VLOOKUP(G35,y_mapProtocolLUT,3)</f>
        <v>@pmac.proto getVar($(VAR)) $(PORT)</v>
      </c>
      <c r="AM35" s="12" t="str">
        <f>VLOOKUP(G35,y_mapProtocolLUT,2)</f>
        <v>@pmac.proto setVar($(VAR)) $(PORT)</v>
      </c>
      <c r="AN35" s="25" t="str">
        <f>IF(LEN(AG35)&gt;0,SUBSTITUTE(SUBSTITUTE(SUBSTITUTE(AK35,"$(DTYP)",y_DTYPE),"$(SETPROTO)",AM35),"$(GETPROTO)",AL35),"")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35" s="25" t="str">
        <f>IFERROR(SUBSTITUTE(SUBSTITUTE(SUBSTITUTE(SUBSTITUTE(SUBSTITUTE(SUBSTITUTE(SUBSTITUTE(SUBSTITUTE(SUBSTITUTE(AN35,"$(Q)",AE35),"$(EGU)",K35),"$(PREC)",N35),"$(VAR)",TRIM(CLEAN(y_dedicatedCS&amp;F35))),"$(GetSB)",AH35),"$(SetSB)",AI35),"$(DESC)",LEFT(I35,40)),"$(ENUMS)",AJ35),"$(DEFAULT)",H35),"")</f>
        <v># non-mapped PV
#% autosave 0 VAL
record(ai, "$(P):D2_TOLRATIO") {
  field(DESC, "Inc. axis tolerance ratio")
  field(PINI, "YES")
  field(EGU, "")
  field(PREC, "2")
  field(VAL,"")
  field(SDIS, "$(P):EN_TRAJSET CP MS")
  field(DISV, "0")
  field(DISS, "INVALID")
}
#--------------</v>
      </c>
      <c r="AP35" s="25" t="str">
        <f>IF(ISNUMBER(W35),SUBSTITUTE(SUBSTITUTE(SUBSTITUTE(SUBSTITUTE(SUBSTITUTE(SUBSTITUTE(SUBSTITUTE(SUBSTITUTE(y_QLabel &amp; IF(RIGHT(R35)="s",y_QELineEdit,y_QELabel),"~PVNAME",$AE35&amp;IF($AC35="map","","")),"~EGU",$K35),"~PREC",$N35),"~VAR",$F35),"~CANGET",$AH35),"~CANSET",$AI35),"~ROW",W35),"~NAME",$E35),"")</f>
        <v>&lt;item row="30" column="0"&gt;
         &lt;widget class="QLabel" name="L_d2_TolRatio"&gt;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&lt;string&gt;d2_TolRatio&lt;/string&gt;
          &lt;/property&gt;
          &lt;property name="margin"&gt;
           &lt;number&gt;3&lt;/number&gt;
          &lt;/property&gt;
         &lt;/widget&gt;
        &lt;/item&gt;
&lt;item row="30" column="2"&gt;
            &lt;widget class="QELineEdit" name="QLD_d2_TolRatio"&gt;
             &lt;property name="variable" stdset="0"&gt;
              &lt;string&gt;$(P)$(R):D2_TOLRATIO&lt;/string&gt;
             &lt;/property&gt;
             &lt;property name="addUnits"&gt;
             &lt;bool&gt;true&lt;/bool&gt;
             &lt;/property&gt;
            &lt;/widget&gt;
           &lt;/item&gt;</v>
      </c>
      <c r="AQ35" s="25" t="str">
        <f>IF(ISNUMBER(X35),SUBSTITUTE(SUBSTITUTE(SUBSTITUTE(SUBSTITUTE(SUBSTITUTE(SUBSTITUTE(SUBSTITUTE(SUBSTITUTE(y_QLabel &amp; IF(RIGHT(S35)="s",y_QELineEdit,y_QELabel),"~PVNAME",$AE35&amp;IF($AC35="map",":RBV","")),"~EGU",$K35),"~PREC",$N35),"~VAR",$F35),"~CANGET",$AH35),"~CANSET",$AI35),"~ROW",X35),"~NAME",$E35),"")</f>
        <v/>
      </c>
      <c r="AR35" s="25" t="e">
        <f>VLOOKUP(G35,y_EPICS_Formats,2,FALSE)</f>
        <v>#N/A</v>
      </c>
      <c r="AS35" s="25" t="str">
        <f>IF(AB35="epics",y_Prefix&amp;AE35&amp;" = ","")</f>
        <v xml:space="preserve">SR05ID01FST01:D2_TOLRATIO = </v>
      </c>
      <c r="AT35" s="25" t="str">
        <f>IF(LEN(P35&amp;Q35)&gt;0,IFERROR(";"&amp;I35&amp;"["&amp;K35&amp;"]"&amp;AB35&amp;"("&amp;AC35&amp;")"&amp;CHAR(10)&amp;C35 &amp;CHAR(9)&amp;AG35&amp;CHAR(9)&amp;F35 &amp;CHAR(9),";;Error!"),"")</f>
        <v/>
      </c>
      <c r="AU35" s="25" t="str">
        <f>IF(IFERROR(AND(AA35&gt;0,LEN(AN35)&gt;0),FALSE),SUBSTITUTE(SUBSTITUTE(SUBSTITUTE(y_archiverXML,"~PVNAME",AE35),"~PREFIX",y_Prefix),"~PERIOD",MIN(30,AA35)),"")</f>
        <v xml:space="preserve">      &lt;channel&gt;
         &lt;name&gt;SR05ID01FST01:D2_TOLRATIO&lt;/name&gt;
         &lt;period&gt;30&lt;/period&gt;
         &lt;monitor/&gt;
      &lt;/channel&gt;</v>
      </c>
      <c r="AV35" s="11">
        <f>IF($AB35="epics",AV$1-LEN(AE35),"")</f>
        <v>7</v>
      </c>
      <c r="AW35" s="11">
        <f>IF($AB35="epics",AW$1-LEN(AH35),"")</f>
        <v>9</v>
      </c>
      <c r="AX35" s="11">
        <f>IF($AB35="epics",AX$1-LEN(AI35),"")</f>
        <v>9</v>
      </c>
      <c r="AY35" s="11">
        <f>IF($AB35="epics",AY$1-LEN(I35)-LEN(" readback"),"")</f>
        <v>6</v>
      </c>
      <c r="AZ35" s="12" t="str">
        <f>IF(LEN(F35)&gt;0,IFERROR(VALUE(RIGHT(F35,LEN(F35)-1)),F35),"zzzzz")</f>
        <v>none</v>
      </c>
      <c r="BA35" s="12" t="str">
        <f>IFERROR(VALUE(RIGHT(F35,LEN(F35)-1)),F35)</f>
        <v>none</v>
      </c>
      <c r="BB35" s="22" t="str">
        <f>y_Prefix&amp;AE35</f>
        <v>SR05ID01FST01:D2_TOLRATIO</v>
      </c>
    </row>
    <row r="36" spans="1:54" x14ac:dyDescent="0.25">
      <c r="A36" s="22">
        <v>32</v>
      </c>
      <c r="B36" s="23"/>
      <c r="C36" s="30" t="str">
        <f>IF(AND(ISBLANK(P36),ISBLANK(Q36)),";","#define")</f>
        <v>#define</v>
      </c>
      <c r="D36" s="29"/>
      <c r="E36" s="24" t="s">
        <v>610</v>
      </c>
      <c r="F36" s="10" t="s">
        <v>611</v>
      </c>
      <c r="G36" s="10" t="s">
        <v>77</v>
      </c>
      <c r="H36" s="10"/>
      <c r="I36" s="61" t="s">
        <v>612</v>
      </c>
      <c r="J36" s="10" t="s">
        <v>365</v>
      </c>
      <c r="K36" s="10"/>
      <c r="L36" s="10">
        <v>0</v>
      </c>
      <c r="M36" s="10">
        <v>9</v>
      </c>
      <c r="N36" s="10">
        <v>0</v>
      </c>
      <c r="O36" s="15"/>
      <c r="P36" s="49" t="s">
        <v>35</v>
      </c>
      <c r="Q36" s="49"/>
      <c r="R36" s="49" t="s">
        <v>365</v>
      </c>
      <c r="S36" s="49"/>
      <c r="T36" s="49" t="s">
        <v>35</v>
      </c>
      <c r="U36" s="49"/>
      <c r="V36" s="49" t="s">
        <v>35</v>
      </c>
      <c r="X36" s="98">
        <v>1</v>
      </c>
      <c r="AA36" s="31">
        <v>0.5</v>
      </c>
      <c r="AB36" s="55" t="str">
        <f>IF(LEN(R36&amp;S36&amp;T36&amp;U36&amp;V36)&gt;0,"epics","")</f>
        <v>epics</v>
      </c>
      <c r="AC36" s="52" t="str">
        <f>IF(NOT(ISBLANK(V36)),"base",IF(AB36="epics",IF(AND(ISBLANK(P36),ISBLANK(Q36)),"nmp","map"),""))</f>
        <v>base</v>
      </c>
      <c r="AD36" s="27" t="str">
        <f>UPPER(AD$1&amp;":"&amp;D36)</f>
        <v>:</v>
      </c>
      <c r="AE36" s="25" t="str">
        <f>UPPER(AE$1&amp;":"&amp;E36)</f>
        <v>:DEV_CMD</v>
      </c>
      <c r="AF36" s="27" t="str">
        <f>SUBSTITUTE(D36,"_","")</f>
        <v/>
      </c>
      <c r="AG36" s="25" t="str">
        <f>SUBSTITUTE(E36,"_","")&amp;IF(AND(RIGHT(P36)&lt;&gt;"s",RIGHT(Q36)&lt;&gt;"s"),"","")</f>
        <v>devCMD</v>
      </c>
      <c r="AH36" s="25" t="str">
        <f>IF(ISNUMBER(Y36),Y36,"$(P)"&amp;$AE$1&amp;":"&amp;Y36)</f>
        <v>$(P):</v>
      </c>
      <c r="AI36" s="25" t="str">
        <f>IF(ISNUMBER(Z36),Z36,"$(P)"&amp;$AE$1&amp;":"&amp;Z36)</f>
        <v>$(P):</v>
      </c>
      <c r="AJ36" s="25"/>
      <c r="AK36" s="12" t="str">
        <f>IF(AC36="map",IF(G36="float",y_varMapAnalog,IF(G36="int",y_varMapLongint,IF(G36="bool",y_varMapBool,IF(G36="string",y_varMapString,IF(G36="option",y_varMapOption,"#unknown Type"))))),IF(AC36="nmp",y_nonMappedAnalog,""))</f>
        <v/>
      </c>
      <c r="AL36" s="12" t="str">
        <f>VLOOKUP(G36,y_mapProtocolLUT,3)</f>
        <v>@pmac.proto getVar($(VAR)) $(PORT)</v>
      </c>
      <c r="AM36" s="12" t="str">
        <f>VLOOKUP(G36,y_mapProtocolLUT,2)</f>
        <v>@pmac.proto setVar($(VAR)) $(PORT)</v>
      </c>
      <c r="AN36" s="25" t="str">
        <f>IF(LEN(AG36)&gt;0,SUBSTITUTE(SUBSTITUTE(SUBSTITUTE(AK36,"$(DTYP)",y_DTYPE),"$(SETPROTO)",AM36),"$(GETPROTO)",AL36),"")</f>
        <v/>
      </c>
      <c r="AO36" s="25" t="str">
        <f>IFERROR(SUBSTITUTE(SUBSTITUTE(SUBSTITUTE(SUBSTITUTE(SUBSTITUTE(SUBSTITUTE(SUBSTITUTE(SUBSTITUTE(SUBSTITUTE(AN36,"$(Q)",AE36),"$(EGU)",K36),"$(PREC)",N36),"$(VAR)",TRIM(CLEAN(y_dedicatedCS&amp;F36))),"$(GetSB)",AH36),"$(SetSB)",AI36),"$(DESC)",LEFT(I36,40)),"$(ENUMS)",AJ36),"$(DEFAULT)",H36),"")</f>
        <v/>
      </c>
      <c r="AP36" s="25" t="str">
        <f>IF(ISNUMBER(W36),SUBSTITUTE(SUBSTITUTE(SUBSTITUTE(SUBSTITUTE(SUBSTITUTE(SUBSTITUTE(SUBSTITUTE(SUBSTITUTE(y_QLabel &amp; IF(RIGHT(R36)="s",y_QELineEdit,y_QELabel),"~PVNAME",$AE36&amp;IF($AC36="map","","")),"~EGU",$K36),"~PREC",$N36),"~VAR",$F36),"~CANGET",$AH36),"~CANSET",$AI36),"~ROW",W36),"~NAME",$E36),"")</f>
        <v/>
      </c>
      <c r="AQ36" s="25" t="str">
        <f>IF(ISNUMBER(X36),SUBSTITUTE(SUBSTITUTE(SUBSTITUTE(SUBSTITUTE(SUBSTITUTE(SUBSTITUTE(SUBSTITUTE(SUBSTITUTE(y_QLabel &amp; IF(RIGHT(S36)="s",y_QELineEdit,y_QELabel),"~PVNAME",$AE36&amp;IF($AC36="map",":RBV","")),"~EGU",$K36),"~PREC",$N36),"~VAR",$F36),"~CANGET",$AH36),"~CANSET",$AI36),"~ROW",X36),"~NAME",$E36),"")</f>
        <v xml:space="preserve">&lt;item row="1" column="0"&gt;
         &lt;widget class="QLabel" name="L_dev_CMD"&gt;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&lt;string&gt;dev_CMD&lt;/string&gt;
          &lt;/property&gt;
          &lt;property name="margin"&gt;
           &lt;number&gt;3&lt;/number&gt;
          &lt;/property&gt;
         &lt;/widget&gt;
        &lt;/item&gt;
&lt;item row="1" column="1"&gt;
         &lt;widget class="QELabel" name="QL_dev_CMD"&gt;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&lt;string&gt;$(P)$(R):DEV_CMD&lt;/string&gt;
          &lt;/property&gt;
         &lt;/widget&gt;
   &lt;/item&gt;
</v>
      </c>
      <c r="AR36" s="25" t="e">
        <f>VLOOKUP(G36,y_EPICS_Formats,2,FALSE)</f>
        <v>#N/A</v>
      </c>
      <c r="AS36" s="25" t="str">
        <f>IF(AB36="epics",y_Prefix&amp;AE36&amp;" = ","")</f>
        <v xml:space="preserve">SR05ID01FST01:DEV_CMD = </v>
      </c>
      <c r="AT36" s="25" t="str">
        <f>IF(LEN(P36&amp;Q36)&gt;0,IFERROR(";"&amp;I36&amp;"["&amp;K36&amp;"]"&amp;AB36&amp;"("&amp;AC36&amp;")"&amp;CHAR(10)&amp;C36 &amp;CHAR(9)&amp;AG36&amp;CHAR(9)&amp;F36 &amp;CHAR(9),";;Error!"),"")</f>
        <v xml:space="preserve">;Scan control word[]epics(base)
#define	devCMD	P2000	</v>
      </c>
      <c r="AU36" s="25" t="str">
        <f>IF(IFERROR(AND(AA36&gt;0,LEN(AN36)&gt;0),FALSE),SUBSTITUTE(SUBSTITUTE(SUBSTITUTE(y_archiverXML,"~PVNAME",AE36),"~PREFIX",y_Prefix),"~PERIOD",MIN(30,AA36)),"")</f>
        <v/>
      </c>
      <c r="AV36" s="11">
        <f>IF($AB36="epics",AV$1-LEN(AE36),"")</f>
        <v>11</v>
      </c>
      <c r="AW36" s="11">
        <f>IF($AB36="epics",AW$1-LEN(AH36),"")</f>
        <v>19</v>
      </c>
      <c r="AX36" s="11">
        <f>IF($AB36="epics",AX$1-LEN(AI36),"")</f>
        <v>19</v>
      </c>
      <c r="AY36" s="11">
        <f>IF($AB36="epics",AY$1-LEN(I36)-LEN(" readback"),"")</f>
        <v>14</v>
      </c>
      <c r="AZ36" s="12">
        <f>IF(LEN(F36)&gt;0,IFERROR(VALUE(RIGHT(F36,LEN(F36)-1)),F36),"zzzzz")</f>
        <v>2000</v>
      </c>
      <c r="BA36" s="12">
        <f>IFERROR(VALUE(RIGHT(F36,LEN(F36)-1)),F36)</f>
        <v>2000</v>
      </c>
      <c r="BB36" s="22" t="str">
        <f>y_Prefix&amp;AE36</f>
        <v>SR05ID01FST01:DEV_CMD</v>
      </c>
    </row>
    <row r="37" spans="1:54" x14ac:dyDescent="0.25">
      <c r="A37" s="22">
        <v>33</v>
      </c>
      <c r="B37" s="23"/>
      <c r="C37" s="30" t="str">
        <f>IF(AND(ISBLANK(P37),ISBLANK(Q37)),";","#define")</f>
        <v>#define</v>
      </c>
      <c r="D37" s="29"/>
      <c r="E37" s="22" t="s">
        <v>613</v>
      </c>
      <c r="F37" s="10" t="s">
        <v>614</v>
      </c>
      <c r="G37" s="10" t="s">
        <v>362</v>
      </c>
      <c r="H37" s="10"/>
      <c r="I37" s="61" t="s">
        <v>615</v>
      </c>
      <c r="J37" s="10" t="s">
        <v>386</v>
      </c>
      <c r="K37" s="10"/>
      <c r="L37" s="10">
        <v>0</v>
      </c>
      <c r="M37" s="10">
        <v>9</v>
      </c>
      <c r="N37" s="10">
        <v>0</v>
      </c>
      <c r="O37" s="15"/>
      <c r="P37" s="49" t="s">
        <v>365</v>
      </c>
      <c r="Q37" s="49"/>
      <c r="R37" s="49" t="s">
        <v>35</v>
      </c>
      <c r="S37" s="49"/>
      <c r="T37" s="49" t="s">
        <v>35</v>
      </c>
      <c r="U37" s="49" t="s">
        <v>35</v>
      </c>
      <c r="V37" s="49" t="s">
        <v>35</v>
      </c>
      <c r="X37" s="98">
        <v>2</v>
      </c>
      <c r="AA37" s="31">
        <v>0.5</v>
      </c>
      <c r="AB37" s="55" t="str">
        <f>IF(LEN(R37&amp;S37&amp;T37&amp;U37&amp;V37)&gt;0,"epics","")</f>
        <v>epics</v>
      </c>
      <c r="AC37" s="52" t="str">
        <f>IF(NOT(ISBLANK(V37)),"base",IF(AB37="epics",IF(AND(ISBLANK(P37),ISBLANK(Q37)),"nmp","map"),""))</f>
        <v>base</v>
      </c>
      <c r="AD37" s="27" t="str">
        <f>UPPER(AD$1&amp;":"&amp;D37)</f>
        <v>:</v>
      </c>
      <c r="AE37" s="25" t="str">
        <f>UPPER(AE$1&amp;":"&amp;E37)</f>
        <v>:DEV_ERROR</v>
      </c>
      <c r="AF37" s="27" t="str">
        <f>SUBSTITUTE(D37,"_","")</f>
        <v/>
      </c>
      <c r="AG37" s="25" t="str">
        <f>SUBSTITUTE(E37,"_","")&amp;IF(AND(RIGHT(P37)&lt;&gt;"s",RIGHT(Q37)&lt;&gt;"s"),"","")</f>
        <v>devError</v>
      </c>
      <c r="AH37" s="25" t="str">
        <f>IF(ISNUMBER(Y37),Y37,"$(P)"&amp;$AE$1&amp;":"&amp;Y37)</f>
        <v>$(P):</v>
      </c>
      <c r="AI37" s="25" t="str">
        <f>IF(ISNUMBER(Z37),Z37,"$(P)"&amp;$AE$1&amp;":"&amp;Z37)</f>
        <v>$(P):</v>
      </c>
      <c r="AJ37" s="25"/>
      <c r="AK37" s="12" t="str">
        <f>IF(AC37="map",IF(G37="float",y_varMapAnalog,IF(G37="int",y_varMapLongint,IF(G37="bool",y_varMapBool,IF(G37="string",y_varMapString,IF(G37="option",y_varMapOption,"#unknown Type"))))),IF(AC37="nmp",y_nonMappedAnalog,""))</f>
        <v/>
      </c>
      <c r="AL37" s="12" t="str">
        <f>VLOOKUP(G37,y_mapProtocolLUT,3)</f>
        <v>@pmac.proto getIntVar($(VAR)) $(PORT)</v>
      </c>
      <c r="AM37" s="12" t="str">
        <f>VLOOKUP(G37,y_mapProtocolLUT,2)</f>
        <v>@pmac.proto setIntVar($(VAR)) $(PORT)</v>
      </c>
      <c r="AN37" s="25" t="str">
        <f>IF(LEN(AG37)&gt;0,SUBSTITUTE(SUBSTITUTE(SUBSTITUTE(AK37,"$(DTYP)",y_DTYPE),"$(SETPROTO)",AM37),"$(GETPROTO)",AL37),"")</f>
        <v/>
      </c>
      <c r="AO37" s="25" t="str">
        <f>IFERROR(SUBSTITUTE(SUBSTITUTE(SUBSTITUTE(SUBSTITUTE(SUBSTITUTE(SUBSTITUTE(SUBSTITUTE(SUBSTITUTE(SUBSTITUTE(AN37,"$(Q)",AE37),"$(EGU)",K37),"$(PREC)",N37),"$(VAR)",TRIM(CLEAN(y_dedicatedCS&amp;F37))),"$(GetSB)",AH37),"$(SetSB)",AI37),"$(DESC)",LEFT(I37,40)),"$(ENUMS)",AJ37),"$(DEFAULT)",H37),"")</f>
        <v/>
      </c>
      <c r="AP37" s="25" t="str">
        <f>IF(ISNUMBER(W37),SUBSTITUTE(SUBSTITUTE(SUBSTITUTE(SUBSTITUTE(SUBSTITUTE(SUBSTITUTE(SUBSTITUTE(SUBSTITUTE(y_QLabel &amp; IF(RIGHT(R37)="s",y_QELineEdit,y_QELabel),"~PVNAME",$AE37&amp;IF($AC37="map","","")),"~EGU",$K37),"~PREC",$N37),"~VAR",$F37),"~CANGET",$AH37),"~CANSET",$AI37),"~ROW",W37),"~NAME",$E37),"")</f>
        <v/>
      </c>
      <c r="AQ37" s="25" t="str">
        <f>IF(ISNUMBER(X37),SUBSTITUTE(SUBSTITUTE(SUBSTITUTE(SUBSTITUTE(SUBSTITUTE(SUBSTITUTE(SUBSTITUTE(SUBSTITUTE(y_QLabel &amp; IF(RIGHT(S37)="s",y_QELineEdit,y_QELabel),"~PVNAME",$AE37&amp;IF($AC37="map",":RBV","")),"~EGU",$K37),"~PREC",$N37),"~VAR",$F37),"~CANGET",$AH37),"~CANSET",$AI37),"~ROW",X37),"~NAME",$E37),"")</f>
        <v xml:space="preserve">&lt;item row="2" column="0"&gt;
         &lt;widget class="QLabel" name="L_dev_Error"&gt;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&lt;string&gt;dev_Error&lt;/string&gt;
          &lt;/property&gt;
          &lt;property name="margin"&gt;
           &lt;number&gt;3&lt;/number&gt;
          &lt;/property&gt;
         &lt;/widget&gt;
        &lt;/item&gt;
&lt;item row="2" column="1"&gt;
         &lt;widget class="QELabel" name="QL_dev_Error"&gt;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&lt;string&gt;$(P)$(R):DEV_ERROR&lt;/string&gt;
          &lt;/property&gt;
         &lt;/widget&gt;
   &lt;/item&gt;
</v>
      </c>
      <c r="AR37" s="25" t="e">
        <f>VLOOKUP(G37,y_EPICS_Formats,2,FALSE)</f>
        <v>#N/A</v>
      </c>
      <c r="AS37" s="25" t="str">
        <f>IF(AB37="epics",y_Prefix&amp;AE37&amp;" = ","")</f>
        <v xml:space="preserve">SR05ID01FST01:DEV_ERROR = </v>
      </c>
      <c r="AT37" s="25" t="str">
        <f>IF(LEN(P37&amp;Q37)&gt;0,IFERROR(";"&amp;I37&amp;"["&amp;K37&amp;"]"&amp;AB37&amp;"("&amp;AC37&amp;")"&amp;CHAR(10)&amp;C37 &amp;CHAR(9)&amp;AG37&amp;CHAR(9)&amp;F37 &amp;CHAR(9),";;Error!"),"")</f>
        <v xml:space="preserve">;SkipScan fault code[]epics(base)
#define	devError	P2055	</v>
      </c>
      <c r="AU37" s="25" t="str">
        <f>IF(IFERROR(AND(AA37&gt;0,LEN(AN37)&gt;0),FALSE),SUBSTITUTE(SUBSTITUTE(SUBSTITUTE(y_archiverXML,"~PVNAME",AE37),"~PREFIX",y_Prefix),"~PERIOD",MIN(30,AA37)),"")</f>
        <v/>
      </c>
      <c r="AV37" s="11">
        <f>IF($AB37="epics",AV$1-LEN(AE37),"")</f>
        <v>9</v>
      </c>
      <c r="AW37" s="11">
        <f>IF($AB37="epics",AW$1-LEN(AH37),"")</f>
        <v>19</v>
      </c>
      <c r="AX37" s="11">
        <f>IF($AB37="epics",AX$1-LEN(AI37),"")</f>
        <v>19</v>
      </c>
      <c r="AY37" s="11">
        <f>IF($AB37="epics",AY$1-LEN(I37)-LEN(" readback"),"")</f>
        <v>12</v>
      </c>
      <c r="AZ37" s="12">
        <f>IF(LEN(F37)&gt;0,IFERROR(VALUE(RIGHT(F37,LEN(F37)-1)),F37),"zzzzz")</f>
        <v>2055</v>
      </c>
      <c r="BA37" s="12">
        <f>IFERROR(VALUE(RIGHT(F37,LEN(F37)-1)),F37)</f>
        <v>2055</v>
      </c>
      <c r="BB37" s="22" t="str">
        <f>y_Prefix&amp;AE37</f>
        <v>SR05ID01FST01:DEV_ERROR</v>
      </c>
    </row>
    <row r="38" spans="1:54" ht="23.25" x14ac:dyDescent="0.25">
      <c r="A38" s="22">
        <v>34</v>
      </c>
      <c r="B38" s="23"/>
      <c r="C38" s="30" t="str">
        <f>IF(AND(ISBLANK(P38),ISBLANK(Q38)),";","#define")</f>
        <v>#define</v>
      </c>
      <c r="D38" s="29"/>
      <c r="E38" s="22" t="s">
        <v>762</v>
      </c>
      <c r="F38" s="10" t="s">
        <v>616</v>
      </c>
      <c r="G38" s="10" t="s">
        <v>77</v>
      </c>
      <c r="H38" s="10"/>
      <c r="I38" s="61" t="s">
        <v>759</v>
      </c>
      <c r="J38" s="10"/>
      <c r="K38" s="10"/>
      <c r="L38" s="10">
        <v>-1</v>
      </c>
      <c r="M38" s="10">
        <v>1</v>
      </c>
      <c r="N38" s="10">
        <v>0</v>
      </c>
      <c r="O38" s="15"/>
      <c r="P38" s="49" t="s">
        <v>33</v>
      </c>
      <c r="Q38" s="49"/>
      <c r="R38" s="49"/>
      <c r="S38" s="49" t="s">
        <v>35</v>
      </c>
      <c r="T38" s="49" t="s">
        <v>365</v>
      </c>
      <c r="U38" s="49"/>
      <c r="V38" s="49"/>
      <c r="X38" s="98">
        <v>3</v>
      </c>
      <c r="Y38" s="31" t="s">
        <v>790</v>
      </c>
      <c r="Z38" s="31" t="s">
        <v>784</v>
      </c>
      <c r="AB38" s="55" t="str">
        <f>IF(LEN(R38&amp;S38&amp;T38&amp;U38&amp;V38)&gt;0,"epics","")</f>
        <v>epics</v>
      </c>
      <c r="AC38" s="52" t="str">
        <f>IF(NOT(ISBLANK(V38)),"base",IF(AB38="epics",IF(AND(ISBLANK(P38),ISBLANK(Q38)),"nmp","map"),""))</f>
        <v>map</v>
      </c>
      <c r="AD38" s="27" t="str">
        <f>UPPER(AD$1&amp;":"&amp;D38)</f>
        <v>:</v>
      </c>
      <c r="AE38" s="25" t="str">
        <f>UPPER(AE$1&amp;":"&amp;E38)</f>
        <v>:DEV_SLVD</v>
      </c>
      <c r="AF38" s="27" t="str">
        <f>SUBSTITUTE(D38,"_","")</f>
        <v/>
      </c>
      <c r="AG38" s="25" t="str">
        <f>SUBSTITUTE(E38,"_","")&amp;IF(AND(RIGHT(P38)&lt;&gt;"s",RIGHT(Q38)&lt;&gt;"s"),"","")</f>
        <v>devSLVD</v>
      </c>
      <c r="AH38" s="25" t="str">
        <f>IF(ISNUMBER(Y38),Y38,"$(P)"&amp;$AE$1&amp;":"&amp;Y38)</f>
        <v>$(P):EN_INPROG</v>
      </c>
      <c r="AI38" s="25" t="str">
        <f>IF(ISNUMBER(Z38),Z38,"$(P)"&amp;$AE$1&amp;":"&amp;Z38)</f>
        <v>$(P):EN_TRAJSET</v>
      </c>
      <c r="AJ38" s="25"/>
      <c r="AK38" s="12" t="str">
        <f>IF(AC38="map",IF(G38="float",y_varMapAnalog,IF(G38="int",y_varMapLongint,IF(G38="bool",y_varMapBool,IF(G38="string",y_varMapString,IF(G38="option",y_varMapOption,"#unknown Type"))))),IF(AC38="nmp",y_nonMappedAnalog,""))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38" s="12" t="str">
        <f>VLOOKUP(G38,y_mapProtocolLUT,3)</f>
        <v>@pmac.proto getVar($(VAR)) $(PORT)</v>
      </c>
      <c r="AM38" s="12" t="str">
        <f>VLOOKUP(G38,y_mapProtocolLUT,2)</f>
        <v>@pmac.proto setVar($(VAR)) $(PORT)</v>
      </c>
      <c r="AN38" s="25" t="str">
        <f>IF(LEN(AG38)&gt;0,SUBSTITUTE(SUBSTITUTE(SUBSTITUTE(AK38,"$(DTYP)",y_DTYPE),"$(SETPROTO)",AM38),"$(GETPROTO)",AL38),"")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38" s="25" t="str">
        <f>IFERROR(SUBSTITUTE(SUBSTITUTE(SUBSTITUTE(SUBSTITUTE(SUBSTITUTE(SUBSTITUTE(SUBSTITUTE(SUBSTITUTE(SUBSTITUTE(AN38,"$(Q)",AE38),"$(EGU)",K38),"$(PREC)",N38),"$(VAR)",TRIM(CLEAN(y_dedicatedCS&amp;F38))),"$(GetSB)",AH38),"$(SetSB)",AI38),"$(DESC)",LEFT(I38,40)),"$(ENUMS)",AJ38),"$(DEFAULT)",H38),"")</f>
        <v>_x000D_
# PVs mapping to P2011 of type Analog_x000D_
record(ao, "$(P):DEV_SLVD") {_x000D_
  field(DESC, "Solved flag set by midlayer")_x000D_
  field(OUT, "$(P):DEV_SLVD:SET PP MS")_x000D_
  field(PINI, "NO")_x000D_
  field(EGU, "") field(PREC, "0")_x000D_
  field(SDIS, "$(P):DEV_SLVD:SCD MS")_x000D_
  field(DISV, "999999")  _x000D_
}_x000D_
record(ai, "$(P):DEV_SLVD:RBV") {_x000D_
  field(DESC, "Solved flag set by midlayer readback")_x000D_
  field(DTYP, "stream")_x000D_
  field(INP, "@pmac.proto getVar(P2011) $(PORT)")_x000D_
  field(SDIS, "$(P):EN_INPROG NPP MS")_x000D_
  field(DISV, "0")_x000D_
  field(PINI, "NO")_x000D_
  field(DISS, "INVALID")_x000D_
  field(EGU, "") field(PREC, "0")_x000D_
}_x000D_
#% autosave 0 VAL_x000D_
record(ao, "$(P):DEV_SLVD:SET") {_x000D_
  field(DTYP, "stream")_x000D_
  field(SDIS, "$(P):DEV_SLVD:ROL PP MS")_x000D_
  field(OUT, "@pmac.proto setVar(P2011) $(PORT)")_x000D_
  field(PINI, "YES")_x000D_
  field(FLNK, "$(P):DEV_SLVD:SCD")  _x000D_
  field(DISS, "INVALID")_x000D_
}_x000D_
record(calc, "$(P):DEV_SLVD:ROL") {_x000D_
  field(CALC, "(!B) || A")_x000D_
  field(INPA, "$(P):DEV_SLVD:SYN.PACT")_x000D_
  field(INPB, "$(P):EN_TRAJSET NPP")_x000D_
  field(PINI, "NO")_x000D_
}_x000D_
record(calcout, "$(P):DEV_SLVD:SYN") {_x000D_
 field(INPA, "$(P):DEV_SLVD:RBV PP")_x000D_
 field(INPB, "$(P):EN_INPROG CP MS")_x000D_
 field(INPC, "$(P):EN_TRAJSET NPP")_x000D_
 field(INPD, "$(P):DEV_SLVD:SCD CP MS")_x000D_
 field(INPE, "$(P):DEV_SLVD:SET NPP")_x000D_
 field(INPF, "$(P):EN_AUTOSYNC CP")_x000D_
 field(SDIS, "$(P):DEV_SLVD:SET.PACT")_x000D_
 field(DISS, "INVALID")_x000D_
 field(CALC, "((D&gt;0)||(F&gt;0))?A:E")_x000D_
 field(OUT, "$(P):DEV_SLVD PP MS")_x000D_
 field(PINI, "NO")_x000D_
}_x000D_
record(calc, "$(P):DEV_SLVD:SCD") {_x000D_
 field(CALC, "(ABS(B-A)&lt;10^(-C))?1:0")_x000D_
 field(INPA, "$(P):DEV_SLVD:RBV CP MS")_x000D_
 field(INPB, "$(P):DEV_SLVD:SET CP")_x000D_
 field(INPC, "$(P):DEV_SLVD:RBV.PREC")_x000D_
 field(PINI, "YES")_x000D_
 field(VAL,"0")_x000D_
 field(LOLO, "0.5")_x000D_
 field(LLSV, "MINOR") _x000D_
}_x000D_
# -----------------------------_x000D_
#</v>
      </c>
      <c r="AP38" s="25" t="str">
        <f>IF(ISNUMBER(W38),SUBSTITUTE(SUBSTITUTE(SUBSTITUTE(SUBSTITUTE(SUBSTITUTE(SUBSTITUTE(SUBSTITUTE(SUBSTITUTE(y_QLabel &amp; IF(RIGHT(R38)="s",y_QELineEdit,y_QELabel),"~PVNAME",$AE38&amp;IF($AC38="map","","")),"~EGU",$K38),"~PREC",$N38),"~VAR",$F38),"~CANGET",$AH38),"~CANSET",$AI38),"~ROW",W38),"~NAME",$E38),"")</f>
        <v/>
      </c>
      <c r="AQ38" s="25" t="str">
        <f>IF(ISNUMBER(X38),SUBSTITUTE(SUBSTITUTE(SUBSTITUTE(SUBSTITUTE(SUBSTITUTE(SUBSTITUTE(SUBSTITUTE(SUBSTITUTE(y_QLabel &amp; IF(RIGHT(S38)="s",y_QELineEdit,y_QELabel),"~PVNAME",$AE38&amp;IF($AC38="map",":RBV","")),"~EGU",$K38),"~PREC",$N38),"~VAR",$F38),"~CANGET",$AH38),"~CANSET",$AI38),"~ROW",X38),"~NAME",$E38),"")</f>
        <v xml:space="preserve">&lt;item row="3" column="0"&gt;
         &lt;widget class="QLabel" name="L_dev_SLVD"&gt;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&lt;string&gt;dev_SLVD&lt;/string&gt;
          &lt;/property&gt;
          &lt;property name="margin"&gt;
           &lt;number&gt;3&lt;/number&gt;
          &lt;/property&gt;
         &lt;/widget&gt;
        &lt;/item&gt;
&lt;item row="3" column="1"&gt;
         &lt;widget class="QELabel" name="QL_dev_SLVD"&gt;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&lt;string&gt;$(P)$(R):DEV_SLVD:RBV&lt;/string&gt;
          &lt;/property&gt;
         &lt;/widget&gt;
   &lt;/item&gt;
</v>
      </c>
      <c r="AR38" s="25" t="e">
        <f>VLOOKUP(G38,y_EPICS_Formats,2,FALSE)</f>
        <v>#N/A</v>
      </c>
      <c r="AS38" s="25" t="str">
        <f>IF(AB38="epics",y_Prefix&amp;AE38&amp;" = ","")</f>
        <v xml:space="preserve">SR05ID01FST01:DEV_SLVD = </v>
      </c>
      <c r="AT38" s="25" t="str">
        <f>IF(LEN(P38&amp;Q38)&gt;0,IFERROR(";"&amp;I38&amp;"["&amp;K38&amp;"]"&amp;AB38&amp;"("&amp;AC38&amp;")"&amp;CHAR(10)&amp;C38 &amp;CHAR(9)&amp;AG38&amp;CHAR(9)&amp;F38 &amp;CHAR(9),";;Error!"),"")</f>
        <v xml:space="preserve">;Solved flag set by midlayer[]epics(map)
#define	devSLVD	P2011	</v>
      </c>
      <c r="AU38" s="25" t="str">
        <f>IF(IFERROR(AND(AA38&gt;0,LEN(AN38)&gt;0),FALSE),SUBSTITUTE(SUBSTITUTE(SUBSTITUTE(y_archiverXML,"~PVNAME",AE38),"~PREFIX",y_Prefix),"~PERIOD",MIN(30,AA38)),"")</f>
        <v/>
      </c>
      <c r="AV38" s="11">
        <f>IF($AB38="epics",AV$1-LEN(AE38),"")</f>
        <v>10</v>
      </c>
      <c r="AW38" s="11">
        <f>IF($AB38="epics",AW$1-LEN(AH38),"")</f>
        <v>10</v>
      </c>
      <c r="AX38" s="11">
        <f>IF($AB38="epics",AX$1-LEN(AI38),"")</f>
        <v>9</v>
      </c>
      <c r="AY38" s="11">
        <f>IF($AB38="epics",AY$1-LEN(I38)-LEN(" readback"),"")</f>
        <v>4</v>
      </c>
      <c r="AZ38" s="12">
        <f>IF(LEN(F38)&gt;0,IFERROR(VALUE(RIGHT(F38,LEN(F38)-1)),F38),"zzzzz")</f>
        <v>2011</v>
      </c>
      <c r="BA38" s="12">
        <f>IFERROR(VALUE(RIGHT(F38,LEN(F38)-1)),F38)</f>
        <v>2011</v>
      </c>
      <c r="BB38" s="22" t="str">
        <f>y_Prefix&amp;AE38</f>
        <v>SR05ID01FST01:DEV_SLVD</v>
      </c>
    </row>
    <row r="39" spans="1:54" ht="15.75" customHeight="1" x14ac:dyDescent="0.25">
      <c r="A39" s="22">
        <v>35</v>
      </c>
      <c r="B39" s="23"/>
      <c r="C39" s="30" t="str">
        <f>IF(AND(ISBLANK(P39),ISBLANK(Q39)),";","#define")</f>
        <v>#define</v>
      </c>
      <c r="D39" s="28"/>
      <c r="E39" s="24" t="s">
        <v>617</v>
      </c>
      <c r="F39" s="10" t="s">
        <v>618</v>
      </c>
      <c r="G39" s="10" t="s">
        <v>362</v>
      </c>
      <c r="H39" s="10"/>
      <c r="I39" s="61" t="s">
        <v>619</v>
      </c>
      <c r="J39" s="10" t="s">
        <v>386</v>
      </c>
      <c r="K39" s="10"/>
      <c r="L39" s="10">
        <v>0</v>
      </c>
      <c r="M39" s="10">
        <v>9</v>
      </c>
      <c r="N39" s="10">
        <v>0</v>
      </c>
      <c r="O39" s="15"/>
      <c r="P39" s="49" t="s">
        <v>365</v>
      </c>
      <c r="Q39" s="49"/>
      <c r="R39" s="49" t="s">
        <v>35</v>
      </c>
      <c r="S39" s="49"/>
      <c r="T39" s="49" t="s">
        <v>35</v>
      </c>
      <c r="U39" s="49" t="s">
        <v>35</v>
      </c>
      <c r="V39" s="49" t="s">
        <v>35</v>
      </c>
      <c r="X39" s="98">
        <v>4</v>
      </c>
      <c r="Y39" s="31" t="s">
        <v>790</v>
      </c>
      <c r="Z39" s="31" t="s">
        <v>784</v>
      </c>
      <c r="AA39" s="31">
        <v>0.5</v>
      </c>
      <c r="AB39" s="55" t="str">
        <f>IF(LEN(R39&amp;S39&amp;T39&amp;U39&amp;V39)&gt;0,"epics","")</f>
        <v>epics</v>
      </c>
      <c r="AC39" s="52" t="str">
        <f>IF(NOT(ISBLANK(V39)),"base",IF(AB39="epics",IF(AND(ISBLANK(P39),ISBLANK(Q39)),"nmp","map"),""))</f>
        <v>base</v>
      </c>
      <c r="AD39" s="27" t="str">
        <f>UPPER(AD$1&amp;":"&amp;D39)</f>
        <v>:</v>
      </c>
      <c r="AE39" s="25" t="str">
        <f>UPPER(AE$1&amp;":"&amp;E39)</f>
        <v>:DEV_STATE</v>
      </c>
      <c r="AF39" s="27" t="str">
        <f>SUBSTITUTE(D39,"_","")</f>
        <v/>
      </c>
      <c r="AG39" s="25" t="str">
        <f>SUBSTITUTE(E39,"_","")&amp;IF(AND(RIGHT(P39)&lt;&gt;"s",RIGHT(Q39)&lt;&gt;"s"),"","")</f>
        <v>devState</v>
      </c>
      <c r="AH39" s="25" t="str">
        <f>IF(ISNUMBER(Y39),Y39,"$(P)"&amp;$AE$1&amp;":"&amp;Y39)</f>
        <v>$(P):EN_INPROG</v>
      </c>
      <c r="AI39" s="25" t="str">
        <f>IF(ISNUMBER(Z39),Z39,"$(P)"&amp;$AE$1&amp;":"&amp;Z39)</f>
        <v>$(P):EN_TRAJSET</v>
      </c>
      <c r="AJ39" s="25"/>
      <c r="AK39" s="12" t="str">
        <f>IF(AC39="map",IF(G39="float",y_varMapAnalog,IF(G39="int",y_varMapLongint,IF(G39="bool",y_varMapBool,IF(G39="string",y_varMapString,IF(G39="option",y_varMapOption,"#unknown Type"))))),IF(AC39="nmp",y_nonMappedAnalog,""))</f>
        <v/>
      </c>
      <c r="AL39" s="12" t="str">
        <f>VLOOKUP(G39,y_mapProtocolLUT,3)</f>
        <v>@pmac.proto getIntVar($(VAR)) $(PORT)</v>
      </c>
      <c r="AM39" s="12" t="str">
        <f>VLOOKUP(G39,y_mapProtocolLUT,2)</f>
        <v>@pmac.proto setIntVar($(VAR)) $(PORT)</v>
      </c>
      <c r="AN39" s="25" t="str">
        <f>IF(LEN(AG39)&gt;0,SUBSTITUTE(SUBSTITUTE(SUBSTITUTE(AK39,"$(DTYP)",y_DTYPE),"$(SETPROTO)",AM39),"$(GETPROTO)",AL39),"")</f>
        <v/>
      </c>
      <c r="AO39" s="25" t="str">
        <f>IFERROR(SUBSTITUTE(SUBSTITUTE(SUBSTITUTE(SUBSTITUTE(SUBSTITUTE(SUBSTITUTE(SUBSTITUTE(SUBSTITUTE(SUBSTITUTE(AN39,"$(Q)",AE39),"$(EGU)",K39),"$(PREC)",N39),"$(VAR)",TRIM(CLEAN(y_dedicatedCS&amp;F39))),"$(GetSB)",AH39),"$(SetSB)",AI39),"$(DESC)",LEFT(I39,40)),"$(ENUMS)",AJ39),"$(DEFAULT)",H39),"")</f>
        <v/>
      </c>
      <c r="AP39" s="25" t="str">
        <f>IF(ISNUMBER(W39),SUBSTITUTE(SUBSTITUTE(SUBSTITUTE(SUBSTITUTE(SUBSTITUTE(SUBSTITUTE(SUBSTITUTE(SUBSTITUTE(y_QLabel &amp; IF(RIGHT(R39)="s",y_QELineEdit,y_QELabel),"~PVNAME",$AE39&amp;IF($AC39="map","","")),"~EGU",$K39),"~PREC",$N39),"~VAR",$F39),"~CANGET",$AH39),"~CANSET",$AI39),"~ROW",W39),"~NAME",$E39),"")</f>
        <v/>
      </c>
      <c r="AQ39" s="25" t="str">
        <f>IF(ISNUMBER(X39),SUBSTITUTE(SUBSTITUTE(SUBSTITUTE(SUBSTITUTE(SUBSTITUTE(SUBSTITUTE(SUBSTITUTE(SUBSTITUTE(y_QLabel &amp; IF(RIGHT(S39)="s",y_QELineEdit,y_QELabel),"~PVNAME",$AE39&amp;IF($AC39="map",":RBV","")),"~EGU",$K39),"~PREC",$N39),"~VAR",$F39),"~CANGET",$AH39),"~CANSET",$AI39),"~ROW",X39),"~NAME",$E39),"")</f>
        <v xml:space="preserve">&lt;item row="4" column="0"&gt;
         &lt;widget class="QLabel" name="L_dev_State"&gt;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&lt;string&gt;dev_State&lt;/string&gt;
          &lt;/property&gt;
          &lt;property name="margin"&gt;
           &lt;number&gt;3&lt;/number&gt;
          &lt;/property&gt;
         &lt;/widget&gt;
        &lt;/item&gt;
&lt;item row="4" column="1"&gt;
         &lt;widget class="QELabel" name="QL_dev_State"&gt;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&lt;string&gt;$(P)$(R):DEV_STATE&lt;/string&gt;
          &lt;/property&gt;
         &lt;/widget&gt;
   &lt;/item&gt;
</v>
      </c>
      <c r="AR39" s="25" t="e">
        <f>VLOOKUP(G39,y_EPICS_Formats,2,FALSE)</f>
        <v>#N/A</v>
      </c>
      <c r="AS39" s="25" t="str">
        <f>IF(AB39="epics",y_Prefix&amp;AE39&amp;" = ","")</f>
        <v xml:space="preserve">SR05ID01FST01:DEV_STATE = </v>
      </c>
      <c r="AT39" s="25" t="str">
        <f>IF(LEN(P39&amp;Q39)&gt;0,IFERROR(";"&amp;I39&amp;"["&amp;K39&amp;"]"&amp;AB39&amp;"("&amp;AC39&amp;")"&amp;CHAR(10)&amp;C39 &amp;CHAR(9)&amp;AG39&amp;CHAR(9)&amp;F39 &amp;CHAR(9),";;Error!"),"")</f>
        <v xml:space="preserve">;Scan state word[]epics(base)
#define	devState	P2040	</v>
      </c>
      <c r="AU39" s="25" t="str">
        <f>IF(IFERROR(AND(AA39&gt;0,LEN(AN39)&gt;0),FALSE),SUBSTITUTE(SUBSTITUTE(SUBSTITUTE(y_archiverXML,"~PVNAME",AE39),"~PREFIX",y_Prefix),"~PERIOD",MIN(30,AA39)),"")</f>
        <v/>
      </c>
      <c r="AV39" s="11">
        <f>IF($AB39="epics",AV$1-LEN(AE39),"")</f>
        <v>9</v>
      </c>
      <c r="AW39" s="11">
        <f>IF($AB39="epics",AW$1-LEN(AH39),"")</f>
        <v>10</v>
      </c>
      <c r="AX39" s="11">
        <f>IF($AB39="epics",AX$1-LEN(AI39),"")</f>
        <v>9</v>
      </c>
      <c r="AY39" s="11">
        <f>IF($AB39="epics",AY$1-LEN(I39)-LEN(" readback"),"")</f>
        <v>16</v>
      </c>
      <c r="AZ39" s="12">
        <f>IF(LEN(F39)&gt;0,IFERROR(VALUE(RIGHT(F39,LEN(F39)-1)),F39),"zzzzz")</f>
        <v>2040</v>
      </c>
      <c r="BA39" s="12">
        <f>IFERROR(VALUE(RIGHT(F39,LEN(F39)-1)),F39)</f>
        <v>2040</v>
      </c>
      <c r="BB39" s="22" t="str">
        <f>y_Prefix&amp;AE39</f>
        <v>SR05ID01FST01:DEV_STATE</v>
      </c>
    </row>
    <row r="40" spans="1:54" ht="15.75" customHeight="1" x14ac:dyDescent="0.25">
      <c r="A40" s="22">
        <v>36</v>
      </c>
      <c r="B40" s="23"/>
      <c r="C40" s="30" t="str">
        <f>IF(AND(ISBLANK(P40),ISBLANK(Q40)),";","#define")</f>
        <v>#define</v>
      </c>
      <c r="D40" s="28"/>
      <c r="E40" s="22" t="s">
        <v>816</v>
      </c>
      <c r="F40" s="24" t="s">
        <v>822</v>
      </c>
      <c r="G40" s="10"/>
      <c r="H40" s="10"/>
      <c r="I40" s="61" t="s">
        <v>624</v>
      </c>
      <c r="J40" s="24" t="s">
        <v>625</v>
      </c>
      <c r="K40" s="10"/>
      <c r="L40" s="10"/>
      <c r="M40" s="10"/>
      <c r="N40" s="10"/>
      <c r="O40" s="15"/>
      <c r="P40" s="48" t="s">
        <v>365</v>
      </c>
      <c r="Q40" s="49"/>
      <c r="R40" s="49"/>
      <c r="S40" s="49"/>
      <c r="T40" s="49"/>
      <c r="U40" s="49"/>
      <c r="V40" s="49"/>
      <c r="AB40" s="55" t="str">
        <f>IF(LEN(R40&amp;S40&amp;T40&amp;U40&amp;V40)&gt;0,"epics","")</f>
        <v/>
      </c>
      <c r="AC40" s="52" t="str">
        <f>IF(NOT(ISBLANK(V40)),"base",IF(AB40="epics",IF(AND(ISBLANK(P40),ISBLANK(Q40)),"nmp","map"),""))</f>
        <v/>
      </c>
      <c r="AD40" s="27" t="str">
        <f>UPPER(AD$1&amp;":"&amp;D40)</f>
        <v>:</v>
      </c>
      <c r="AE40" s="25" t="str">
        <f>UPPER(AE$1&amp;":"&amp;E40)</f>
        <v>:T_IND_TOTAL</v>
      </c>
      <c r="AF40" s="27" t="str">
        <f>SUBSTITUTE(D40,"_","")</f>
        <v/>
      </c>
      <c r="AG40" s="25" t="str">
        <f>SUBSTITUTE(E40,"_","")&amp;IF(AND(RIGHT(P40)&lt;&gt;"s",RIGHT(Q40)&lt;&gt;"s"),"","")</f>
        <v>tIndTotal</v>
      </c>
      <c r="AH40" s="25" t="str">
        <f>IF(ISNUMBER(Y40),Y40,"$(P)"&amp;$AE$1&amp;":"&amp;Y40)</f>
        <v>$(P):</v>
      </c>
      <c r="AI40" s="25" t="str">
        <f>IF(ISNUMBER(Z40),Z40,"$(P)"&amp;$AE$1&amp;":"&amp;Z40)</f>
        <v>$(P):</v>
      </c>
      <c r="AJ40" s="25"/>
      <c r="AK40" s="12" t="str">
        <f>IF(AC40="map",IF(G40="float",y_varMapAnalog,IF(G40="int",y_varMapLongint,IF(G40="bool",y_varMapBool,IF(G40="string",y_varMapString,IF(G40="option",y_varMapOption,"#unknown Type"))))),IF(AC40="nmp",y_nonMappedAnalog,""))</f>
        <v/>
      </c>
      <c r="AL40" s="12" t="e">
        <f>VLOOKUP(G40,y_mapProtocolLUT,3)</f>
        <v>#N/A</v>
      </c>
      <c r="AM40" s="12" t="e">
        <f>VLOOKUP(G40,y_mapProtocolLUT,2)</f>
        <v>#N/A</v>
      </c>
      <c r="AN40" s="25" t="e">
        <f>IF(LEN(AG40)&gt;0,SUBSTITUTE(SUBSTITUTE(SUBSTITUTE(AK40,"$(DTYP)",y_DTYPE),"$(SETPROTO)",AM40),"$(GETPROTO)",AL40),"")</f>
        <v>#N/A</v>
      </c>
      <c r="AO40" s="25" t="str">
        <f>IFERROR(SUBSTITUTE(SUBSTITUTE(SUBSTITUTE(SUBSTITUTE(SUBSTITUTE(SUBSTITUTE(SUBSTITUTE(SUBSTITUTE(SUBSTITUTE(AN40,"$(Q)",AE40),"$(EGU)",K40),"$(PREC)",N40),"$(VAR)",TRIM(CLEAN(y_dedicatedCS&amp;F40))),"$(GetSB)",AH40),"$(SetSB)",AI40),"$(DESC)",LEFT(I40,40)),"$(ENUMS)",AJ40),"$(DEFAULT)",H40),"")</f>
        <v/>
      </c>
      <c r="AP40" s="25" t="str">
        <f>IF(ISNUMBER(W40),SUBSTITUTE(SUBSTITUTE(SUBSTITUTE(SUBSTITUTE(SUBSTITUTE(SUBSTITUTE(SUBSTITUTE(SUBSTITUTE(y_QLabel &amp; IF(RIGHT(R40)="s",y_QELineEdit,y_QELabel),"~PVNAME",$AE40&amp;IF($AC40="map","","")),"~EGU",$K40),"~PREC",$N40),"~VAR",$F40),"~CANGET",$AH40),"~CANSET",$AI40),"~ROW",W40),"~NAME",$E40),"")</f>
        <v/>
      </c>
      <c r="AQ40" s="25" t="str">
        <f>IF(ISNUMBER(X40),SUBSTITUTE(SUBSTITUTE(SUBSTITUTE(SUBSTITUTE(SUBSTITUTE(SUBSTITUTE(SUBSTITUTE(SUBSTITUTE(y_QLabel &amp; IF(RIGHT(S40)="s",y_QELineEdit,y_QELabel),"~PVNAME",$AE40&amp;IF($AC40="map",":RBV","")),"~EGU",$K40),"~PREC",$N40),"~VAR",$F40),"~CANGET",$AH40),"~CANSET",$AI40),"~ROW",X40),"~NAME",$E40),"")</f>
        <v/>
      </c>
      <c r="AR40" s="25" t="e">
        <f>VLOOKUP(G40,y_EPICS_Formats,2,FALSE)</f>
        <v>#N/A</v>
      </c>
      <c r="AS40" s="25" t="str">
        <f>IF(AB40="epics",y_Prefix&amp;AE40&amp;" = ","")</f>
        <v/>
      </c>
      <c r="AT40" s="25" t="str">
        <f>IF(LEN(P40&amp;Q40)&gt;0,IFERROR(";"&amp;I40&amp;"["&amp;K40&amp;"]"&amp;AB40&amp;"("&amp;AC40&amp;")"&amp;CHAR(10)&amp;C40 &amp;CHAR(9)&amp;AG40&amp;CHAR(9)&amp;F40 &amp;CHAR(9),";;Error!"),"")</f>
        <v xml:space="preserve">;Pmac internal variable[]()
#define	tIndTotal	P2074	</v>
      </c>
      <c r="AU40" s="25" t="str">
        <f>IF(IFERROR(AND(AA40&gt;0,LEN(AN40)&gt;0),FALSE),SUBSTITUTE(SUBSTITUTE(SUBSTITUTE(y_archiverXML,"~PVNAME",AE40),"~PREFIX",y_Prefix),"~PERIOD",MIN(30,AA40)),"")</f>
        <v/>
      </c>
      <c r="AV40" s="11" t="str">
        <f>IF($AB40="epics",AV$1-LEN(AE40),"")</f>
        <v/>
      </c>
      <c r="AW40" s="11" t="str">
        <f>IF($AB40="epics",AW$1-LEN(AH40),"")</f>
        <v/>
      </c>
      <c r="AX40" s="11" t="str">
        <f>IF($AB40="epics",AX$1-LEN(AI40),"")</f>
        <v/>
      </c>
      <c r="AY40" s="11" t="str">
        <f>IF($AB40="epics",AY$1-LEN(I40)-LEN(" readback"),"")</f>
        <v/>
      </c>
      <c r="AZ40" s="12">
        <f>IF(LEN(F40)&gt;0,IFERROR(VALUE(RIGHT(F40,LEN(F40)-1)),F40),"zzzzz")</f>
        <v>2074</v>
      </c>
      <c r="BA40" s="12">
        <f>IFERROR(VALUE(RIGHT(F40,LEN(F40)-1)),F40)</f>
        <v>2074</v>
      </c>
      <c r="BB40" s="22" t="str">
        <f>y_Prefix&amp;AE40</f>
        <v>SR05ID01FST01:T_IND_TOTAL</v>
      </c>
    </row>
    <row r="41" spans="1:54" ht="15.75" customHeight="1" x14ac:dyDescent="0.25">
      <c r="A41" s="22">
        <v>37</v>
      </c>
      <c r="B41" s="23"/>
      <c r="C41" s="30" t="str">
        <f>IF(AND(ISBLANK(P41),ISBLANK(Q41)),";","#define")</f>
        <v>;</v>
      </c>
      <c r="D41" s="28"/>
      <c r="E41" s="24" t="s">
        <v>806</v>
      </c>
      <c r="F41" s="10" t="s">
        <v>41</v>
      </c>
      <c r="G41" s="10" t="s">
        <v>810</v>
      </c>
      <c r="H41" s="10"/>
      <c r="I41" s="61" t="s">
        <v>807</v>
      </c>
      <c r="J41" s="10"/>
      <c r="K41" s="10"/>
      <c r="L41" s="10"/>
      <c r="M41" s="10"/>
      <c r="N41" s="10"/>
      <c r="O41" s="15"/>
      <c r="P41" s="48"/>
      <c r="Q41" s="49"/>
      <c r="R41" s="49"/>
      <c r="S41" s="49"/>
      <c r="T41" s="49" t="s">
        <v>365</v>
      </c>
      <c r="U41" s="49" t="s">
        <v>365</v>
      </c>
      <c r="V41" s="49" t="s">
        <v>35</v>
      </c>
      <c r="X41" s="98">
        <v>5</v>
      </c>
      <c r="AB41" s="55" t="str">
        <f>IF(LEN(R41&amp;S41&amp;T41&amp;U41&amp;V41)&gt;0,"epics","")</f>
        <v>epics</v>
      </c>
      <c r="AC41" s="52" t="str">
        <f>IF(NOT(ISBLANK(V41)),"base",IF(AB41="epics",IF(AND(ISBLANK(P41),ISBLANK(Q41)),"nmp","map"),""))</f>
        <v>base</v>
      </c>
      <c r="AD41" s="27" t="str">
        <f>UPPER(AD$1&amp;":"&amp;D41)</f>
        <v>:</v>
      </c>
      <c r="AE41" s="25" t="str">
        <f>UPPER(AE$1&amp;":"&amp;E41)</f>
        <v>:SYS_WARNS</v>
      </c>
      <c r="AF41" s="27" t="str">
        <f>SUBSTITUTE(D41,"_","")</f>
        <v/>
      </c>
      <c r="AG41" s="25" t="str">
        <f>SUBSTITUTE(E41,"_","")&amp;IF(AND(RIGHT(P41)&lt;&gt;"s",RIGHT(Q41)&lt;&gt;"s"),"","")</f>
        <v>sysWarns</v>
      </c>
      <c r="AH41" s="25" t="str">
        <f>IF(ISNUMBER(Y41),Y41,"$(P)"&amp;$AE$1&amp;":"&amp;Y41)</f>
        <v>$(P):</v>
      </c>
      <c r="AI41" s="25" t="str">
        <f>IF(ISNUMBER(Z41),Z41,"$(P)"&amp;$AE$1&amp;":"&amp;Z41)</f>
        <v>$(P):</v>
      </c>
      <c r="AJ41" s="25"/>
      <c r="AK41" s="12" t="str">
        <f>IF(AC41="map",IF(G41="float",y_varMapAnalog,IF(G41="int",y_varMapLongint,IF(G41="bool",y_varMapBool,IF(G41="string",y_varMapString,IF(G41="option",y_varMapOption,"#unknown Type"))))),IF(AC41="nmp",y_nonMappedAnalog,""))</f>
        <v/>
      </c>
      <c r="AL41" s="12" t="str">
        <f>VLOOKUP(G41,y_mapProtocolLUT,3)</f>
        <v>none</v>
      </c>
      <c r="AM41" s="12" t="str">
        <f>VLOOKUP(G41,y_mapProtocolLUT,2)</f>
        <v>@pmac.proto sendString() $(PORT)</v>
      </c>
      <c r="AN41" s="25" t="str">
        <f>IF(LEN(AG41)&gt;0,SUBSTITUTE(SUBSTITUTE(SUBSTITUTE(AK41,"$(DTYP)",y_DTYPE),"$(SETPROTO)",AM41),"$(GETPROTO)",AL41),"")</f>
        <v/>
      </c>
      <c r="AO41" s="25" t="str">
        <f>IFERROR(SUBSTITUTE(SUBSTITUTE(SUBSTITUTE(SUBSTITUTE(SUBSTITUTE(SUBSTITUTE(SUBSTITUTE(SUBSTITUTE(SUBSTITUTE(AN41,"$(Q)",AE41),"$(EGU)",K41),"$(PREC)",N41),"$(VAR)",TRIM(CLEAN(y_dedicatedCS&amp;F41))),"$(GetSB)",AH41),"$(SetSB)",AI41),"$(DESC)",LEFT(I41,40)),"$(ENUMS)",AJ41),"$(DEFAULT)",H41),"")</f>
        <v/>
      </c>
      <c r="AP41" s="25" t="str">
        <f>IF(ISNUMBER(W41),SUBSTITUTE(SUBSTITUTE(SUBSTITUTE(SUBSTITUTE(SUBSTITUTE(SUBSTITUTE(SUBSTITUTE(SUBSTITUTE(y_QLabel &amp; IF(RIGHT(R41)="s",y_QELineEdit,y_QELabel),"~PVNAME",$AE41&amp;IF($AC41="map","","")),"~EGU",$K41),"~PREC",$N41),"~VAR",$F41),"~CANGET",$AH41),"~CANSET",$AI41),"~ROW",W41),"~NAME",$E41),"")</f>
        <v/>
      </c>
      <c r="AQ41" s="25" t="str">
        <f>IF(ISNUMBER(X41),SUBSTITUTE(SUBSTITUTE(SUBSTITUTE(SUBSTITUTE(SUBSTITUTE(SUBSTITUTE(SUBSTITUTE(SUBSTITUTE(y_QLabel &amp; IF(RIGHT(S41)="s",y_QELineEdit,y_QELabel),"~PVNAME",$AE41&amp;IF($AC41="map",":RBV","")),"~EGU",$K41),"~PREC",$N41),"~VAR",$F41),"~CANGET",$AH41),"~CANSET",$AI41),"~ROW",X41),"~NAME",$E41),"")</f>
        <v xml:space="preserve">&lt;item row="5" column="0"&gt;
         &lt;widget class="QLabel" name="L_sys_Warns"&gt;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&lt;string&gt;sys_Warns&lt;/string&gt;
          &lt;/property&gt;
          &lt;property name="margin"&gt;
           &lt;number&gt;3&lt;/number&gt;
          &lt;/property&gt;
         &lt;/widget&gt;
        &lt;/item&gt;
&lt;item row="5" column="1"&gt;
         &lt;widget class="QELabel" name="QL_sys_Warns"&gt;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&lt;string&gt;$(P)$(R):SYS_WARNS&lt;/string&gt;
          &lt;/property&gt;
         &lt;/widget&gt;
   &lt;/item&gt;
</v>
      </c>
      <c r="AR41" s="25" t="e">
        <f>VLOOKUP(G41,y_EPICS_Formats,2,FALSE)</f>
        <v>#N/A</v>
      </c>
      <c r="AS41" s="25" t="str">
        <f>IF(AB41="epics",y_Prefix&amp;AE41&amp;" = ","")</f>
        <v xml:space="preserve">SR05ID01FST01:SYS_WARNS = </v>
      </c>
      <c r="AT41" s="25" t="str">
        <f>IF(LEN(P41&amp;Q41)&gt;0,IFERROR(";"&amp;I41&amp;"["&amp;K41&amp;"]"&amp;AB41&amp;"("&amp;AC41&amp;")"&amp;CHAR(10)&amp;C41 &amp;CHAR(9)&amp;AG41&amp;CHAR(9)&amp;F41 &amp;CHAR(9),";;Error!"),"")</f>
        <v/>
      </c>
      <c r="AU41" s="25" t="str">
        <f>IF(IFERROR(AND(AA41&gt;0,LEN(AN41)&gt;0),FALSE),SUBSTITUTE(SUBSTITUTE(SUBSTITUTE(y_archiverXML,"~PVNAME",AE41),"~PREFIX",y_Prefix),"~PERIOD",MIN(30,AA41)),"")</f>
        <v/>
      </c>
      <c r="AV41" s="11">
        <f>IF($AB41="epics",AV$1-LEN(AE41),"")</f>
        <v>9</v>
      </c>
      <c r="AW41" s="11">
        <f>IF($AB41="epics",AW$1-LEN(AH41),"")</f>
        <v>19</v>
      </c>
      <c r="AX41" s="11">
        <f>IF($AB41="epics",AX$1-LEN(AI41),"")</f>
        <v>19</v>
      </c>
      <c r="AY41" s="11">
        <f>IF($AB41="epics",AY$1-LEN(I41)-LEN(" readback"),"")</f>
        <v>16</v>
      </c>
      <c r="AZ41" s="12" t="str">
        <f>IF(LEN(F41)&gt;0,IFERROR(VALUE(RIGHT(F41,LEN(F41)-1)),F41),"zzzzz")</f>
        <v>none</v>
      </c>
      <c r="BA41" s="12" t="str">
        <f>IFERROR(VALUE(RIGHT(F41,LEN(F41)-1)),F41)</f>
        <v>none</v>
      </c>
      <c r="BB41" s="22" t="str">
        <f>y_Prefix&amp;AE41</f>
        <v>SR05ID01FST01:SYS_WARNS</v>
      </c>
    </row>
    <row r="42" spans="1:54" ht="15.75" customHeight="1" x14ac:dyDescent="0.25">
      <c r="A42" s="22">
        <v>38</v>
      </c>
      <c r="B42" s="23"/>
      <c r="C42" s="30" t="str">
        <f>IF(AND(ISBLANK(P42),ISBLANK(Q42)),";","#define")</f>
        <v>;</v>
      </c>
      <c r="D42" s="29"/>
      <c r="E42" s="24" t="s">
        <v>809</v>
      </c>
      <c r="F42" s="10" t="s">
        <v>41</v>
      </c>
      <c r="G42" s="10" t="s">
        <v>810</v>
      </c>
      <c r="H42" s="10"/>
      <c r="I42" s="61" t="s">
        <v>808</v>
      </c>
      <c r="J42" s="10"/>
      <c r="K42" s="10"/>
      <c r="L42" s="10"/>
      <c r="M42" s="10"/>
      <c r="N42" s="10"/>
      <c r="O42" s="15"/>
      <c r="P42" s="48"/>
      <c r="Q42" s="49"/>
      <c r="R42" s="49"/>
      <c r="S42" s="49"/>
      <c r="T42" s="49" t="s">
        <v>365</v>
      </c>
      <c r="U42" s="49" t="s">
        <v>365</v>
      </c>
      <c r="V42" s="49" t="s">
        <v>35</v>
      </c>
      <c r="X42" s="98">
        <v>6</v>
      </c>
      <c r="AB42" s="55" t="str">
        <f>IF(LEN(R42&amp;S42&amp;T42&amp;U42&amp;V42)&gt;0,"epics","")</f>
        <v>epics</v>
      </c>
      <c r="AC42" s="52" t="str">
        <f>IF(NOT(ISBLANK(V42)),"base",IF(AB42="epics",IF(AND(ISBLANK(P42),ISBLANK(Q42)),"nmp","map"),""))</f>
        <v>base</v>
      </c>
      <c r="AD42" s="27" t="str">
        <f>UPPER(AD$1&amp;":"&amp;D42)</f>
        <v>:</v>
      </c>
      <c r="AE42" s="25" t="str">
        <f>UPPER(AE$1&amp;":"&amp;E42)</f>
        <v>:SYS_ERRORS</v>
      </c>
      <c r="AF42" s="27" t="str">
        <f>SUBSTITUTE(D42,"_","")</f>
        <v/>
      </c>
      <c r="AG42" s="25" t="str">
        <f>SUBSTITUTE(E42,"_","")&amp;IF(AND(RIGHT(P42)&lt;&gt;"s",RIGHT(Q42)&lt;&gt;"s"),"","")</f>
        <v>sysErrors</v>
      </c>
      <c r="AH42" s="25" t="str">
        <f>IF(ISNUMBER(Y42),Y42,"$(P)"&amp;$AE$1&amp;":"&amp;Y42)</f>
        <v>$(P):</v>
      </c>
      <c r="AI42" s="25" t="str">
        <f>IF(ISNUMBER(Z42),Z42,"$(P)"&amp;$AE$1&amp;":"&amp;Z42)</f>
        <v>$(P):</v>
      </c>
      <c r="AJ42" s="25"/>
      <c r="AK42" s="12" t="str">
        <f>IF(AC42="map",IF(G42="float",y_varMapAnalog,IF(G42="int",y_varMapLongint,IF(G42="bool",y_varMapBool,IF(G42="string",y_varMapString,IF(G42="option",y_varMapOption,"#unknown Type"))))),IF(AC42="nmp",y_nonMappedAnalog,""))</f>
        <v/>
      </c>
      <c r="AL42" s="12" t="str">
        <f>VLOOKUP(G42,y_mapProtocolLUT,3)</f>
        <v>none</v>
      </c>
      <c r="AM42" s="12" t="str">
        <f>VLOOKUP(G42,y_mapProtocolLUT,2)</f>
        <v>@pmac.proto sendString() $(PORT)</v>
      </c>
      <c r="AN42" s="25" t="str">
        <f>IF(LEN(AG42)&gt;0,SUBSTITUTE(SUBSTITUTE(SUBSTITUTE(AK42,"$(DTYP)",y_DTYPE),"$(SETPROTO)",AM42),"$(GETPROTO)",AL42),"")</f>
        <v/>
      </c>
      <c r="AO42" s="25" t="str">
        <f>IFERROR(SUBSTITUTE(SUBSTITUTE(SUBSTITUTE(SUBSTITUTE(SUBSTITUTE(SUBSTITUTE(SUBSTITUTE(SUBSTITUTE(SUBSTITUTE(AN42,"$(Q)",AE42),"$(EGU)",K42),"$(PREC)",N42),"$(VAR)",TRIM(CLEAN(y_dedicatedCS&amp;F42))),"$(GetSB)",AH42),"$(SetSB)",AI42),"$(DESC)",LEFT(I42,40)),"$(ENUMS)",AJ42),"$(DEFAULT)",H42),"")</f>
        <v/>
      </c>
      <c r="AP42" s="25" t="str">
        <f>IF(ISNUMBER(W42),SUBSTITUTE(SUBSTITUTE(SUBSTITUTE(SUBSTITUTE(SUBSTITUTE(SUBSTITUTE(SUBSTITUTE(SUBSTITUTE(y_QLabel &amp; IF(RIGHT(R42)="s",y_QELineEdit,y_QELabel),"~PVNAME",$AE42&amp;IF($AC42="map","","")),"~EGU",$K42),"~PREC",$N42),"~VAR",$F42),"~CANGET",$AH42),"~CANSET",$AI42),"~ROW",W42),"~NAME",$E42),"")</f>
        <v/>
      </c>
      <c r="AQ42" s="25" t="str">
        <f>IF(ISNUMBER(X42),SUBSTITUTE(SUBSTITUTE(SUBSTITUTE(SUBSTITUTE(SUBSTITUTE(SUBSTITUTE(SUBSTITUTE(SUBSTITUTE(y_QLabel &amp; IF(RIGHT(S42)="s",y_QELineEdit,y_QELabel),"~PVNAME",$AE42&amp;IF($AC42="map",":RBV","")),"~EGU",$K42),"~PREC",$N42),"~VAR",$F42),"~CANGET",$AH42),"~CANSET",$AI42),"~ROW",X42),"~NAME",$E42),"")</f>
        <v xml:space="preserve">&lt;item row="6" column="0"&gt;
         &lt;widget class="QLabel" name="L_sys_Errors"&gt;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&lt;string&gt;sys_Errors&lt;/string&gt;
          &lt;/property&gt;
          &lt;property name="margin"&gt;
           &lt;number&gt;3&lt;/number&gt;
          &lt;/property&gt;
         &lt;/widget&gt;
        &lt;/item&gt;
&lt;item row="6" column="1"&gt;
         &lt;widget class="QELabel" name="QL_sys_Errors"&gt;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&lt;string&gt;$(P)$(R):SYS_ERRORS&lt;/string&gt;
          &lt;/property&gt;
         &lt;/widget&gt;
   &lt;/item&gt;
</v>
      </c>
      <c r="AR42" s="25" t="e">
        <f>VLOOKUP(G42,y_EPICS_Formats,2,FALSE)</f>
        <v>#N/A</v>
      </c>
      <c r="AS42" s="25" t="str">
        <f>IF(AB42="epics",y_Prefix&amp;AE42&amp;" = ","")</f>
        <v xml:space="preserve">SR05ID01FST01:SYS_ERRORS = </v>
      </c>
      <c r="AT42" s="25" t="str">
        <f>IF(LEN(P42&amp;Q42)&gt;0,IFERROR(";"&amp;I42&amp;"["&amp;K42&amp;"]"&amp;AB42&amp;"("&amp;AC42&amp;")"&amp;CHAR(10)&amp;C42 &amp;CHAR(9)&amp;AG42&amp;CHAR(9)&amp;F42 &amp;CHAR(9),";;Error!"),"")</f>
        <v/>
      </c>
      <c r="AU42" s="25" t="str">
        <f>IF(IFERROR(AND(AA42&gt;0,LEN(AN42)&gt;0),FALSE),SUBSTITUTE(SUBSTITUTE(SUBSTITUTE(y_archiverXML,"~PVNAME",AE42),"~PREFIX",y_Prefix),"~PERIOD",MIN(30,AA42)),"")</f>
        <v/>
      </c>
      <c r="AV42" s="11">
        <f>IF($AB42="epics",AV$1-LEN(AE42),"")</f>
        <v>8</v>
      </c>
      <c r="AW42" s="11">
        <f>IF($AB42="epics",AW$1-LEN(AH42),"")</f>
        <v>19</v>
      </c>
      <c r="AX42" s="11">
        <f>IF($AB42="epics",AX$1-LEN(AI42),"")</f>
        <v>19</v>
      </c>
      <c r="AY42" s="11">
        <f>IF($AB42="epics",AY$1-LEN(I42)-LEN(" readback"),"")</f>
        <v>18</v>
      </c>
      <c r="AZ42" s="12" t="str">
        <f>IF(LEN(F42)&gt;0,IFERROR(VALUE(RIGHT(F42,LEN(F42)-1)),F42),"zzzzz")</f>
        <v>none</v>
      </c>
      <c r="BA42" s="12" t="str">
        <f>IFERROR(VALUE(RIGHT(F42,LEN(F42)-1)),F42)</f>
        <v>none</v>
      </c>
      <c r="BB42" s="22" t="str">
        <f>y_Prefix&amp;AE42</f>
        <v>SR05ID01FST01:SYS_ERRORS</v>
      </c>
    </row>
    <row r="43" spans="1:54" ht="15.75" customHeight="1" x14ac:dyDescent="0.25">
      <c r="A43" s="22">
        <v>39</v>
      </c>
      <c r="B43" s="23"/>
      <c r="C43" s="30" t="str">
        <f>IF(AND(ISBLANK(P43),ISBLANK(Q43)),";","#define")</f>
        <v>;</v>
      </c>
      <c r="D43" s="29"/>
      <c r="E43" s="24" t="s">
        <v>620</v>
      </c>
      <c r="F43" s="10" t="s">
        <v>621</v>
      </c>
      <c r="G43" s="10"/>
      <c r="H43" s="10"/>
      <c r="I43" s="61"/>
      <c r="J43" s="10"/>
      <c r="K43" s="10"/>
      <c r="L43" s="10"/>
      <c r="M43" s="10"/>
      <c r="N43" s="10"/>
      <c r="O43" s="15"/>
      <c r="P43" s="48"/>
      <c r="Q43" s="49"/>
      <c r="R43" s="49"/>
      <c r="S43" s="49"/>
      <c r="T43" s="49"/>
      <c r="U43" s="49"/>
      <c r="V43" s="49"/>
      <c r="AB43" s="55" t="str">
        <f>IF(LEN(R43&amp;S43&amp;T43&amp;U43&amp;V43)&gt;0,"epics","")</f>
        <v/>
      </c>
      <c r="AC43" s="52" t="str">
        <f>IF(NOT(ISBLANK(V43)),"base",IF(AB43="epics",IF(AND(ISBLANK(P43),ISBLANK(Q43)),"nmp","map"),""))</f>
        <v/>
      </c>
      <c r="AD43" s="27" t="str">
        <f>UPPER(AD$1&amp;":"&amp;D43)</f>
        <v>:</v>
      </c>
      <c r="AE43" s="25" t="str">
        <f>UPPER(AE$1&amp;":"&amp;E43)</f>
        <v>:DIR</v>
      </c>
      <c r="AF43" s="27" t="str">
        <f>SUBSTITUTE(D43,"_","")</f>
        <v/>
      </c>
      <c r="AG43" s="25" t="str">
        <f>SUBSTITUTE(E43,"_","")&amp;IF(AND(RIGHT(P43)&lt;&gt;"s",RIGHT(Q43)&lt;&gt;"s"),"","")</f>
        <v>DIR</v>
      </c>
      <c r="AH43" s="25" t="str">
        <f>IF(ISNUMBER(Y43),Y43,"$(P)"&amp;$AE$1&amp;":"&amp;Y43)</f>
        <v>$(P):</v>
      </c>
      <c r="AI43" s="25" t="str">
        <f>IF(ISNUMBER(Z43),Z43,"$(P)"&amp;$AE$1&amp;":"&amp;Z43)</f>
        <v>$(P):</v>
      </c>
      <c r="AJ43" s="25"/>
      <c r="AK43" s="12" t="str">
        <f>IF(AC43="map",IF(G43="float",y_varMapAnalog,IF(G43="int",y_varMapLongint,IF(G43="bool",y_varMapBool,IF(G43="string",y_varMapString,IF(G43="option",y_varMapOption,"#unknown Type"))))),IF(AC43="nmp",y_nonMappedAnalog,""))</f>
        <v/>
      </c>
      <c r="AL43" s="12" t="e">
        <f>VLOOKUP(G43,y_mapProtocolLUT,3)</f>
        <v>#N/A</v>
      </c>
      <c r="AM43" s="12" t="e">
        <f>VLOOKUP(G43,y_mapProtocolLUT,2)</f>
        <v>#N/A</v>
      </c>
      <c r="AN43" s="25" t="e">
        <f>IF(LEN(AG43)&gt;0,SUBSTITUTE(SUBSTITUTE(SUBSTITUTE(AK43,"$(DTYP)",y_DTYPE),"$(SETPROTO)",AM43),"$(GETPROTO)",AL43),"")</f>
        <v>#N/A</v>
      </c>
      <c r="AO43" s="25" t="str">
        <f>IFERROR(SUBSTITUTE(SUBSTITUTE(SUBSTITUTE(SUBSTITUTE(SUBSTITUTE(SUBSTITUTE(SUBSTITUTE(SUBSTITUTE(SUBSTITUTE(AN43,"$(Q)",AE43),"$(EGU)",K43),"$(PREC)",N43),"$(VAR)",TRIM(CLEAN(y_dedicatedCS&amp;F43))),"$(GetSB)",AH43),"$(SetSB)",AI43),"$(DESC)",LEFT(I43,40)),"$(ENUMS)",AJ43),"$(DEFAULT)",H43),"")</f>
        <v/>
      </c>
      <c r="AP43" s="25" t="str">
        <f>IF(ISNUMBER(W43),SUBSTITUTE(SUBSTITUTE(SUBSTITUTE(SUBSTITUTE(SUBSTITUTE(SUBSTITUTE(SUBSTITUTE(SUBSTITUTE(y_QLabel &amp; IF(RIGHT(R43)="s",y_QELineEdit,y_QELabel),"~PVNAME",$AE43&amp;IF($AC43="map","","")),"~EGU",$K43),"~PREC",$N43),"~VAR",$F43),"~CANGET",$AH43),"~CANSET",$AI43),"~ROW",W43),"~NAME",$E43),"")</f>
        <v/>
      </c>
      <c r="AQ43" s="25" t="str">
        <f>IF(ISNUMBER(X43),SUBSTITUTE(SUBSTITUTE(SUBSTITUTE(SUBSTITUTE(SUBSTITUTE(SUBSTITUTE(SUBSTITUTE(SUBSTITUTE(y_QLabel &amp; IF(RIGHT(S43)="s",y_QELineEdit,y_QELabel),"~PVNAME",$AE43&amp;IF($AC43="map",":RBV","")),"~EGU",$K43),"~PREC",$N43),"~VAR",$F43),"~CANGET",$AH43),"~CANSET",$AI43),"~ROW",X43),"~NAME",$E43),"")</f>
        <v/>
      </c>
      <c r="AR43" s="25" t="e">
        <f>VLOOKUP(G43,y_EPICS_Formats,2,FALSE)</f>
        <v>#N/A</v>
      </c>
      <c r="AS43" s="25" t="str">
        <f>IF(AB43="epics",y_Prefix&amp;AE43&amp;" = ","")</f>
        <v/>
      </c>
      <c r="AT43" s="25" t="str">
        <f>IF(LEN(P43&amp;Q43)&gt;0,IFERROR(";"&amp;I43&amp;"["&amp;K43&amp;"]"&amp;AB43&amp;"("&amp;AC43&amp;")"&amp;CHAR(10)&amp;C43 &amp;CHAR(9)&amp;AG43&amp;CHAR(9)&amp;F43 &amp;CHAR(9),";;Error!"),"")</f>
        <v/>
      </c>
      <c r="AU43" s="25" t="str">
        <f>IF(IFERROR(AND(AA43&gt;0,LEN(AN43)&gt;0),FALSE),SUBSTITUTE(SUBSTITUTE(SUBSTITUTE(y_archiverXML,"~PVNAME",AE43),"~PREFIX",y_Prefix),"~PERIOD",MIN(30,AA43)),"")</f>
        <v/>
      </c>
      <c r="AV43" s="11" t="str">
        <f>IF($AB43="epics",AV$1-LEN(AE43),"")</f>
        <v/>
      </c>
      <c r="AW43" s="11" t="str">
        <f>IF($AB43="epics",AW$1-LEN(AH43),"")</f>
        <v/>
      </c>
      <c r="AX43" s="11" t="str">
        <f>IF($AB43="epics",AX$1-LEN(AI43),"")</f>
        <v/>
      </c>
      <c r="AY43" s="11" t="str">
        <f>IF($AB43="epics",AY$1-LEN(I43)-LEN(" readback"),"")</f>
        <v/>
      </c>
      <c r="AZ43" s="12" t="str">
        <f>IF(LEN(F43)&gt;0,IFERROR(VALUE(RIGHT(F43,LEN(F43)-1)),F43),"zzzzz")</f>
        <v>x</v>
      </c>
      <c r="BA43" s="12" t="str">
        <f>IFERROR(VALUE(RIGHT(F43,LEN(F43)-1)),F43)</f>
        <v>x</v>
      </c>
      <c r="BB43" s="22" t="str">
        <f>y_Prefix&amp;AE43</f>
        <v>SR05ID01FST01:DIR</v>
      </c>
    </row>
    <row r="44" spans="1:54" ht="15.75" customHeight="1" x14ac:dyDescent="0.25">
      <c r="A44" s="22">
        <v>40</v>
      </c>
      <c r="B44" s="23"/>
      <c r="C44" s="30" t="str">
        <f>IF(AND(ISBLANK(P44),ISBLANK(Q44)),";","#define")</f>
        <v>#define</v>
      </c>
      <c r="D44" s="29"/>
      <c r="E44" s="24" t="s">
        <v>622</v>
      </c>
      <c r="F44" s="10" t="s">
        <v>623</v>
      </c>
      <c r="G44" s="10"/>
      <c r="H44" s="10"/>
      <c r="I44" s="61" t="s">
        <v>624</v>
      </c>
      <c r="J44" s="10" t="s">
        <v>625</v>
      </c>
      <c r="K44" s="10"/>
      <c r="L44" s="10"/>
      <c r="M44" s="10"/>
      <c r="N44" s="10"/>
      <c r="O44" s="15"/>
      <c r="P44" s="48" t="s">
        <v>365</v>
      </c>
      <c r="Q44" s="49"/>
      <c r="R44" s="49"/>
      <c r="S44" s="49"/>
      <c r="T44" s="49"/>
      <c r="U44" s="49"/>
      <c r="V44" s="49"/>
      <c r="AB44" s="55" t="str">
        <f>IF(LEN(R44&amp;S44&amp;T44&amp;U44&amp;V44)&gt;0,"epics","")</f>
        <v/>
      </c>
      <c r="AC44" s="52" t="str">
        <f>IF(NOT(ISBLANK(V44)),"base",IF(AB44="epics",IF(AND(ISBLANK(P44),ISBLANK(Q44)),"nmp","map"),""))</f>
        <v/>
      </c>
      <c r="AD44" s="27" t="str">
        <f>UPPER(AD$1&amp;":"&amp;D44)</f>
        <v>:</v>
      </c>
      <c r="AE44" s="25" t="str">
        <f>UPPER(AE$1&amp;":"&amp;E44)</f>
        <v>:DUM</v>
      </c>
      <c r="AF44" s="27" t="str">
        <f>SUBSTITUTE(D44,"_","")</f>
        <v/>
      </c>
      <c r="AG44" s="25" t="str">
        <f>SUBSTITUTE(E44,"_","")&amp;IF(AND(RIGHT(P44)&lt;&gt;"s",RIGHT(Q44)&lt;&gt;"s"),"","")</f>
        <v>dum</v>
      </c>
      <c r="AH44" s="25" t="str">
        <f>IF(ISNUMBER(Y44),Y44,"$(P)"&amp;$AE$1&amp;":"&amp;Y44)</f>
        <v>$(P):</v>
      </c>
      <c r="AI44" s="25" t="str">
        <f>IF(ISNUMBER(Z44),Z44,"$(P)"&amp;$AE$1&amp;":"&amp;Z44)</f>
        <v>$(P):</v>
      </c>
      <c r="AJ44" s="25"/>
      <c r="AK44" s="12" t="str">
        <f>IF(AC44="map",IF(G44="float",y_varMapAnalog,IF(G44="int",y_varMapLongint,IF(G44="bool",y_varMapBool,IF(G44="string",y_varMapString,IF(G44="option",y_varMapOption,"#unknown Type"))))),IF(AC44="nmp",y_nonMappedAnalog,""))</f>
        <v/>
      </c>
      <c r="AL44" s="12" t="e">
        <f>VLOOKUP(G44,y_mapProtocolLUT,3)</f>
        <v>#N/A</v>
      </c>
      <c r="AM44" s="12" t="e">
        <f>VLOOKUP(G44,y_mapProtocolLUT,2)</f>
        <v>#N/A</v>
      </c>
      <c r="AN44" s="25" t="e">
        <f>IF(LEN(AG44)&gt;0,SUBSTITUTE(SUBSTITUTE(SUBSTITUTE(AK44,"$(DTYP)",y_DTYPE),"$(SETPROTO)",AM44),"$(GETPROTO)",AL44),"")</f>
        <v>#N/A</v>
      </c>
      <c r="AO44" s="25" t="str">
        <f>IFERROR(SUBSTITUTE(SUBSTITUTE(SUBSTITUTE(SUBSTITUTE(SUBSTITUTE(SUBSTITUTE(SUBSTITUTE(SUBSTITUTE(SUBSTITUTE(AN44,"$(Q)",AE44),"$(EGU)",K44),"$(PREC)",N44),"$(VAR)",TRIM(CLEAN(y_dedicatedCS&amp;F44))),"$(GetSB)",AH44),"$(SetSB)",AI44),"$(DESC)",LEFT(I44,40)),"$(ENUMS)",AJ44),"$(DEFAULT)",H44),"")</f>
        <v/>
      </c>
      <c r="AP44" s="25" t="str">
        <f>IF(ISNUMBER(W44),SUBSTITUTE(SUBSTITUTE(SUBSTITUTE(SUBSTITUTE(SUBSTITUTE(SUBSTITUTE(SUBSTITUTE(SUBSTITUTE(y_QLabel &amp; IF(RIGHT(R44)="s",y_QELineEdit,y_QELabel),"~PVNAME",$AE44&amp;IF($AC44="map","","")),"~EGU",$K44),"~PREC",$N44),"~VAR",$F44),"~CANGET",$AH44),"~CANSET",$AI44),"~ROW",W44),"~NAME",$E44),"")</f>
        <v/>
      </c>
      <c r="AQ44" s="25" t="str">
        <f>IF(ISNUMBER(X44),SUBSTITUTE(SUBSTITUTE(SUBSTITUTE(SUBSTITUTE(SUBSTITUTE(SUBSTITUTE(SUBSTITUTE(SUBSTITUTE(y_QLabel &amp; IF(RIGHT(S44)="s",y_QELineEdit,y_QELabel),"~PVNAME",$AE44&amp;IF($AC44="map",":RBV","")),"~EGU",$K44),"~PREC",$N44),"~VAR",$F44),"~CANGET",$AH44),"~CANSET",$AI44),"~ROW",X44),"~NAME",$E44),"")</f>
        <v/>
      </c>
      <c r="AR44" s="25" t="e">
        <f>VLOOKUP(G44,y_EPICS_Formats,2,FALSE)</f>
        <v>#N/A</v>
      </c>
      <c r="AS44" s="25" t="str">
        <f>IF(AB44="epics",y_Prefix&amp;AE44&amp;" = ","")</f>
        <v/>
      </c>
      <c r="AT44" s="25" t="str">
        <f>IF(LEN(P44&amp;Q44)&gt;0,IFERROR(";"&amp;I44&amp;"["&amp;K44&amp;"]"&amp;AB44&amp;"("&amp;AC44&amp;")"&amp;CHAR(10)&amp;C44 &amp;CHAR(9)&amp;AG44&amp;CHAR(9)&amp;F44 &amp;CHAR(9),";;Error!"),"")</f>
        <v xml:space="preserve">;Pmac internal variable[]()
#define	dum	P2066	</v>
      </c>
      <c r="AU44" s="25" t="str">
        <f>IF(IFERROR(AND(AA44&gt;0,LEN(AN44)&gt;0),FALSE),SUBSTITUTE(SUBSTITUTE(SUBSTITUTE(y_archiverXML,"~PVNAME",AE44),"~PREFIX",y_Prefix),"~PERIOD",MIN(30,AA44)),"")</f>
        <v/>
      </c>
      <c r="AV44" s="11" t="str">
        <f>IF($AB44="epics",AV$1-LEN(AE44),"")</f>
        <v/>
      </c>
      <c r="AW44" s="11" t="str">
        <f>IF($AB44="epics",AW$1-LEN(AH44),"")</f>
        <v/>
      </c>
      <c r="AX44" s="11" t="str">
        <f>IF($AB44="epics",AX$1-LEN(AI44),"")</f>
        <v/>
      </c>
      <c r="AY44" s="11" t="str">
        <f>IF($AB44="epics",AY$1-LEN(I44)-LEN(" readback"),"")</f>
        <v/>
      </c>
      <c r="AZ44" s="12">
        <f>IF(LEN(F44)&gt;0,IFERROR(VALUE(RIGHT(F44,LEN(F44)-1)),F44),"zzzzz")</f>
        <v>2066</v>
      </c>
      <c r="BA44" s="12">
        <f>IFERROR(VALUE(RIGHT(F44,LEN(F44)-1)),F44)</f>
        <v>2066</v>
      </c>
      <c r="BB44" s="22" t="str">
        <f>y_Prefix&amp;AE44</f>
        <v>SR05ID01FST01:DUM</v>
      </c>
    </row>
    <row r="45" spans="1:54" ht="15.75" customHeight="1" x14ac:dyDescent="0.25">
      <c r="A45" s="22">
        <v>41</v>
      </c>
      <c r="B45" s="23"/>
      <c r="C45" s="30" t="str">
        <f>IF(AND(ISBLANK(P45),ISBLANK(Q45)),";","#define")</f>
        <v>#define</v>
      </c>
      <c r="D45" s="29"/>
      <c r="E45" s="24" t="s">
        <v>626</v>
      </c>
      <c r="F45" s="10">
        <v>5</v>
      </c>
      <c r="G45" s="10"/>
      <c r="H45" s="10">
        <v>5</v>
      </c>
      <c r="I45" s="61" t="s">
        <v>627</v>
      </c>
      <c r="J45" s="10" t="s">
        <v>625</v>
      </c>
      <c r="K45" s="10"/>
      <c r="L45" s="10"/>
      <c r="M45" s="10"/>
      <c r="N45" s="10"/>
      <c r="O45" s="15"/>
      <c r="P45" s="48" t="s">
        <v>365</v>
      </c>
      <c r="Q45" s="49"/>
      <c r="R45" s="49"/>
      <c r="S45" s="49"/>
      <c r="T45" s="49"/>
      <c r="U45" s="49"/>
      <c r="V45" s="49"/>
      <c r="AB45" s="55" t="str">
        <f>IF(LEN(R45&amp;S45&amp;T45&amp;U45&amp;V45)&gt;0,"epics","")</f>
        <v/>
      </c>
      <c r="AC45" s="52" t="str">
        <f>IF(NOT(ISBLANK(V45)),"base",IF(AB45="epics",IF(AND(ISBLANK(P45),ISBLANK(Q45)),"nmp","map"),""))</f>
        <v/>
      </c>
      <c r="AD45" s="27" t="str">
        <f>UPPER(AD$1&amp;":"&amp;D45)</f>
        <v>:</v>
      </c>
      <c r="AE45" s="25" t="str">
        <f>UPPER(AE$1&amp;":"&amp;E45)</f>
        <v>:ER_A1_IN</v>
      </c>
      <c r="AF45" s="27" t="str">
        <f>SUBSTITUTE(D45,"_","")</f>
        <v/>
      </c>
      <c r="AG45" s="25" t="str">
        <f>SUBSTITUTE(E45,"_","")&amp;IF(AND(RIGHT(P45)&lt;&gt;"s",RIGHT(Q45)&lt;&gt;"s"),"","")</f>
        <v>era1In</v>
      </c>
      <c r="AH45" s="25" t="str">
        <f>IF(ISNUMBER(Y45),Y45,"$(P)"&amp;$AE$1&amp;":"&amp;Y45)</f>
        <v>$(P):</v>
      </c>
      <c r="AI45" s="25" t="str">
        <f>IF(ISNUMBER(Z45),Z45,"$(P)"&amp;$AE$1&amp;":"&amp;Z45)</f>
        <v>$(P):</v>
      </c>
      <c r="AJ45" s="25"/>
      <c r="AK45" s="12" t="str">
        <f>IF(AC45="map",IF(G45="float",y_varMapAnalog,IF(G45="int",y_varMapLongint,IF(G45="bool",y_varMapBool,IF(G45="string",y_varMapString,IF(G45="option",y_varMapOption,"#unknown Type"))))),IF(AC45="nmp",y_nonMappedAnalog,""))</f>
        <v/>
      </c>
      <c r="AL45" s="12" t="e">
        <f>VLOOKUP(G45,y_mapProtocolLUT,3)</f>
        <v>#N/A</v>
      </c>
      <c r="AM45" s="12" t="e">
        <f>VLOOKUP(G45,y_mapProtocolLUT,2)</f>
        <v>#N/A</v>
      </c>
      <c r="AN45" s="25" t="e">
        <f>IF(LEN(AG45)&gt;0,SUBSTITUTE(SUBSTITUTE(SUBSTITUTE(AK45,"$(DTYP)",y_DTYPE),"$(SETPROTO)",AM45),"$(GETPROTO)",AL45),"")</f>
        <v>#N/A</v>
      </c>
      <c r="AO45" s="25" t="str">
        <f>IFERROR(SUBSTITUTE(SUBSTITUTE(SUBSTITUTE(SUBSTITUTE(SUBSTITUTE(SUBSTITUTE(SUBSTITUTE(SUBSTITUTE(SUBSTITUTE(AN45,"$(Q)",AE45),"$(EGU)",K45),"$(PREC)",N45),"$(VAR)",TRIM(CLEAN(y_dedicatedCS&amp;F45))),"$(GetSB)",AH45),"$(SetSB)",AI45),"$(DESC)",LEFT(I45,40)),"$(ENUMS)",AJ45),"$(DEFAULT)",H45),"")</f>
        <v/>
      </c>
      <c r="AP45" s="25" t="str">
        <f>IF(ISNUMBER(W45),SUBSTITUTE(SUBSTITUTE(SUBSTITUTE(SUBSTITUTE(SUBSTITUTE(SUBSTITUTE(SUBSTITUTE(SUBSTITUTE(y_QLabel &amp; IF(RIGHT(R45)="s",y_QELineEdit,y_QELabel),"~PVNAME",$AE45&amp;IF($AC45="map","","")),"~EGU",$K45),"~PREC",$N45),"~VAR",$F45),"~CANGET",$AH45),"~CANSET",$AI45),"~ROW",W45),"~NAME",$E45),"")</f>
        <v/>
      </c>
      <c r="AQ45" s="25" t="str">
        <f>IF(ISNUMBER(X45),SUBSTITUTE(SUBSTITUTE(SUBSTITUTE(SUBSTITUTE(SUBSTITUTE(SUBSTITUTE(SUBSTITUTE(SUBSTITUTE(y_QLabel &amp; IF(RIGHT(S45)="s",y_QELineEdit,y_QELabel),"~PVNAME",$AE45&amp;IF($AC45="map",":RBV","")),"~EGU",$K45),"~PREC",$N45),"~VAR",$F45),"~CANGET",$AH45),"~CANSET",$AI45),"~ROW",X45),"~NAME",$E45),"")</f>
        <v/>
      </c>
      <c r="AR45" s="25" t="e">
        <f>VLOOKUP(G45,y_EPICS_Formats,2,FALSE)</f>
        <v>#N/A</v>
      </c>
      <c r="AS45" s="25" t="str">
        <f>IF(AB45="epics",y_Prefix&amp;AE45&amp;" = ","")</f>
        <v/>
      </c>
      <c r="AT45" s="25" t="str">
        <f>IF(LEN(P45&amp;Q45)&gt;0,IFERROR(";"&amp;I45&amp;"["&amp;K45&amp;"]"&amp;AB45&amp;"("&amp;AC45&amp;")"&amp;CHAR(10)&amp;C45 &amp;CHAR(9)&amp;AG45&amp;CHAR(9)&amp;F45 &amp;CHAR(9),";;Error!"),"")</f>
        <v xml:space="preserve">;Inner-skip accel. exceeds limits[]()
#define	era1In	5	</v>
      </c>
      <c r="AU45" s="25" t="str">
        <f>IF(IFERROR(AND(AA45&gt;0,LEN(AN45)&gt;0),FALSE),SUBSTITUTE(SUBSTITUTE(SUBSTITUTE(y_archiverXML,"~PVNAME",AE45),"~PREFIX",y_Prefix),"~PERIOD",MIN(30,AA45)),"")</f>
        <v/>
      </c>
      <c r="AV45" s="11" t="str">
        <f>IF($AB45="epics",AV$1-LEN(AE45),"")</f>
        <v/>
      </c>
      <c r="AW45" s="11" t="str">
        <f>IF($AB45="epics",AW$1-LEN(AH45),"")</f>
        <v/>
      </c>
      <c r="AX45" s="11" t="str">
        <f>IF($AB45="epics",AX$1-LEN(AI45),"")</f>
        <v/>
      </c>
      <c r="AY45" s="11" t="str">
        <f>IF($AB45="epics",AY$1-LEN(I45)-LEN(" readback"),"")</f>
        <v/>
      </c>
      <c r="AZ45" s="12">
        <f>IF(LEN(F45)&gt;0,IFERROR(VALUE(RIGHT(F45,LEN(F45)-1)),F45),"zzzzz")</f>
        <v>5</v>
      </c>
      <c r="BA45" s="12">
        <f>IFERROR(VALUE(RIGHT(F45,LEN(F45)-1)),F45)</f>
        <v>5</v>
      </c>
      <c r="BB45" s="22" t="str">
        <f>y_Prefix&amp;AE45</f>
        <v>SR05ID01FST01:ER_A1_IN</v>
      </c>
    </row>
    <row r="46" spans="1:54" ht="15.75" customHeight="1" x14ac:dyDescent="0.25">
      <c r="A46" s="22">
        <v>42</v>
      </c>
      <c r="B46" s="23"/>
      <c r="C46" s="30" t="str">
        <f>IF(AND(ISBLANK(P46),ISBLANK(Q46)),";","#define")</f>
        <v>#define</v>
      </c>
      <c r="D46" s="28"/>
      <c r="E46" s="22" t="s">
        <v>628</v>
      </c>
      <c r="F46" s="10">
        <v>2</v>
      </c>
      <c r="G46" s="10"/>
      <c r="H46" s="10">
        <v>2</v>
      </c>
      <c r="I46" s="61" t="s">
        <v>629</v>
      </c>
      <c r="J46" s="10" t="s">
        <v>625</v>
      </c>
      <c r="K46" s="10"/>
      <c r="L46" s="10"/>
      <c r="M46" s="10"/>
      <c r="N46" s="10"/>
      <c r="O46" s="15"/>
      <c r="P46" s="49" t="s">
        <v>365</v>
      </c>
      <c r="Q46" s="49"/>
      <c r="R46" s="49"/>
      <c r="S46" s="49"/>
      <c r="T46" s="49"/>
      <c r="U46" s="49"/>
      <c r="V46" s="49"/>
      <c r="AB46" s="55" t="str">
        <f>IF(LEN(R46&amp;S46&amp;T46&amp;U46&amp;V46)&gt;0,"epics","")</f>
        <v/>
      </c>
      <c r="AC46" s="52" t="str">
        <f>IF(NOT(ISBLANK(V46)),"base",IF(AB46="epics",IF(AND(ISBLANK(P46),ISBLANK(Q46)),"nmp","map"),""))</f>
        <v/>
      </c>
      <c r="AD46" s="27" t="str">
        <f>UPPER(AD$1&amp;":"&amp;D46)</f>
        <v>:</v>
      </c>
      <c r="AE46" s="25" t="str">
        <f>UPPER(AE$1&amp;":"&amp;E46)</f>
        <v>:ER_D1_IN</v>
      </c>
      <c r="AF46" s="27" t="str">
        <f>SUBSTITUTE(D46,"_","")</f>
        <v/>
      </c>
      <c r="AG46" s="25" t="str">
        <f>SUBSTITUTE(E46,"_","")&amp;IF(AND(RIGHT(P46)&lt;&gt;"s",RIGHT(Q46)&lt;&gt;"s"),"","")</f>
        <v>erd1In</v>
      </c>
      <c r="AH46" s="25" t="str">
        <f>IF(ISNUMBER(Y46),Y46,"$(P)"&amp;$AE$1&amp;":"&amp;Y46)</f>
        <v>$(P):</v>
      </c>
      <c r="AI46" s="25" t="str">
        <f>IF(ISNUMBER(Z46),Z46,"$(P)"&amp;$AE$1&amp;":"&amp;Z46)</f>
        <v>$(P):</v>
      </c>
      <c r="AJ46" s="25"/>
      <c r="AK46" s="12" t="str">
        <f>IF(AC46="map",IF(G46="float",y_varMapAnalog,IF(G46="int",y_varMapLongint,IF(G46="bool",y_varMapBool,IF(G46="string",y_varMapString,IF(G46="option",y_varMapOption,"#unknown Type"))))),IF(AC46="nmp",y_nonMappedAnalog,""))</f>
        <v/>
      </c>
      <c r="AL46" s="12" t="e">
        <f>VLOOKUP(G46,y_mapProtocolLUT,3)</f>
        <v>#N/A</v>
      </c>
      <c r="AM46" s="12" t="e">
        <f>VLOOKUP(G46,y_mapProtocolLUT,2)</f>
        <v>#N/A</v>
      </c>
      <c r="AN46" s="25" t="e">
        <f>IF(LEN(AG46)&gt;0,SUBSTITUTE(SUBSTITUTE(SUBSTITUTE(AK46,"$(DTYP)",y_DTYPE),"$(SETPROTO)",AM46),"$(GETPROTO)",AL46),"")</f>
        <v>#N/A</v>
      </c>
      <c r="AO46" s="25" t="str">
        <f>IFERROR(SUBSTITUTE(SUBSTITUTE(SUBSTITUTE(SUBSTITUTE(SUBSTITUTE(SUBSTITUTE(SUBSTITUTE(SUBSTITUTE(SUBSTITUTE(AN46,"$(Q)",AE46),"$(EGU)",K46),"$(PREC)",N46),"$(VAR)",TRIM(CLEAN(y_dedicatedCS&amp;F46))),"$(GetSB)",AH46),"$(SetSB)",AI46),"$(DESC)",LEFT(I46,40)),"$(ENUMS)",AJ46),"$(DEFAULT)",H46),"")</f>
        <v/>
      </c>
      <c r="AP46" s="25" t="str">
        <f>IF(ISNUMBER(W46),SUBSTITUTE(SUBSTITUTE(SUBSTITUTE(SUBSTITUTE(SUBSTITUTE(SUBSTITUTE(SUBSTITUTE(SUBSTITUTE(y_QLabel &amp; IF(RIGHT(R46)="s",y_QELineEdit,y_QELabel),"~PVNAME",$AE46&amp;IF($AC46="map","","")),"~EGU",$K46),"~PREC",$N46),"~VAR",$F46),"~CANGET",$AH46),"~CANSET",$AI46),"~ROW",W46),"~NAME",$E46),"")</f>
        <v/>
      </c>
      <c r="AQ46" s="25" t="str">
        <f>IF(ISNUMBER(X46),SUBSTITUTE(SUBSTITUTE(SUBSTITUTE(SUBSTITUTE(SUBSTITUTE(SUBSTITUTE(SUBSTITUTE(SUBSTITUTE(y_QLabel &amp; IF(RIGHT(S46)="s",y_QELineEdit,y_QELabel),"~PVNAME",$AE46&amp;IF($AC46="map",":RBV","")),"~EGU",$K46),"~PREC",$N46),"~VAR",$F46),"~CANGET",$AH46),"~CANSET",$AI46),"~ROW",X46),"~NAME",$E46),"")</f>
        <v/>
      </c>
      <c r="AR46" s="25" t="e">
        <f>VLOOKUP(G46,y_EPICS_Formats,2,FALSE)</f>
        <v>#N/A</v>
      </c>
      <c r="AS46" s="25" t="str">
        <f>IF(AB46="epics",y_Prefix&amp;AE46&amp;" = ","")</f>
        <v/>
      </c>
      <c r="AT46" s="25" t="str">
        <f>IF(LEN(P46&amp;Q46)&gt;0,IFERROR(";"&amp;I46&amp;"["&amp;K46&amp;"]"&amp;AB46&amp;"("&amp;AC46&amp;")"&amp;CHAR(10)&amp;C46 &amp;CHAR(9)&amp;AG46&amp;CHAR(9)&amp;F46 &amp;CHAR(9),";;Error!"),"")</f>
        <v xml:space="preserve">;inner-skip range non-consistent[]()
#define	erd1In	2	</v>
      </c>
      <c r="AU46" s="25" t="str">
        <f>IF(IFERROR(AND(AA46&gt;0,LEN(AN46)&gt;0),FALSE),SUBSTITUTE(SUBSTITUTE(SUBSTITUTE(y_archiverXML,"~PVNAME",AE46),"~PREFIX",y_Prefix),"~PERIOD",MIN(30,AA46)),"")</f>
        <v/>
      </c>
      <c r="AV46" s="11" t="str">
        <f>IF($AB46="epics",AV$1-LEN(AE46),"")</f>
        <v/>
      </c>
      <c r="AW46" s="11" t="str">
        <f>IF($AB46="epics",AW$1-LEN(AH46),"")</f>
        <v/>
      </c>
      <c r="AX46" s="11" t="str">
        <f>IF($AB46="epics",AX$1-LEN(AI46),"")</f>
        <v/>
      </c>
      <c r="AY46" s="11" t="str">
        <f>IF($AB46="epics",AY$1-LEN(I46)-LEN(" readback"),"")</f>
        <v/>
      </c>
      <c r="AZ46" s="12">
        <f>IF(LEN(F46)&gt;0,IFERROR(VALUE(RIGHT(F46,LEN(F46)-1)),F46),"zzzzz")</f>
        <v>2</v>
      </c>
      <c r="BA46" s="12">
        <f>IFERROR(VALUE(RIGHT(F46,LEN(F46)-1)),F46)</f>
        <v>2</v>
      </c>
      <c r="BB46" s="22" t="str">
        <f>y_Prefix&amp;AE46</f>
        <v>SR05ID01FST01:ER_D1_IN</v>
      </c>
    </row>
    <row r="47" spans="1:54" ht="15.75" customHeight="1" x14ac:dyDescent="0.25">
      <c r="A47" s="22">
        <v>43</v>
      </c>
      <c r="B47" s="23"/>
      <c r="C47" s="30" t="str">
        <f>IF(AND(ISBLANK(P47),ISBLANK(Q47)),";","#define")</f>
        <v>#define</v>
      </c>
      <c r="D47" s="28"/>
      <c r="E47" s="22" t="s">
        <v>630</v>
      </c>
      <c r="F47" s="10">
        <v>4</v>
      </c>
      <c r="G47" s="10"/>
      <c r="H47" s="10">
        <v>4</v>
      </c>
      <c r="I47" s="61" t="s">
        <v>519</v>
      </c>
      <c r="J47" s="10" t="s">
        <v>625</v>
      </c>
      <c r="K47" s="10"/>
      <c r="L47" s="10"/>
      <c r="M47" s="10"/>
      <c r="N47" s="10"/>
      <c r="O47" s="15"/>
      <c r="P47" s="49" t="s">
        <v>365</v>
      </c>
      <c r="Q47" s="49"/>
      <c r="R47" s="49"/>
      <c r="S47" s="49"/>
      <c r="T47" s="49"/>
      <c r="U47" s="49"/>
      <c r="V47" s="49"/>
      <c r="AB47" s="55" t="str">
        <f>IF(LEN(R47&amp;S47&amp;T47&amp;U47&amp;V47)&gt;0,"epics","")</f>
        <v/>
      </c>
      <c r="AC47" s="52" t="str">
        <f>IF(NOT(ISBLANK(V47)),"base",IF(AB47="epics",IF(AND(ISBLANK(P47),ISBLANK(Q47)),"nmp","map"),""))</f>
        <v/>
      </c>
      <c r="AD47" s="27" t="str">
        <f>UPPER(AD$1&amp;":"&amp;D47)</f>
        <v>:</v>
      </c>
      <c r="AE47" s="25" t="str">
        <f>UPPER(AE$1&amp;":"&amp;E47)</f>
        <v>:ER_ERROR4</v>
      </c>
      <c r="AF47" s="27" t="str">
        <f>SUBSTITUTE(D47,"_","")</f>
        <v/>
      </c>
      <c r="AG47" s="25" t="str">
        <f>SUBSTITUTE(E47,"_","")&amp;IF(AND(RIGHT(P47)&lt;&gt;"s",RIGHT(Q47)&lt;&gt;"s"),"","")</f>
        <v>erERROR4</v>
      </c>
      <c r="AH47" s="25" t="str">
        <f>IF(ISNUMBER(Y47),Y47,"$(P)"&amp;$AE$1&amp;":"&amp;Y47)</f>
        <v>$(P):</v>
      </c>
      <c r="AI47" s="25" t="str">
        <f>IF(ISNUMBER(Z47),Z47,"$(P)"&amp;$AE$1&amp;":"&amp;Z47)</f>
        <v>$(P):</v>
      </c>
      <c r="AJ47" s="25"/>
      <c r="AK47" s="12" t="str">
        <f>IF(AC47="map",IF(G47="float",y_varMapAnalog,IF(G47="int",y_varMapLongint,IF(G47="bool",y_varMapBool,IF(G47="string",y_varMapString,IF(G47="option",y_varMapOption,"#unknown Type"))))),IF(AC47="nmp",y_nonMappedAnalog,""))</f>
        <v/>
      </c>
      <c r="AL47" s="12" t="e">
        <f>VLOOKUP(G47,y_mapProtocolLUT,3)</f>
        <v>#N/A</v>
      </c>
      <c r="AM47" s="12" t="e">
        <f>VLOOKUP(G47,y_mapProtocolLUT,2)</f>
        <v>#N/A</v>
      </c>
      <c r="AN47" s="25" t="e">
        <f>IF(LEN(AG47)&gt;0,SUBSTITUTE(SUBSTITUTE(SUBSTITUTE(AK47,"$(DTYP)",y_DTYPE),"$(SETPROTO)",AM47),"$(GETPROTO)",AL47),"")</f>
        <v>#N/A</v>
      </c>
      <c r="AO47" s="25" t="str">
        <f>IFERROR(SUBSTITUTE(SUBSTITUTE(SUBSTITUTE(SUBSTITUTE(SUBSTITUTE(SUBSTITUTE(SUBSTITUTE(SUBSTITUTE(SUBSTITUTE(AN47,"$(Q)",AE47),"$(EGU)",K47),"$(PREC)",N47),"$(VAR)",TRIM(CLEAN(y_dedicatedCS&amp;F47))),"$(GetSB)",AH47),"$(SetSB)",AI47),"$(DESC)",LEFT(I47,40)),"$(ENUMS)",AJ47),"$(DEFAULT)",H47),"")</f>
        <v/>
      </c>
      <c r="AP47" s="25" t="str">
        <f>IF(ISNUMBER(W47),SUBSTITUTE(SUBSTITUTE(SUBSTITUTE(SUBSTITUTE(SUBSTITUTE(SUBSTITUTE(SUBSTITUTE(SUBSTITUTE(y_QLabel &amp; IF(RIGHT(R47)="s",y_QELineEdit,y_QELabel),"~PVNAME",$AE47&amp;IF($AC47="map","","")),"~EGU",$K47),"~PREC",$N47),"~VAR",$F47),"~CANGET",$AH47),"~CANSET",$AI47),"~ROW",W47),"~NAME",$E47),"")</f>
        <v/>
      </c>
      <c r="AQ47" s="25" t="str">
        <f>IF(ISNUMBER(X47),SUBSTITUTE(SUBSTITUTE(SUBSTITUTE(SUBSTITUTE(SUBSTITUTE(SUBSTITUTE(SUBSTITUTE(SUBSTITUTE(y_QLabel &amp; IF(RIGHT(S47)="s",y_QELineEdit,y_QELabel),"~PVNAME",$AE47&amp;IF($AC47="map",":RBV","")),"~EGU",$K47),"~PREC",$N47),"~VAR",$F47),"~CANGET",$AH47),"~CANSET",$AI47),"~ROW",X47),"~NAME",$E47),"")</f>
        <v/>
      </c>
      <c r="AR47" s="25" t="e">
        <f>VLOOKUP(G47,y_EPICS_Formats,2,FALSE)</f>
        <v>#N/A</v>
      </c>
      <c r="AS47" s="25" t="str">
        <f>IF(AB47="epics",y_Prefix&amp;AE47&amp;" = ","")</f>
        <v/>
      </c>
      <c r="AT47" s="25" t="str">
        <f>IF(LEN(P47&amp;Q47)&gt;0,IFERROR(";"&amp;I47&amp;"["&amp;K47&amp;"]"&amp;AB47&amp;"("&amp;AC47&amp;")"&amp;CHAR(10)&amp;C47 &amp;CHAR(9)&amp;AG47&amp;CHAR(9)&amp;F47 &amp;CHAR(9),";;Error!"),"")</f>
        <v xml:space="preserve">;reserved[]()
#define	erERROR4	4	</v>
      </c>
      <c r="AU47" s="25" t="str">
        <f>IF(IFERROR(AND(AA47&gt;0,LEN(AN47)&gt;0),FALSE),SUBSTITUTE(SUBSTITUTE(SUBSTITUTE(y_archiverXML,"~PVNAME",AE47),"~PREFIX",y_Prefix),"~PERIOD",MIN(30,AA47)),"")</f>
        <v/>
      </c>
      <c r="AV47" s="11" t="str">
        <f>IF($AB47="epics",AV$1-LEN(AE47),"")</f>
        <v/>
      </c>
      <c r="AW47" s="11" t="str">
        <f>IF($AB47="epics",AW$1-LEN(AH47),"")</f>
        <v/>
      </c>
      <c r="AX47" s="11" t="str">
        <f>IF($AB47="epics",AX$1-LEN(AI47),"")</f>
        <v/>
      </c>
      <c r="AY47" s="11" t="str">
        <f>IF($AB47="epics",AY$1-LEN(I47)-LEN(" readback"),"")</f>
        <v/>
      </c>
      <c r="AZ47" s="12">
        <f>IF(LEN(F47)&gt;0,IFERROR(VALUE(RIGHT(F47,LEN(F47)-1)),F47),"zzzzz")</f>
        <v>4</v>
      </c>
      <c r="BA47" s="12">
        <f>IFERROR(VALUE(RIGHT(F47,LEN(F47)-1)),F47)</f>
        <v>4</v>
      </c>
      <c r="BB47" s="22" t="str">
        <f>y_Prefix&amp;AE47</f>
        <v>SR05ID01FST01:ER_ERROR4</v>
      </c>
    </row>
    <row r="48" spans="1:54" ht="15.75" customHeight="1" x14ac:dyDescent="0.25">
      <c r="A48" s="22">
        <v>44</v>
      </c>
      <c r="B48" s="23"/>
      <c r="C48" s="30" t="str">
        <f>IF(AND(ISBLANK(P48),ISBLANK(Q48)),";","#define")</f>
        <v>#define</v>
      </c>
      <c r="D48" s="28"/>
      <c r="E48" s="24" t="s">
        <v>631</v>
      </c>
      <c r="F48" s="10">
        <v>8</v>
      </c>
      <c r="G48" s="10"/>
      <c r="H48" s="10">
        <v>8</v>
      </c>
      <c r="I48" s="61"/>
      <c r="J48" s="10" t="s">
        <v>625</v>
      </c>
      <c r="K48" s="10"/>
      <c r="L48" s="10"/>
      <c r="M48" s="10"/>
      <c r="N48" s="10"/>
      <c r="O48" s="15"/>
      <c r="P48" s="49" t="s">
        <v>365</v>
      </c>
      <c r="Q48" s="49"/>
      <c r="R48" s="49"/>
      <c r="S48" s="49"/>
      <c r="T48" s="49"/>
      <c r="U48" s="49"/>
      <c r="V48" s="49"/>
      <c r="AB48" s="55" t="str">
        <f>IF(LEN(R48&amp;S48&amp;T48&amp;U48&amp;V48)&gt;0,"epics","")</f>
        <v/>
      </c>
      <c r="AC48" s="52" t="str">
        <f>IF(NOT(ISBLANK(V48)),"base",IF(AB48="epics",IF(AND(ISBLANK(P48),ISBLANK(Q48)),"nmp","map"),""))</f>
        <v/>
      </c>
      <c r="AD48" s="27" t="str">
        <f>UPPER(AD$1&amp;":"&amp;D48)</f>
        <v>:</v>
      </c>
      <c r="AE48" s="25" t="str">
        <f>UPPER(AE$1&amp;":"&amp;E48)</f>
        <v>:ER_ERROR8</v>
      </c>
      <c r="AF48" s="27" t="str">
        <f>SUBSTITUTE(D48,"_","")</f>
        <v/>
      </c>
      <c r="AG48" s="25" t="str">
        <f>SUBSTITUTE(E48,"_","")&amp;IF(AND(RIGHT(P48)&lt;&gt;"s",RIGHT(Q48)&lt;&gt;"s"),"","")</f>
        <v>erERROR8</v>
      </c>
      <c r="AH48" s="25" t="str">
        <f>IF(ISNUMBER(Y48),Y48,"$(P)"&amp;$AE$1&amp;":"&amp;Y48)</f>
        <v>$(P):</v>
      </c>
      <c r="AI48" s="25" t="str">
        <f>IF(ISNUMBER(Z48),Z48,"$(P)"&amp;$AE$1&amp;":"&amp;Z48)</f>
        <v>$(P):</v>
      </c>
      <c r="AJ48" s="25"/>
      <c r="AK48" s="12" t="str">
        <f>IF(AC48="map",IF(G48="float",y_varMapAnalog,IF(G48="int",y_varMapLongint,IF(G48="bool",y_varMapBool,IF(G48="string",y_varMapString,IF(G48="option",y_varMapOption,"#unknown Type"))))),IF(AC48="nmp",y_nonMappedAnalog,""))</f>
        <v/>
      </c>
      <c r="AL48" s="12" t="e">
        <f>VLOOKUP(G48,y_mapProtocolLUT,3)</f>
        <v>#N/A</v>
      </c>
      <c r="AM48" s="12" t="e">
        <f>VLOOKUP(G48,y_mapProtocolLUT,2)</f>
        <v>#N/A</v>
      </c>
      <c r="AN48" s="25" t="e">
        <f>IF(LEN(AG48)&gt;0,SUBSTITUTE(SUBSTITUTE(SUBSTITUTE(AK48,"$(DTYP)",y_DTYPE),"$(SETPROTO)",AM48),"$(GETPROTO)",AL48),"")</f>
        <v>#N/A</v>
      </c>
      <c r="AO48" s="25" t="str">
        <f>IFERROR(SUBSTITUTE(SUBSTITUTE(SUBSTITUTE(SUBSTITUTE(SUBSTITUTE(SUBSTITUTE(SUBSTITUTE(SUBSTITUTE(SUBSTITUTE(AN48,"$(Q)",AE48),"$(EGU)",K48),"$(PREC)",N48),"$(VAR)",TRIM(CLEAN(y_dedicatedCS&amp;F48))),"$(GetSB)",AH48),"$(SetSB)",AI48),"$(DESC)",LEFT(I48,40)),"$(ENUMS)",AJ48),"$(DEFAULT)",H48),"")</f>
        <v/>
      </c>
      <c r="AP48" s="25" t="str">
        <f>IF(ISNUMBER(W48),SUBSTITUTE(SUBSTITUTE(SUBSTITUTE(SUBSTITUTE(SUBSTITUTE(SUBSTITUTE(SUBSTITUTE(SUBSTITUTE(y_QLabel &amp; IF(RIGHT(R48)="s",y_QELineEdit,y_QELabel),"~PVNAME",$AE48&amp;IF($AC48="map","","")),"~EGU",$K48),"~PREC",$N48),"~VAR",$F48),"~CANGET",$AH48),"~CANSET",$AI48),"~ROW",W48),"~NAME",$E48),"")</f>
        <v/>
      </c>
      <c r="AQ48" s="25" t="str">
        <f>IF(ISNUMBER(X48),SUBSTITUTE(SUBSTITUTE(SUBSTITUTE(SUBSTITUTE(SUBSTITUTE(SUBSTITUTE(SUBSTITUTE(SUBSTITUTE(y_QLabel &amp; IF(RIGHT(S48)="s",y_QELineEdit,y_QELabel),"~PVNAME",$AE48&amp;IF($AC48="map",":RBV","")),"~EGU",$K48),"~PREC",$N48),"~VAR",$F48),"~CANGET",$AH48),"~CANSET",$AI48),"~ROW",X48),"~NAME",$E48),"")</f>
        <v/>
      </c>
      <c r="AR48" s="25" t="e">
        <f>VLOOKUP(G48,y_EPICS_Formats,2,FALSE)</f>
        <v>#N/A</v>
      </c>
      <c r="AS48" s="25" t="str">
        <f>IF(AB48="epics",y_Prefix&amp;AE48&amp;" = ","")</f>
        <v/>
      </c>
      <c r="AT48" s="25" t="str">
        <f>IF(LEN(P48&amp;Q48)&gt;0,IFERROR(";"&amp;I48&amp;"["&amp;K48&amp;"]"&amp;AB48&amp;"("&amp;AC48&amp;")"&amp;CHAR(10)&amp;C48 &amp;CHAR(9)&amp;AG48&amp;CHAR(9)&amp;F48 &amp;CHAR(9),";;Error!"),"")</f>
        <v xml:space="preserve">;[]()
#define	erERROR8	8	</v>
      </c>
      <c r="AU48" s="25" t="str">
        <f>IF(IFERROR(AND(AA48&gt;0,LEN(AN48)&gt;0),FALSE),SUBSTITUTE(SUBSTITUTE(SUBSTITUTE(y_archiverXML,"~PVNAME",AE48),"~PREFIX",y_Prefix),"~PERIOD",MIN(30,AA48)),"")</f>
        <v/>
      </c>
      <c r="AV48" s="11" t="str">
        <f>IF($AB48="epics",AV$1-LEN(AE48),"")</f>
        <v/>
      </c>
      <c r="AW48" s="11" t="str">
        <f>IF($AB48="epics",AW$1-LEN(AH48),"")</f>
        <v/>
      </c>
      <c r="AX48" s="11" t="str">
        <f>IF($AB48="epics",AX$1-LEN(AI48),"")</f>
        <v/>
      </c>
      <c r="AY48" s="11" t="str">
        <f>IF($AB48="epics",AY$1-LEN(I48)-LEN(" readback"),"")</f>
        <v/>
      </c>
      <c r="AZ48" s="12">
        <f>IF(LEN(F48)&gt;0,IFERROR(VALUE(RIGHT(F48,LEN(F48)-1)),F48),"zzzzz")</f>
        <v>8</v>
      </c>
      <c r="BA48" s="12">
        <f>IFERROR(VALUE(RIGHT(F48,LEN(F48)-1)),F48)</f>
        <v>8</v>
      </c>
      <c r="BB48" s="22" t="str">
        <f>y_Prefix&amp;AE48</f>
        <v>SR05ID01FST01:ER_ERROR8</v>
      </c>
    </row>
    <row r="49" spans="1:54" ht="15.75" customHeight="1" x14ac:dyDescent="0.25">
      <c r="A49" s="22">
        <v>45</v>
      </c>
      <c r="B49" s="23"/>
      <c r="C49" s="30" t="str">
        <f>IF(AND(ISBLANK(P49),ISBLANK(Q49)),";","#define")</f>
        <v>#define</v>
      </c>
      <c r="D49" s="28"/>
      <c r="E49" s="24" t="s">
        <v>632</v>
      </c>
      <c r="F49" s="10">
        <v>0</v>
      </c>
      <c r="G49" s="10"/>
      <c r="H49" s="10">
        <v>0</v>
      </c>
      <c r="I49" s="61" t="s">
        <v>633</v>
      </c>
      <c r="J49" s="10" t="s">
        <v>625</v>
      </c>
      <c r="K49" s="10"/>
      <c r="L49" s="10"/>
      <c r="M49" s="10"/>
      <c r="N49" s="10"/>
      <c r="O49" s="15"/>
      <c r="P49" s="49" t="s">
        <v>365</v>
      </c>
      <c r="Q49" s="49"/>
      <c r="R49" s="49"/>
      <c r="S49" s="49"/>
      <c r="T49" s="49"/>
      <c r="U49" s="49"/>
      <c r="V49" s="49"/>
      <c r="AB49" s="55" t="str">
        <f>IF(LEN(R49&amp;S49&amp;T49&amp;U49&amp;V49)&gt;0,"epics","")</f>
        <v/>
      </c>
      <c r="AC49" s="52" t="str">
        <f>IF(NOT(ISBLANK(V49)),"base",IF(AB49="epics",IF(AND(ISBLANK(P49),ISBLANK(Q49)),"nmp","map"),""))</f>
        <v/>
      </c>
      <c r="AD49" s="27" t="str">
        <f>UPPER(AD$1&amp;":"&amp;D49)</f>
        <v>:</v>
      </c>
      <c r="AE49" s="25" t="str">
        <f>UPPER(AE$1&amp;":"&amp;E49)</f>
        <v>:ER_NONE</v>
      </c>
      <c r="AF49" s="27" t="str">
        <f>SUBSTITUTE(D49,"_","")</f>
        <v/>
      </c>
      <c r="AG49" s="25" t="str">
        <f>SUBSTITUTE(E49,"_","")&amp;IF(AND(RIGHT(P49)&lt;&gt;"s",RIGHT(Q49)&lt;&gt;"s"),"","")</f>
        <v>erNONE</v>
      </c>
      <c r="AH49" s="25" t="str">
        <f>IF(ISNUMBER(Y49),Y49,"$(P)"&amp;$AE$1&amp;":"&amp;Y49)</f>
        <v>$(P):</v>
      </c>
      <c r="AI49" s="25" t="str">
        <f>IF(ISNUMBER(Z49),Z49,"$(P)"&amp;$AE$1&amp;":"&amp;Z49)</f>
        <v>$(P):</v>
      </c>
      <c r="AJ49" s="25"/>
      <c r="AK49" s="12" t="str">
        <f>IF(AC49="map",IF(G49="float",y_varMapAnalog,IF(G49="int",y_varMapLongint,IF(G49="bool",y_varMapBool,IF(G49="string",y_varMapString,IF(G49="option",y_varMapOption,"#unknown Type"))))),IF(AC49="nmp",y_nonMappedAnalog,""))</f>
        <v/>
      </c>
      <c r="AL49" s="12" t="e">
        <f>VLOOKUP(G49,y_mapProtocolLUT,3)</f>
        <v>#N/A</v>
      </c>
      <c r="AM49" s="12" t="e">
        <f>VLOOKUP(G49,y_mapProtocolLUT,2)</f>
        <v>#N/A</v>
      </c>
      <c r="AN49" s="25" t="e">
        <f>IF(LEN(AG49)&gt;0,SUBSTITUTE(SUBSTITUTE(SUBSTITUTE(AK49,"$(DTYP)",y_DTYPE),"$(SETPROTO)",AM49),"$(GETPROTO)",AL49),"")</f>
        <v>#N/A</v>
      </c>
      <c r="AO49" s="25" t="str">
        <f>IFERROR(SUBSTITUTE(SUBSTITUTE(SUBSTITUTE(SUBSTITUTE(SUBSTITUTE(SUBSTITUTE(SUBSTITUTE(SUBSTITUTE(SUBSTITUTE(AN49,"$(Q)",AE49),"$(EGU)",K49),"$(PREC)",N49),"$(VAR)",TRIM(CLEAN(y_dedicatedCS&amp;F49))),"$(GetSB)",AH49),"$(SetSB)",AI49),"$(DESC)",LEFT(I49,40)),"$(ENUMS)",AJ49),"$(DEFAULT)",H49),"")</f>
        <v/>
      </c>
      <c r="AP49" s="25" t="str">
        <f>IF(ISNUMBER(W49),SUBSTITUTE(SUBSTITUTE(SUBSTITUTE(SUBSTITUTE(SUBSTITUTE(SUBSTITUTE(SUBSTITUTE(SUBSTITUTE(y_QLabel &amp; IF(RIGHT(R49)="s",y_QELineEdit,y_QELabel),"~PVNAME",$AE49&amp;IF($AC49="map","","")),"~EGU",$K49),"~PREC",$N49),"~VAR",$F49),"~CANGET",$AH49),"~CANSET",$AI49),"~ROW",W49),"~NAME",$E49),"")</f>
        <v/>
      </c>
      <c r="AQ49" s="25" t="str">
        <f>IF(ISNUMBER(X49),SUBSTITUTE(SUBSTITUTE(SUBSTITUTE(SUBSTITUTE(SUBSTITUTE(SUBSTITUTE(SUBSTITUTE(SUBSTITUTE(y_QLabel &amp; IF(RIGHT(S49)="s",y_QELineEdit,y_QELabel),"~PVNAME",$AE49&amp;IF($AC49="map",":RBV","")),"~EGU",$K49),"~PREC",$N49),"~VAR",$F49),"~CANGET",$AH49),"~CANSET",$AI49),"~ROW",X49),"~NAME",$E49),"")</f>
        <v/>
      </c>
      <c r="AR49" s="25" t="e">
        <f>VLOOKUP(G49,y_EPICS_Formats,2,FALSE)</f>
        <v>#N/A</v>
      </c>
      <c r="AS49" s="25" t="str">
        <f>IF(AB49="epics",y_Prefix&amp;AE49&amp;" = ","")</f>
        <v/>
      </c>
      <c r="AT49" s="25" t="str">
        <f>IF(LEN(P49&amp;Q49)&gt;0,IFERROR(";"&amp;I49&amp;"["&amp;K49&amp;"]"&amp;AB49&amp;"("&amp;AC49&amp;")"&amp;CHAR(10)&amp;C49 &amp;CHAR(9)&amp;AG49&amp;CHAR(9)&amp;F49 &amp;CHAR(9),";;Error!"),"")</f>
        <v xml:space="preserve">;No Fault[]()
#define	erNONE	0	</v>
      </c>
      <c r="AU49" s="25" t="str">
        <f>IF(IFERROR(AND(AA49&gt;0,LEN(AN49)&gt;0),FALSE),SUBSTITUTE(SUBSTITUTE(SUBSTITUTE(y_archiverXML,"~PVNAME",AE49),"~PREFIX",y_Prefix),"~PERIOD",MIN(30,AA49)),"")</f>
        <v/>
      </c>
      <c r="AV49" s="11" t="str">
        <f>IF($AB49="epics",AV$1-LEN(AE49),"")</f>
        <v/>
      </c>
      <c r="AW49" s="11" t="str">
        <f>IF($AB49="epics",AW$1-LEN(AH49),"")</f>
        <v/>
      </c>
      <c r="AX49" s="11" t="str">
        <f>IF($AB49="epics",AX$1-LEN(AI49),"")</f>
        <v/>
      </c>
      <c r="AY49" s="11" t="str">
        <f>IF($AB49="epics",AY$1-LEN(I49)-LEN(" readback"),"")</f>
        <v/>
      </c>
      <c r="AZ49" s="12">
        <f>IF(LEN(F49)&gt;0,IFERROR(VALUE(RIGHT(F49,LEN(F49)-1)),F49),"zzzzz")</f>
        <v>0</v>
      </c>
      <c r="BA49" s="12">
        <f>IFERROR(VALUE(RIGHT(F49,LEN(F49)-1)),F49)</f>
        <v>0</v>
      </c>
      <c r="BB49" s="22" t="str">
        <f>y_Prefix&amp;AE49</f>
        <v>SR05ID01FST01:ER_NONE</v>
      </c>
    </row>
    <row r="50" spans="1:54" ht="15.75" customHeight="1" x14ac:dyDescent="0.25">
      <c r="A50" s="22">
        <v>46</v>
      </c>
      <c r="B50" s="23"/>
      <c r="C50" s="30" t="str">
        <f>IF(AND(ISBLANK(P50),ISBLANK(Q50)),";","#define")</f>
        <v>#define</v>
      </c>
      <c r="D50" s="28"/>
      <c r="E50" s="24" t="s">
        <v>634</v>
      </c>
      <c r="F50" s="10">
        <v>6</v>
      </c>
      <c r="G50" s="10"/>
      <c r="H50" s="10">
        <v>6</v>
      </c>
      <c r="I50" s="61" t="s">
        <v>635</v>
      </c>
      <c r="J50" s="10" t="s">
        <v>625</v>
      </c>
      <c r="K50" s="10"/>
      <c r="L50" s="10"/>
      <c r="M50" s="10"/>
      <c r="N50" s="10"/>
      <c r="O50" s="15"/>
      <c r="P50" s="49" t="s">
        <v>365</v>
      </c>
      <c r="Q50" s="49"/>
      <c r="R50" s="49"/>
      <c r="S50" s="49"/>
      <c r="T50" s="49"/>
      <c r="U50" s="49"/>
      <c r="V50" s="49"/>
      <c r="AB50" s="55" t="str">
        <f>IF(LEN(R50&amp;S50&amp;T50&amp;U50&amp;V50)&gt;0,"epics","")</f>
        <v/>
      </c>
      <c r="AC50" s="52" t="str">
        <f>IF(NOT(ISBLANK(V50)),"base",IF(AB50="epics",IF(AND(ISBLANK(P50),ISBLANK(Q50)),"nmp","map"),""))</f>
        <v/>
      </c>
      <c r="AD50" s="27" t="str">
        <f>UPPER(AD$1&amp;":"&amp;D50)</f>
        <v>:</v>
      </c>
      <c r="AE50" s="25" t="str">
        <f>UPPER(AE$1&amp;":"&amp;E50)</f>
        <v>:ER_RANGE1</v>
      </c>
      <c r="AF50" s="27" t="str">
        <f>SUBSTITUTE(D50,"_","")</f>
        <v/>
      </c>
      <c r="AG50" s="25" t="str">
        <f>SUBSTITUTE(E50,"_","")&amp;IF(AND(RIGHT(P50)&lt;&gt;"s",RIGHT(Q50)&lt;&gt;"s"),"","")</f>
        <v>erRange1</v>
      </c>
      <c r="AH50" s="25" t="str">
        <f>IF(ISNUMBER(Y50),Y50,"$(P)"&amp;$AE$1&amp;":"&amp;Y50)</f>
        <v>$(P):</v>
      </c>
      <c r="AI50" s="25" t="str">
        <f>IF(ISNUMBER(Z50),Z50,"$(P)"&amp;$AE$1&amp;":"&amp;Z50)</f>
        <v>$(P):</v>
      </c>
      <c r="AJ50" s="25"/>
      <c r="AK50" s="12" t="str">
        <f>IF(AC50="map",IF(G50="float",y_varMapAnalog,IF(G50="int",y_varMapLongint,IF(G50="bool",y_varMapBool,IF(G50="string",y_varMapString,IF(G50="option",y_varMapOption,"#unknown Type"))))),IF(AC50="nmp",y_nonMappedAnalog,""))</f>
        <v/>
      </c>
      <c r="AL50" s="12" t="e">
        <f>VLOOKUP(G50,y_mapProtocolLUT,3)</f>
        <v>#N/A</v>
      </c>
      <c r="AM50" s="12" t="e">
        <f>VLOOKUP(G50,y_mapProtocolLUT,2)</f>
        <v>#N/A</v>
      </c>
      <c r="AN50" s="25" t="e">
        <f>IF(LEN(AG50)&gt;0,SUBSTITUTE(SUBSTITUTE(SUBSTITUTE(AK50,"$(DTYP)",y_DTYPE),"$(SETPROTO)",AM50),"$(GETPROTO)",AL50),"")</f>
        <v>#N/A</v>
      </c>
      <c r="AO50" s="25" t="str">
        <f>IFERROR(SUBSTITUTE(SUBSTITUTE(SUBSTITUTE(SUBSTITUTE(SUBSTITUTE(SUBSTITUTE(SUBSTITUTE(SUBSTITUTE(SUBSTITUTE(AN50,"$(Q)",AE50),"$(EGU)",K50),"$(PREC)",N50),"$(VAR)",TRIM(CLEAN(y_dedicatedCS&amp;F50))),"$(GetSB)",AH50),"$(SetSB)",AI50),"$(DESC)",LEFT(I50,40)),"$(ENUMS)",AJ50),"$(DEFAULT)",H50),"")</f>
        <v/>
      </c>
      <c r="AP50" s="25" t="str">
        <f>IF(ISNUMBER(W50),SUBSTITUTE(SUBSTITUTE(SUBSTITUTE(SUBSTITUTE(SUBSTITUTE(SUBSTITUTE(SUBSTITUTE(SUBSTITUTE(y_QLabel &amp; IF(RIGHT(R50)="s",y_QELineEdit,y_QELabel),"~PVNAME",$AE50&amp;IF($AC50="map","","")),"~EGU",$K50),"~PREC",$N50),"~VAR",$F50),"~CANGET",$AH50),"~CANSET",$AI50),"~ROW",W50),"~NAME",$E50),"")</f>
        <v/>
      </c>
      <c r="AQ50" s="25" t="str">
        <f>IF(ISNUMBER(X50),SUBSTITUTE(SUBSTITUTE(SUBSTITUTE(SUBSTITUTE(SUBSTITUTE(SUBSTITUTE(SUBSTITUTE(SUBSTITUTE(y_QLabel &amp; IF(RIGHT(S50)="s",y_QELineEdit,y_QELabel),"~PVNAME",$AE50&amp;IF($AC50="map",":RBV","")),"~EGU",$K50),"~PREC",$N50),"~VAR",$F50),"~CANGET",$AH50),"~CANSET",$AI50),"~ROW",X50),"~NAME",$E50),"")</f>
        <v/>
      </c>
      <c r="AR50" s="25" t="e">
        <f>VLOOKUP(G50,y_EPICS_Formats,2,FALSE)</f>
        <v>#N/A</v>
      </c>
      <c r="AS50" s="25" t="str">
        <f>IF(AB50="epics",y_Prefix&amp;AE50&amp;" = ","")</f>
        <v/>
      </c>
      <c r="AT50" s="25" t="str">
        <f>IF(LEN(P50&amp;Q50)&gt;0,IFERROR(";"&amp;I50&amp;"["&amp;K50&amp;"]"&amp;AB50&amp;"("&amp;AC50&amp;")"&amp;CHAR(10)&amp;C50 &amp;CHAR(9)&amp;AG50&amp;CHAR(9)&amp;F50 &amp;CHAR(9),";;Error!"),"")</f>
        <v xml:space="preserve">;Motion range exceeds Fly axis limits[]()
#define	erRange1	6	</v>
      </c>
      <c r="AU50" s="25" t="str">
        <f>IF(IFERROR(AND(AA50&gt;0,LEN(AN50)&gt;0),FALSE),SUBSTITUTE(SUBSTITUTE(SUBSTITUTE(y_archiverXML,"~PVNAME",AE50),"~PREFIX",y_Prefix),"~PERIOD",MIN(30,AA50)),"")</f>
        <v/>
      </c>
      <c r="AV50" s="11" t="str">
        <f>IF($AB50="epics",AV$1-LEN(AE50),"")</f>
        <v/>
      </c>
      <c r="AW50" s="11" t="str">
        <f>IF($AB50="epics",AW$1-LEN(AH50),"")</f>
        <v/>
      </c>
      <c r="AX50" s="11" t="str">
        <f>IF($AB50="epics",AX$1-LEN(AI50),"")</f>
        <v/>
      </c>
      <c r="AY50" s="11" t="str">
        <f>IF($AB50="epics",AY$1-LEN(I50)-LEN(" readback"),"")</f>
        <v/>
      </c>
      <c r="AZ50" s="12">
        <f>IF(LEN(F50)&gt;0,IFERROR(VALUE(RIGHT(F50,LEN(F50)-1)),F50),"zzzzz")</f>
        <v>6</v>
      </c>
      <c r="BA50" s="12">
        <f>IFERROR(VALUE(RIGHT(F50,LEN(F50)-1)),F50)</f>
        <v>6</v>
      </c>
      <c r="BB50" s="22" t="str">
        <f>y_Prefix&amp;AE50</f>
        <v>SR05ID01FST01:ER_RANGE1</v>
      </c>
    </row>
    <row r="51" spans="1:54" ht="15.75" customHeight="1" x14ac:dyDescent="0.25">
      <c r="A51" s="22">
        <v>47</v>
      </c>
      <c r="B51" s="23"/>
      <c r="C51" s="30" t="str">
        <f>IF(AND(ISBLANK(P51),ISBLANK(Q51)),";","#define")</f>
        <v>#define</v>
      </c>
      <c r="D51" s="28"/>
      <c r="E51" s="22" t="s">
        <v>636</v>
      </c>
      <c r="F51" s="10">
        <v>7</v>
      </c>
      <c r="G51" s="10"/>
      <c r="H51" s="10">
        <v>7</v>
      </c>
      <c r="I51" s="61" t="s">
        <v>637</v>
      </c>
      <c r="J51" s="10" t="s">
        <v>625</v>
      </c>
      <c r="K51" s="10"/>
      <c r="L51" s="10"/>
      <c r="M51" s="10"/>
      <c r="N51" s="10"/>
      <c r="O51" s="15"/>
      <c r="P51" s="49" t="s">
        <v>365</v>
      </c>
      <c r="Q51" s="49"/>
      <c r="R51" s="49"/>
      <c r="S51" s="49"/>
      <c r="T51" s="49"/>
      <c r="U51" s="49"/>
      <c r="V51" s="49"/>
      <c r="AB51" s="55" t="str">
        <f>IF(LEN(R51&amp;S51&amp;T51&amp;U51&amp;V51)&gt;0,"epics","")</f>
        <v/>
      </c>
      <c r="AC51" s="52" t="str">
        <f>IF(NOT(ISBLANK(V51)),"base",IF(AB51="epics",IF(AND(ISBLANK(P51),ISBLANK(Q51)),"nmp","map"),""))</f>
        <v/>
      </c>
      <c r="AD51" s="27" t="str">
        <f>UPPER(AD$1&amp;":"&amp;D51)</f>
        <v>:</v>
      </c>
      <c r="AE51" s="25" t="str">
        <f>UPPER(AE$1&amp;":"&amp;E51)</f>
        <v>:ER_RANGE2</v>
      </c>
      <c r="AF51" s="27" t="str">
        <f>SUBSTITUTE(D51,"_","")</f>
        <v/>
      </c>
      <c r="AG51" s="25" t="str">
        <f>SUBSTITUTE(E51,"_","")&amp;IF(AND(RIGHT(P51)&lt;&gt;"s",RIGHT(Q51)&lt;&gt;"s"),"","")</f>
        <v>erRange2</v>
      </c>
      <c r="AH51" s="25" t="str">
        <f>IF(ISNUMBER(Y51),Y51,"$(P)"&amp;$AE$1&amp;":"&amp;Y51)</f>
        <v>$(P):</v>
      </c>
      <c r="AI51" s="25" t="str">
        <f>IF(ISNUMBER(Z51),Z51,"$(P)"&amp;$AE$1&amp;":"&amp;Z51)</f>
        <v>$(P):</v>
      </c>
      <c r="AJ51" s="25"/>
      <c r="AK51" s="12" t="str">
        <f>IF(AC51="map",IF(G51="float",y_varMapAnalog,IF(G51="int",y_varMapLongint,IF(G51="bool",y_varMapBool,IF(G51="string",y_varMapString,IF(G51="option",y_varMapOption,"#unknown Type"))))),IF(AC51="nmp",y_nonMappedAnalog,""))</f>
        <v/>
      </c>
      <c r="AL51" s="12" t="e">
        <f>VLOOKUP(G51,y_mapProtocolLUT,3)</f>
        <v>#N/A</v>
      </c>
      <c r="AM51" s="12" t="e">
        <f>VLOOKUP(G51,y_mapProtocolLUT,2)</f>
        <v>#N/A</v>
      </c>
      <c r="AN51" s="25" t="e">
        <f>IF(LEN(AG51)&gt;0,SUBSTITUTE(SUBSTITUTE(SUBSTITUTE(AK51,"$(DTYP)",y_DTYPE),"$(SETPROTO)",AM51),"$(GETPROTO)",AL51),"")</f>
        <v>#N/A</v>
      </c>
      <c r="AO51" s="25" t="str">
        <f>IFERROR(SUBSTITUTE(SUBSTITUTE(SUBSTITUTE(SUBSTITUTE(SUBSTITUTE(SUBSTITUTE(SUBSTITUTE(SUBSTITUTE(SUBSTITUTE(AN51,"$(Q)",AE51),"$(EGU)",K51),"$(PREC)",N51),"$(VAR)",TRIM(CLEAN(y_dedicatedCS&amp;F51))),"$(GetSB)",AH51),"$(SetSB)",AI51),"$(DESC)",LEFT(I51,40)),"$(ENUMS)",AJ51),"$(DEFAULT)",H51),"")</f>
        <v/>
      </c>
      <c r="AP51" s="25" t="str">
        <f>IF(ISNUMBER(W51),SUBSTITUTE(SUBSTITUTE(SUBSTITUTE(SUBSTITUTE(SUBSTITUTE(SUBSTITUTE(SUBSTITUTE(SUBSTITUTE(y_QLabel &amp; IF(RIGHT(R51)="s",y_QELineEdit,y_QELabel),"~PVNAME",$AE51&amp;IF($AC51="map","","")),"~EGU",$K51),"~PREC",$N51),"~VAR",$F51),"~CANGET",$AH51),"~CANSET",$AI51),"~ROW",W51),"~NAME",$E51),"")</f>
        <v/>
      </c>
      <c r="AQ51" s="25" t="str">
        <f>IF(ISNUMBER(X51),SUBSTITUTE(SUBSTITUTE(SUBSTITUTE(SUBSTITUTE(SUBSTITUTE(SUBSTITUTE(SUBSTITUTE(SUBSTITUTE(y_QLabel &amp; IF(RIGHT(S51)="s",y_QELineEdit,y_QELabel),"~PVNAME",$AE51&amp;IF($AC51="map",":RBV","")),"~EGU",$K51),"~PREC",$N51),"~VAR",$F51),"~CANGET",$AH51),"~CANSET",$AI51),"~ROW",X51),"~NAME",$E51),"")</f>
        <v/>
      </c>
      <c r="AR51" s="25" t="e">
        <f>VLOOKUP(G51,y_EPICS_Formats,2,FALSE)</f>
        <v>#N/A</v>
      </c>
      <c r="AS51" s="25" t="str">
        <f>IF(AB51="epics",y_Prefix&amp;AE51&amp;" = ","")</f>
        <v/>
      </c>
      <c r="AT51" s="25" t="str">
        <f>IF(LEN(P51&amp;Q51)&gt;0,IFERROR(";"&amp;I51&amp;"["&amp;K51&amp;"]"&amp;AB51&amp;"("&amp;AC51&amp;")"&amp;CHAR(10)&amp;C51 &amp;CHAR(9)&amp;AG51&amp;CHAR(9)&amp;F51 &amp;CHAR(9),";;Error!"),"")</f>
        <v xml:space="preserve">;Motion range exceeds Inc. axis limits[]()
#define	erRange2	7	</v>
      </c>
      <c r="AU51" s="25" t="str">
        <f>IF(IFERROR(AND(AA51&gt;0,LEN(AN51)&gt;0),FALSE),SUBSTITUTE(SUBSTITUTE(SUBSTITUTE(y_archiverXML,"~PVNAME",AE51),"~PREFIX",y_Prefix),"~PERIOD",MIN(30,AA51)),"")</f>
        <v/>
      </c>
      <c r="AV51" s="11" t="str">
        <f>IF($AB51="epics",AV$1-LEN(AE51),"")</f>
        <v/>
      </c>
      <c r="AW51" s="11" t="str">
        <f>IF($AB51="epics",AW$1-LEN(AH51),"")</f>
        <v/>
      </c>
      <c r="AX51" s="11" t="str">
        <f>IF($AB51="epics",AX$1-LEN(AI51),"")</f>
        <v/>
      </c>
      <c r="AY51" s="11" t="str">
        <f>IF($AB51="epics",AY$1-LEN(I51)-LEN(" readback"),"")</f>
        <v/>
      </c>
      <c r="AZ51" s="12">
        <f>IF(LEN(F51)&gt;0,IFERROR(VALUE(RIGHT(F51,LEN(F51)-1)),F51),"zzzzz")</f>
        <v>7</v>
      </c>
      <c r="BA51" s="12">
        <f>IFERROR(VALUE(RIGHT(F51,LEN(F51)-1)),F51)</f>
        <v>7</v>
      </c>
      <c r="BB51" s="22" t="str">
        <f>y_Prefix&amp;AE51</f>
        <v>SR05ID01FST01:ER_RANGE2</v>
      </c>
    </row>
    <row r="52" spans="1:54" ht="15.75" customHeight="1" x14ac:dyDescent="0.25">
      <c r="A52" s="22">
        <v>48</v>
      </c>
      <c r="B52" s="23"/>
      <c r="C52" s="30" t="str">
        <f>IF(AND(ISBLANK(P52),ISBLANK(Q52)),";","#define")</f>
        <v>#define</v>
      </c>
      <c r="D52" s="28"/>
      <c r="E52" s="22" t="s">
        <v>638</v>
      </c>
      <c r="F52" s="10">
        <v>9</v>
      </c>
      <c r="G52" s="10"/>
      <c r="H52" s="10">
        <v>9</v>
      </c>
      <c r="I52" s="61"/>
      <c r="J52" s="10" t="s">
        <v>625</v>
      </c>
      <c r="K52" s="10"/>
      <c r="L52" s="10"/>
      <c r="M52" s="10"/>
      <c r="N52" s="10"/>
      <c r="O52" s="15"/>
      <c r="P52" s="49" t="s">
        <v>365</v>
      </c>
      <c r="Q52" s="49"/>
      <c r="R52" s="49"/>
      <c r="S52" s="49"/>
      <c r="T52" s="49"/>
      <c r="U52" s="49"/>
      <c r="V52" s="49"/>
      <c r="AB52" s="55" t="str">
        <f>IF(LEN(R52&amp;S52&amp;T52&amp;U52&amp;V52)&gt;0,"epics","")</f>
        <v/>
      </c>
      <c r="AC52" s="52" t="str">
        <f>IF(NOT(ISBLANK(V52)),"base",IF(AB52="epics",IF(AND(ISBLANK(P52),ISBLANK(Q52)),"nmp","map"),""))</f>
        <v/>
      </c>
      <c r="AD52" s="27" t="str">
        <f>UPPER(AD$1&amp;":"&amp;D52)</f>
        <v>:</v>
      </c>
      <c r="AE52" s="25" t="str">
        <f>UPPER(AE$1&amp;":"&amp;E52)</f>
        <v>:ER_STANDBY</v>
      </c>
      <c r="AF52" s="27" t="str">
        <f>SUBSTITUTE(D52,"_","")</f>
        <v/>
      </c>
      <c r="AG52" s="25" t="str">
        <f>SUBSTITUTE(E52,"_","")&amp;IF(AND(RIGHT(P52)&lt;&gt;"s",RIGHT(Q52)&lt;&gt;"s"),"","")</f>
        <v>erStandby</v>
      </c>
      <c r="AH52" s="25" t="str">
        <f>IF(ISNUMBER(Y52),Y52,"$(P)"&amp;$AE$1&amp;":"&amp;Y52)</f>
        <v>$(P):</v>
      </c>
      <c r="AI52" s="25" t="str">
        <f>IF(ISNUMBER(Z52),Z52,"$(P)"&amp;$AE$1&amp;":"&amp;Z52)</f>
        <v>$(P):</v>
      </c>
      <c r="AJ52" s="25"/>
      <c r="AK52" s="12" t="str">
        <f>IF(AC52="map",IF(G52="float",y_varMapAnalog,IF(G52="int",y_varMapLongint,IF(G52="bool",y_varMapBool,IF(G52="string",y_varMapString,IF(G52="option",y_varMapOption,"#unknown Type"))))),IF(AC52="nmp",y_nonMappedAnalog,""))</f>
        <v/>
      </c>
      <c r="AL52" s="12" t="e">
        <f>VLOOKUP(G52,y_mapProtocolLUT,3)</f>
        <v>#N/A</v>
      </c>
      <c r="AM52" s="12" t="e">
        <f>VLOOKUP(G52,y_mapProtocolLUT,2)</f>
        <v>#N/A</v>
      </c>
      <c r="AN52" s="25" t="e">
        <f>IF(LEN(AG52)&gt;0,SUBSTITUTE(SUBSTITUTE(SUBSTITUTE(AK52,"$(DTYP)",y_DTYPE),"$(SETPROTO)",AM52),"$(GETPROTO)",AL52),"")</f>
        <v>#N/A</v>
      </c>
      <c r="AO52" s="25" t="str">
        <f>IFERROR(SUBSTITUTE(SUBSTITUTE(SUBSTITUTE(SUBSTITUTE(SUBSTITUTE(SUBSTITUTE(SUBSTITUTE(SUBSTITUTE(SUBSTITUTE(AN52,"$(Q)",AE52),"$(EGU)",K52),"$(PREC)",N52),"$(VAR)",TRIM(CLEAN(y_dedicatedCS&amp;F52))),"$(GetSB)",AH52),"$(SetSB)",AI52),"$(DESC)",LEFT(I52,40)),"$(ENUMS)",AJ52),"$(DEFAULT)",H52),"")</f>
        <v/>
      </c>
      <c r="AP52" s="25" t="str">
        <f>IF(ISNUMBER(W52),SUBSTITUTE(SUBSTITUTE(SUBSTITUTE(SUBSTITUTE(SUBSTITUTE(SUBSTITUTE(SUBSTITUTE(SUBSTITUTE(y_QLabel &amp; IF(RIGHT(R52)="s",y_QELineEdit,y_QELabel),"~PVNAME",$AE52&amp;IF($AC52="map","","")),"~EGU",$K52),"~PREC",$N52),"~VAR",$F52),"~CANGET",$AH52),"~CANSET",$AI52),"~ROW",W52),"~NAME",$E52),"")</f>
        <v/>
      </c>
      <c r="AQ52" s="25" t="str">
        <f>IF(ISNUMBER(X52),SUBSTITUTE(SUBSTITUTE(SUBSTITUTE(SUBSTITUTE(SUBSTITUTE(SUBSTITUTE(SUBSTITUTE(SUBSTITUTE(y_QLabel &amp; IF(RIGHT(S52)="s",y_QELineEdit,y_QELabel),"~PVNAME",$AE52&amp;IF($AC52="map",":RBV","")),"~EGU",$K52),"~PREC",$N52),"~VAR",$F52),"~CANGET",$AH52),"~CANSET",$AI52),"~ROW",X52),"~NAME",$E52),"")</f>
        <v/>
      </c>
      <c r="AR52" s="25" t="e">
        <f>VLOOKUP(G52,y_EPICS_Formats,2,FALSE)</f>
        <v>#N/A</v>
      </c>
      <c r="AS52" s="25" t="str">
        <f>IF(AB52="epics",y_Prefix&amp;AE52&amp;" = ","")</f>
        <v/>
      </c>
      <c r="AT52" s="25" t="str">
        <f>IF(LEN(P52&amp;Q52)&gt;0,IFERROR(";"&amp;I52&amp;"["&amp;K52&amp;"]"&amp;AB52&amp;"("&amp;AC52&amp;")"&amp;CHAR(10)&amp;C52 &amp;CHAR(9)&amp;AG52&amp;CHAR(9)&amp;F52 &amp;CHAR(9),";;Error!"),"")</f>
        <v xml:space="preserve">;[]()
#define	erStandby	9	</v>
      </c>
      <c r="AU52" s="25" t="str">
        <f>IF(IFERROR(AND(AA52&gt;0,LEN(AN52)&gt;0),FALSE),SUBSTITUTE(SUBSTITUTE(SUBSTITUTE(y_archiverXML,"~PVNAME",AE52),"~PREFIX",y_Prefix),"~PERIOD",MIN(30,AA52)),"")</f>
        <v/>
      </c>
      <c r="AV52" s="11" t="str">
        <f>IF($AB52="epics",AV$1-LEN(AE52),"")</f>
        <v/>
      </c>
      <c r="AW52" s="11" t="str">
        <f>IF($AB52="epics",AW$1-LEN(AH52),"")</f>
        <v/>
      </c>
      <c r="AX52" s="11" t="str">
        <f>IF($AB52="epics",AX$1-LEN(AI52),"")</f>
        <v/>
      </c>
      <c r="AY52" s="11" t="str">
        <f>IF($AB52="epics",AY$1-LEN(I52)-LEN(" readback"),"")</f>
        <v/>
      </c>
      <c r="AZ52" s="12">
        <f>IF(LEN(F52)&gt;0,IFERROR(VALUE(RIGHT(F52,LEN(F52)-1)),F52),"zzzzz")</f>
        <v>9</v>
      </c>
      <c r="BA52" s="12">
        <f>IFERROR(VALUE(RIGHT(F52,LEN(F52)-1)),F52)</f>
        <v>9</v>
      </c>
      <c r="BB52" s="22" t="str">
        <f>y_Prefix&amp;AE52</f>
        <v>SR05ID01FST01:ER_STANDBY</v>
      </c>
    </row>
    <row r="53" spans="1:54" ht="15.75" customHeight="1" x14ac:dyDescent="0.25">
      <c r="A53" s="22">
        <v>49</v>
      </c>
      <c r="B53" s="23"/>
      <c r="C53" s="30" t="str">
        <f>IF(AND(ISBLANK(P53),ISBLANK(Q53)),";","#define")</f>
        <v>#define</v>
      </c>
      <c r="D53" s="28"/>
      <c r="E53" s="22" t="s">
        <v>639</v>
      </c>
      <c r="F53" s="10">
        <v>3</v>
      </c>
      <c r="G53" s="10"/>
      <c r="H53" s="10">
        <v>3</v>
      </c>
      <c r="I53" s="61" t="s">
        <v>640</v>
      </c>
      <c r="J53" s="10" t="s">
        <v>625</v>
      </c>
      <c r="K53" s="10"/>
      <c r="L53" s="10"/>
      <c r="M53" s="10"/>
      <c r="N53" s="10"/>
      <c r="O53" s="15"/>
      <c r="P53" s="49" t="s">
        <v>365</v>
      </c>
      <c r="Q53" s="49"/>
      <c r="R53" s="49"/>
      <c r="S53" s="49"/>
      <c r="T53" s="49"/>
      <c r="U53" s="49"/>
      <c r="V53" s="49"/>
      <c r="AB53" s="55" t="str">
        <f>IF(LEN(R53&amp;S53&amp;T53&amp;U53&amp;V53)&gt;0,"epics","")</f>
        <v/>
      </c>
      <c r="AC53" s="52" t="str">
        <f>IF(NOT(ISBLANK(V53)),"base",IF(AB53="epics",IF(AND(ISBLANK(P53),ISBLANK(Q53)),"nmp","map"),""))</f>
        <v/>
      </c>
      <c r="AD53" s="27" t="str">
        <f>UPPER(AD$1&amp;":"&amp;D53)</f>
        <v>:</v>
      </c>
      <c r="AE53" s="25" t="str">
        <f>UPPER(AE$1&amp;":"&amp;E53)</f>
        <v>:ER_TRJBUILDER</v>
      </c>
      <c r="AF53" s="27" t="str">
        <f>SUBSTITUTE(D53,"_","")</f>
        <v/>
      </c>
      <c r="AG53" s="25" t="str">
        <f>SUBSTITUTE(E53,"_","")&amp;IF(AND(RIGHT(P53)&lt;&gt;"s",RIGHT(Q53)&lt;&gt;"s"),"","")</f>
        <v>erTrjBuilder</v>
      </c>
      <c r="AH53" s="25" t="str">
        <f>IF(ISNUMBER(Y53),Y53,"$(P)"&amp;$AE$1&amp;":"&amp;Y53)</f>
        <v>$(P):</v>
      </c>
      <c r="AI53" s="25" t="str">
        <f>IF(ISNUMBER(Z53),Z53,"$(P)"&amp;$AE$1&amp;":"&amp;Z53)</f>
        <v>$(P):</v>
      </c>
      <c r="AJ53" s="25"/>
      <c r="AK53" s="12" t="str">
        <f>IF(AC53="map",IF(G53="float",y_varMapAnalog,IF(G53="int",y_varMapLongint,IF(G53="bool",y_varMapBool,IF(G53="string",y_varMapString,IF(G53="option",y_varMapOption,"#unknown Type"))))),IF(AC53="nmp",y_nonMappedAnalog,""))</f>
        <v/>
      </c>
      <c r="AL53" s="12" t="e">
        <f>VLOOKUP(G53,y_mapProtocolLUT,3)</f>
        <v>#N/A</v>
      </c>
      <c r="AM53" s="12" t="e">
        <f>VLOOKUP(G53,y_mapProtocolLUT,2)</f>
        <v>#N/A</v>
      </c>
      <c r="AN53" s="25" t="e">
        <f>IF(LEN(AG53)&gt;0,SUBSTITUTE(SUBSTITUTE(SUBSTITUTE(AK53,"$(DTYP)",y_DTYPE),"$(SETPROTO)",AM53),"$(GETPROTO)",AL53),"")</f>
        <v>#N/A</v>
      </c>
      <c r="AO53" s="25" t="str">
        <f>IFERROR(SUBSTITUTE(SUBSTITUTE(SUBSTITUTE(SUBSTITUTE(SUBSTITUTE(SUBSTITUTE(SUBSTITUTE(SUBSTITUTE(SUBSTITUTE(AN53,"$(Q)",AE53),"$(EGU)",K53),"$(PREC)",N53),"$(VAR)",TRIM(CLEAN(y_dedicatedCS&amp;F53))),"$(GetSB)",AH53),"$(SetSB)",AI53),"$(DESC)",LEFT(I53,40)),"$(ENUMS)",AJ53),"$(DEFAULT)",H53),"")</f>
        <v/>
      </c>
      <c r="AP53" s="25" t="str">
        <f>IF(ISNUMBER(W53),SUBSTITUTE(SUBSTITUTE(SUBSTITUTE(SUBSTITUTE(SUBSTITUTE(SUBSTITUTE(SUBSTITUTE(SUBSTITUTE(y_QLabel &amp; IF(RIGHT(R53)="s",y_QELineEdit,y_QELabel),"~PVNAME",$AE53&amp;IF($AC53="map","","")),"~EGU",$K53),"~PREC",$N53),"~VAR",$F53),"~CANGET",$AH53),"~CANSET",$AI53),"~ROW",W53),"~NAME",$E53),"")</f>
        <v/>
      </c>
      <c r="AQ53" s="25" t="str">
        <f>IF(ISNUMBER(X53),SUBSTITUTE(SUBSTITUTE(SUBSTITUTE(SUBSTITUTE(SUBSTITUTE(SUBSTITUTE(SUBSTITUTE(SUBSTITUTE(y_QLabel &amp; IF(RIGHT(S53)="s",y_QELineEdit,y_QELabel),"~PVNAME",$AE53&amp;IF($AC53="map",":RBV","")),"~EGU",$K53),"~PREC",$N53),"~VAR",$F53),"~CANGET",$AH53),"~CANSET",$AI53),"~ROW",X53),"~NAME",$E53),"")</f>
        <v/>
      </c>
      <c r="AR53" s="25" t="e">
        <f>VLOOKUP(G53,y_EPICS_Formats,2,FALSE)</f>
        <v>#N/A</v>
      </c>
      <c r="AS53" s="25" t="str">
        <f>IF(AB53="epics",y_Prefix&amp;AE53&amp;" = ","")</f>
        <v/>
      </c>
      <c r="AT53" s="25" t="str">
        <f>IF(LEN(P53&amp;Q53)&gt;0,IFERROR(";"&amp;I53&amp;"["&amp;K53&amp;"]"&amp;AB53&amp;"("&amp;AC53&amp;")"&amp;CHAR(10)&amp;C53 &amp;CHAR(9)&amp;AG53&amp;CHAR(9)&amp;F53 &amp;CHAR(9),";;Error!"),"")</f>
        <v xml:space="preserve">;trajectory builder error[]()
#define	erTrjBuilder	3	</v>
      </c>
      <c r="AU53" s="25" t="str">
        <f>IF(IFERROR(AND(AA53&gt;0,LEN(AN53)&gt;0),FALSE),SUBSTITUTE(SUBSTITUTE(SUBSTITUTE(y_archiverXML,"~PVNAME",AE53),"~PREFIX",y_Prefix),"~PERIOD",MIN(30,AA53)),"")</f>
        <v/>
      </c>
      <c r="AV53" s="11" t="str">
        <f>IF($AB53="epics",AV$1-LEN(AE53),"")</f>
        <v/>
      </c>
      <c r="AW53" s="11" t="str">
        <f>IF($AB53="epics",AW$1-LEN(AH53),"")</f>
        <v/>
      </c>
      <c r="AX53" s="11" t="str">
        <f>IF($AB53="epics",AX$1-LEN(AI53),"")</f>
        <v/>
      </c>
      <c r="AY53" s="11" t="str">
        <f>IF($AB53="epics",AY$1-LEN(I53)-LEN(" readback"),"")</f>
        <v/>
      </c>
      <c r="AZ53" s="12">
        <f>IF(LEN(F53)&gt;0,IFERROR(VALUE(RIGHT(F53,LEN(F53)-1)),F53),"zzzzz")</f>
        <v>3</v>
      </c>
      <c r="BA53" s="12">
        <f>IFERROR(VALUE(RIGHT(F53,LEN(F53)-1)),F53)</f>
        <v>3</v>
      </c>
      <c r="BB53" s="22" t="str">
        <f>y_Prefix&amp;AE53</f>
        <v>SR05ID01FST01:ER_TRJBUILDER</v>
      </c>
    </row>
    <row r="54" spans="1:54" ht="15.6" customHeight="1" x14ac:dyDescent="0.25">
      <c r="A54" s="22">
        <v>50</v>
      </c>
      <c r="B54" s="23"/>
      <c r="C54" s="30" t="str">
        <f>IF(AND(ISBLANK(P54),ISBLANK(Q54)),";","#define")</f>
        <v>#define</v>
      </c>
      <c r="D54" s="28"/>
      <c r="E54" s="24" t="s">
        <v>641</v>
      </c>
      <c r="F54" s="10">
        <v>1</v>
      </c>
      <c r="G54" s="10"/>
      <c r="H54" s="10">
        <v>1</v>
      </c>
      <c r="I54" s="61" t="s">
        <v>642</v>
      </c>
      <c r="J54" s="10" t="s">
        <v>625</v>
      </c>
      <c r="K54" s="10"/>
      <c r="L54" s="10"/>
      <c r="M54" s="10"/>
      <c r="N54" s="10"/>
      <c r="O54" s="15"/>
      <c r="P54" s="49" t="s">
        <v>365</v>
      </c>
      <c r="Q54" s="49"/>
      <c r="R54" s="49"/>
      <c r="S54" s="49"/>
      <c r="T54" s="49"/>
      <c r="U54" s="49"/>
      <c r="V54" s="49"/>
      <c r="AB54" s="55" t="str">
        <f>IF(LEN(R54&amp;S54&amp;T54&amp;U54&amp;V54)&gt;0,"epics","")</f>
        <v/>
      </c>
      <c r="AC54" s="52" t="str">
        <f>IF(NOT(ISBLANK(V54)),"base",IF(AB54="epics",IF(AND(ISBLANK(P54),ISBLANK(Q54)),"nmp","map"),""))</f>
        <v/>
      </c>
      <c r="AD54" s="27" t="str">
        <f>UPPER(AD$1&amp;":"&amp;D54)</f>
        <v>:</v>
      </c>
      <c r="AE54" s="25" t="str">
        <f>UPPER(AE$1&amp;":"&amp;E54)</f>
        <v>:ER_V1_DELTA</v>
      </c>
      <c r="AF54" s="27" t="str">
        <f>SUBSTITUTE(D54,"_","")</f>
        <v/>
      </c>
      <c r="AG54" s="25" t="str">
        <f>SUBSTITUTE(E54,"_","")&amp;IF(AND(RIGHT(P54)&lt;&gt;"s",RIGHT(Q54)&lt;&gt;"s"),"","")</f>
        <v>erv1Delta</v>
      </c>
      <c r="AH54" s="25" t="str">
        <f>IF(ISNUMBER(Y54),Y54,"$(P)"&amp;$AE$1&amp;":"&amp;Y54)</f>
        <v>$(P):</v>
      </c>
      <c r="AI54" s="25" t="str">
        <f>IF(ISNUMBER(Z54),Z54,"$(P)"&amp;$AE$1&amp;":"&amp;Z54)</f>
        <v>$(P):</v>
      </c>
      <c r="AJ54" s="25"/>
      <c r="AK54" s="12" t="str">
        <f>IF(AC54="map",IF(G54="float",y_varMapAnalog,IF(G54="int",y_varMapLongint,IF(G54="bool",y_varMapBool,IF(G54="string",y_varMapString,IF(G54="option",y_varMapOption,"#unknown Type"))))),IF(AC54="nmp",y_nonMappedAnalog,""))</f>
        <v/>
      </c>
      <c r="AL54" s="12" t="e">
        <f>VLOOKUP(G54,y_mapProtocolLUT,3)</f>
        <v>#N/A</v>
      </c>
      <c r="AM54" s="12" t="e">
        <f>VLOOKUP(G54,y_mapProtocolLUT,2)</f>
        <v>#N/A</v>
      </c>
      <c r="AN54" s="25" t="e">
        <f>IF(LEN(AG54)&gt;0,SUBSTITUTE(SUBSTITUTE(SUBSTITUTE(AK54,"$(DTYP)",y_DTYPE),"$(SETPROTO)",AM54),"$(GETPROTO)",AL54),"")</f>
        <v>#N/A</v>
      </c>
      <c r="AO54" s="25" t="str">
        <f>IFERROR(SUBSTITUTE(SUBSTITUTE(SUBSTITUTE(SUBSTITUTE(SUBSTITUTE(SUBSTITUTE(SUBSTITUTE(SUBSTITUTE(SUBSTITUTE(AN54,"$(Q)",AE54),"$(EGU)",K54),"$(PREC)",N54),"$(VAR)",TRIM(CLEAN(y_dedicatedCS&amp;F54))),"$(GetSB)",AH54),"$(SetSB)",AI54),"$(DESC)",LEFT(I54,40)),"$(ENUMS)",AJ54),"$(DEFAULT)",H54),"")</f>
        <v/>
      </c>
      <c r="AP54" s="25" t="str">
        <f>IF(ISNUMBER(W54),SUBSTITUTE(SUBSTITUTE(SUBSTITUTE(SUBSTITUTE(SUBSTITUTE(SUBSTITUTE(SUBSTITUTE(SUBSTITUTE(y_QLabel &amp; IF(RIGHT(R54)="s",y_QELineEdit,y_QELabel),"~PVNAME",$AE54&amp;IF($AC54="map","","")),"~EGU",$K54),"~PREC",$N54),"~VAR",$F54),"~CANGET",$AH54),"~CANSET",$AI54),"~ROW",W54),"~NAME",$E54),"")</f>
        <v/>
      </c>
      <c r="AQ54" s="25" t="str">
        <f>IF(ISNUMBER(X54),SUBSTITUTE(SUBSTITUTE(SUBSTITUTE(SUBSTITUTE(SUBSTITUTE(SUBSTITUTE(SUBSTITUTE(SUBSTITUTE(y_QLabel &amp; IF(RIGHT(S54)="s",y_QELineEdit,y_QELabel),"~PVNAME",$AE54&amp;IF($AC54="map",":RBV","")),"~EGU",$K54),"~PREC",$N54),"~VAR",$F54),"~CANGET",$AH54),"~CANSET",$AI54),"~ROW",X54),"~NAME",$E54),"")</f>
        <v/>
      </c>
      <c r="AR54" s="25" t="e">
        <f>VLOOKUP(G54,y_EPICS_Formats,2,FALSE)</f>
        <v>#N/A</v>
      </c>
      <c r="AS54" s="25" t="str">
        <f>IF(AB54="epics",y_Prefix&amp;AE54&amp;" = ","")</f>
        <v/>
      </c>
      <c r="AT54" s="25" t="str">
        <f>IF(LEN(P54&amp;Q54)&gt;0,IFERROR(";"&amp;I54&amp;"["&amp;K54&amp;"]"&amp;AB54&amp;"("&amp;AC54&amp;")"&amp;CHAR(10)&amp;C54 &amp;CHAR(9)&amp;AG54&amp;CHAR(9)&amp;F54 &amp;CHAR(9),";;Error!"),"")</f>
        <v xml:space="preserve">;Velocity parameters non-consistent[]()
#define	erv1Delta	1	</v>
      </c>
      <c r="AU54" s="25" t="str">
        <f>IF(IFERROR(AND(AA54&gt;0,LEN(AN54)&gt;0),FALSE),SUBSTITUTE(SUBSTITUTE(SUBSTITUTE(y_archiverXML,"~PVNAME",AE54),"~PREFIX",y_Prefix),"~PERIOD",MIN(30,AA54)),"")</f>
        <v/>
      </c>
      <c r="AV54" s="11" t="str">
        <f>IF($AB54="epics",AV$1-LEN(AE54),"")</f>
        <v/>
      </c>
      <c r="AW54" s="11" t="str">
        <f>IF($AB54="epics",AW$1-LEN(AH54),"")</f>
        <v/>
      </c>
      <c r="AX54" s="11" t="str">
        <f>IF($AB54="epics",AX$1-LEN(AI54),"")</f>
        <v/>
      </c>
      <c r="AY54" s="11" t="str">
        <f>IF($AB54="epics",AY$1-LEN(I54)-LEN(" readback"),"")</f>
        <v/>
      </c>
      <c r="AZ54" s="12">
        <f>IF(LEN(F54)&gt;0,IFERROR(VALUE(RIGHT(F54,LEN(F54)-1)),F54),"zzzzz")</f>
        <v>1</v>
      </c>
      <c r="BA54" s="12">
        <f>IFERROR(VALUE(RIGHT(F54,LEN(F54)-1)),F54)</f>
        <v>1</v>
      </c>
      <c r="BB54" s="22" t="str">
        <f>y_Prefix&amp;AE54</f>
        <v>SR05ID01FST01:ER_V1_DELTA</v>
      </c>
    </row>
    <row r="55" spans="1:54" ht="15.6" customHeight="1" x14ac:dyDescent="0.25">
      <c r="A55" s="22">
        <v>51</v>
      </c>
      <c r="B55" s="23"/>
      <c r="C55" s="30" t="str">
        <f>IF(AND(ISBLANK(P55),ISBLANK(Q55)),";","#define")</f>
        <v>;</v>
      </c>
      <c r="D55" s="29"/>
      <c r="E55" s="24" t="s">
        <v>764</v>
      </c>
      <c r="F55" s="10">
        <v>21</v>
      </c>
      <c r="G55" s="10"/>
      <c r="H55" s="10">
        <v>21</v>
      </c>
      <c r="I55" s="61" t="s">
        <v>765</v>
      </c>
      <c r="J55" s="10" t="s">
        <v>625</v>
      </c>
      <c r="K55" s="10"/>
      <c r="L55" s="10"/>
      <c r="M55" s="10"/>
      <c r="N55" s="10"/>
      <c r="O55" s="15"/>
      <c r="P55" s="49"/>
      <c r="Q55" s="49"/>
      <c r="R55" s="49"/>
      <c r="S55" s="49"/>
      <c r="T55" s="49" t="s">
        <v>365</v>
      </c>
      <c r="U55" s="49"/>
      <c r="V55" s="49"/>
      <c r="AA55" s="31">
        <v>30</v>
      </c>
      <c r="AB55" s="55" t="str">
        <f>IF(LEN(R55&amp;S55&amp;T55&amp;U55&amp;V55)&gt;0,"epics","")</f>
        <v>epics</v>
      </c>
      <c r="AC55" s="52" t="str">
        <f>IF(NOT(ISBLANK(V55)),"base",IF(AB55="epics",IF(AND(ISBLANK(P55),ISBLANK(Q55)),"nmp","map"),""))</f>
        <v>nmp</v>
      </c>
      <c r="AD55" s="27" t="str">
        <f>UPPER(AD$1&amp;":"&amp;D55)</f>
        <v>:</v>
      </c>
      <c r="AE55" s="25" t="str">
        <f>UPPER(AE$1&amp;":"&amp;E55)</f>
        <v>:ER_SOLUTION</v>
      </c>
      <c r="AF55" s="27" t="str">
        <f>SUBSTITUTE(D55,"_","")</f>
        <v/>
      </c>
      <c r="AG55" s="25" t="str">
        <f>SUBSTITUTE(E55,"_","")&amp;IF(AND(RIGHT(P55)&lt;&gt;"s",RIGHT(Q55)&lt;&gt;"s"),"","")</f>
        <v>erSolution</v>
      </c>
      <c r="AH55" s="25" t="str">
        <f>IF(ISNUMBER(Y55),Y55,"$(P)"&amp;$AE$1&amp;":"&amp;Y55)</f>
        <v>$(P):</v>
      </c>
      <c r="AI55" s="25" t="str">
        <f>IF(ISNUMBER(Z55),Z55,"$(P)"&amp;$AE$1&amp;":"&amp;Z55)</f>
        <v>$(P):</v>
      </c>
      <c r="AJ55" s="25"/>
      <c r="AK55" s="12" t="str">
        <f>IF(AC55="map",IF(G55="float",y_varMapAnalog,IF(G55="int",y_varMapLongint,IF(G55="bool",y_varMapBool,IF(G55="string",y_varMapString,IF(G55="option",y_varMapOption,"#unknown Type"))))),IF(AC55="nmp",y_nonMappedAnalog,""))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55" s="12" t="e">
        <f>VLOOKUP(G55,y_mapProtocolLUT,3)</f>
        <v>#N/A</v>
      </c>
      <c r="AM55" s="12" t="e">
        <f>VLOOKUP(G55,y_mapProtocolLUT,2)</f>
        <v>#N/A</v>
      </c>
      <c r="AN55" s="25" t="e">
        <f>IF(LEN(AG55)&gt;0,SUBSTITUTE(SUBSTITUTE(SUBSTITUTE(AK55,"$(DTYP)",y_DTYPE),"$(SETPROTO)",AM55),"$(GETPROTO)",AL55),"")</f>
        <v>#N/A</v>
      </c>
      <c r="AO55" s="25" t="str">
        <f>IFERROR(SUBSTITUTE(SUBSTITUTE(SUBSTITUTE(SUBSTITUTE(SUBSTITUTE(SUBSTITUTE(SUBSTITUTE(SUBSTITUTE(SUBSTITUTE(AN55,"$(Q)",AE55),"$(EGU)",K55),"$(PREC)",N55),"$(VAR)",TRIM(CLEAN(y_dedicatedCS&amp;F55))),"$(GetSB)",AH55),"$(SetSB)",AI55),"$(DESC)",LEFT(I55,40)),"$(ENUMS)",AJ55),"$(DEFAULT)",H55),"")</f>
        <v/>
      </c>
      <c r="AP55" s="25" t="str">
        <f>IF(ISNUMBER(W55),SUBSTITUTE(SUBSTITUTE(SUBSTITUTE(SUBSTITUTE(SUBSTITUTE(SUBSTITUTE(SUBSTITUTE(SUBSTITUTE(y_QLabel &amp; IF(RIGHT(R55)="s",y_QELineEdit,y_QELabel),"~PVNAME",$AE55&amp;IF($AC55="map","","")),"~EGU",$K55),"~PREC",$N55),"~VAR",$F55),"~CANGET",$AH55),"~CANSET",$AI55),"~ROW",W55),"~NAME",$E55),"")</f>
        <v/>
      </c>
      <c r="AQ55" s="25" t="str">
        <f>IF(ISNUMBER(X55),SUBSTITUTE(SUBSTITUTE(SUBSTITUTE(SUBSTITUTE(SUBSTITUTE(SUBSTITUTE(SUBSTITUTE(SUBSTITUTE(y_QLabel &amp; IF(RIGHT(S55)="s",y_QELineEdit,y_QELabel),"~PVNAME",$AE55&amp;IF($AC55="map",":RBV","")),"~EGU",$K55),"~PREC",$N55),"~VAR",$F55),"~CANGET",$AH55),"~CANSET",$AI55),"~ROW",X55),"~NAME",$E55),"")</f>
        <v/>
      </c>
      <c r="AR55" s="25" t="e">
        <f>VLOOKUP(G55,y_EPICS_Formats,2,FALSE)</f>
        <v>#N/A</v>
      </c>
      <c r="AS55" s="25" t="str">
        <f>IF(AB55="epics",y_Prefix&amp;AE55&amp;" = ","")</f>
        <v xml:space="preserve">SR05ID01FST01:ER_SOLUTION = </v>
      </c>
      <c r="AT55" s="25" t="str">
        <f>IF(LEN(P55&amp;Q55)&gt;0,IFERROR(";"&amp;I55&amp;"["&amp;K55&amp;"]"&amp;AB55&amp;"("&amp;AC55&amp;")"&amp;CHAR(10)&amp;C55 &amp;CHAR(9)&amp;AG55&amp;CHAR(9)&amp;F55 &amp;CHAR(9),";;Error!"),"")</f>
        <v/>
      </c>
      <c r="AU55" s="25" t="str">
        <f>IF(IFERROR(AND(AA55&gt;0,LEN(AN55)&gt;0),FALSE),SUBSTITUTE(SUBSTITUTE(SUBSTITUTE(y_archiverXML,"~PVNAME",AE55),"~PREFIX",y_Prefix),"~PERIOD",MIN(30,AA55)),"")</f>
        <v/>
      </c>
      <c r="AV55" s="11">
        <f>IF($AB55="epics",AV$1-LEN(AE55),"")</f>
        <v>7</v>
      </c>
      <c r="AW55" s="11">
        <f>IF($AB55="epics",AW$1-LEN(AH55),"")</f>
        <v>19</v>
      </c>
      <c r="AX55" s="11">
        <f>IF($AB55="epics",AX$1-LEN(AI55),"")</f>
        <v>19</v>
      </c>
      <c r="AY55" s="11">
        <f>IF($AB55="epics",AY$1-LEN(I55)-LEN(" readback"),"")</f>
        <v>9</v>
      </c>
      <c r="AZ55" s="12">
        <f>IF(LEN(F55)&gt;0,IFERROR(VALUE(RIGHT(F55,LEN(F55)-1)),F55),"zzzzz")</f>
        <v>1</v>
      </c>
      <c r="BA55" s="12">
        <f>IFERROR(VALUE(RIGHT(F55,LEN(F55)-1)),F55)</f>
        <v>1</v>
      </c>
      <c r="BB55" s="22" t="str">
        <f>y_Prefix&amp;AE55</f>
        <v>SR05ID01FST01:ER_SOLUTION</v>
      </c>
    </row>
    <row r="56" spans="1:54" ht="15.75" customHeight="1" x14ac:dyDescent="0.25">
      <c r="A56" s="22">
        <v>52</v>
      </c>
      <c r="B56" s="23"/>
      <c r="C56" s="30" t="str">
        <f>IF(AND(ISBLANK(P56),ISBLANK(Q56)),";","#define")</f>
        <v>;</v>
      </c>
      <c r="D56" s="29"/>
      <c r="E56" s="24" t="s">
        <v>643</v>
      </c>
      <c r="F56" s="10" t="s">
        <v>621</v>
      </c>
      <c r="G56" s="10"/>
      <c r="H56" s="10"/>
      <c r="I56" s="61"/>
      <c r="J56" s="10"/>
      <c r="K56" s="10"/>
      <c r="L56" s="10"/>
      <c r="M56" s="18"/>
      <c r="N56" s="10"/>
      <c r="O56" s="15"/>
      <c r="P56" s="49"/>
      <c r="Q56" s="49"/>
      <c r="R56" s="49"/>
      <c r="S56" s="49"/>
      <c r="T56" s="49"/>
      <c r="U56" s="49"/>
      <c r="V56" s="49"/>
      <c r="AA56" s="31">
        <v>30</v>
      </c>
      <c r="AB56" s="55" t="str">
        <f>IF(LEN(R56&amp;S56&amp;T56&amp;U56&amp;V56)&gt;0,"epics","")</f>
        <v/>
      </c>
      <c r="AC56" s="52" t="str">
        <f>IF(NOT(ISBLANK(V56)),"base",IF(AB56="epics",IF(AND(ISBLANK(P56),ISBLANK(Q56)),"nmp","map"),""))</f>
        <v/>
      </c>
      <c r="AD56" s="27" t="str">
        <f>UPPER(AD$1&amp;":"&amp;D56)</f>
        <v>:</v>
      </c>
      <c r="AE56" s="25" t="str">
        <f>UPPER(AE$1&amp;":"&amp;E56)</f>
        <v>:HLMM</v>
      </c>
      <c r="AF56" s="27" t="str">
        <f>SUBSTITUTE(D56,"_","")</f>
        <v/>
      </c>
      <c r="AG56" s="25" t="str">
        <f>SUBSTITUTE(E56,"_","")&amp;IF(AND(RIGHT(P56)&lt;&gt;"s",RIGHT(Q56)&lt;&gt;"s"),"","")</f>
        <v>HLMM</v>
      </c>
      <c r="AH56" s="25" t="str">
        <f>IF(ISNUMBER(Y56),Y56,"$(P)"&amp;$AE$1&amp;":"&amp;Y56)</f>
        <v>$(P):</v>
      </c>
      <c r="AI56" s="25" t="str">
        <f>IF(ISNUMBER(Z56),Z56,"$(P)"&amp;$AE$1&amp;":"&amp;Z56)</f>
        <v>$(P):</v>
      </c>
      <c r="AJ56" s="25"/>
      <c r="AK56" s="12" t="str">
        <f>IF(AC56="map",IF(G56="float",y_varMapAnalog,IF(G56="int",y_varMapLongint,IF(G56="bool",y_varMapBool,IF(G56="string",y_varMapString,IF(G56="option",y_varMapOption,"#unknown Type"))))),IF(AC56="nmp",y_nonMappedAnalog,""))</f>
        <v/>
      </c>
      <c r="AL56" s="12" t="e">
        <f>VLOOKUP(G56,y_mapProtocolLUT,3)</f>
        <v>#N/A</v>
      </c>
      <c r="AM56" s="12" t="e">
        <f>VLOOKUP(G56,y_mapProtocolLUT,2)</f>
        <v>#N/A</v>
      </c>
      <c r="AN56" s="25" t="e">
        <f>IF(LEN(AG56)&gt;0,SUBSTITUTE(SUBSTITUTE(SUBSTITUTE(AK56,"$(DTYP)",y_DTYPE),"$(SETPROTO)",AM56),"$(GETPROTO)",AL56),"")</f>
        <v>#N/A</v>
      </c>
      <c r="AO56" s="25" t="str">
        <f>IFERROR(SUBSTITUTE(SUBSTITUTE(SUBSTITUTE(SUBSTITUTE(SUBSTITUTE(SUBSTITUTE(SUBSTITUTE(SUBSTITUTE(SUBSTITUTE(AN56,"$(Q)",AE56),"$(EGU)",K56),"$(PREC)",N56),"$(VAR)",TRIM(CLEAN(y_dedicatedCS&amp;F56))),"$(GetSB)",AH56),"$(SetSB)",AI56),"$(DESC)",LEFT(I56,40)),"$(ENUMS)",AJ56),"$(DEFAULT)",H56),"")</f>
        <v/>
      </c>
      <c r="AP56" s="25" t="str">
        <f>IF(ISNUMBER(W56),SUBSTITUTE(SUBSTITUTE(SUBSTITUTE(SUBSTITUTE(SUBSTITUTE(SUBSTITUTE(SUBSTITUTE(SUBSTITUTE(y_QLabel &amp; IF(RIGHT(R56)="s",y_QELineEdit,y_QELabel),"~PVNAME",$AE56&amp;IF($AC56="map","","")),"~EGU",$K56),"~PREC",$N56),"~VAR",$F56),"~CANGET",$AH56),"~CANSET",$AI56),"~ROW",W56),"~NAME",$E56),"")</f>
        <v/>
      </c>
      <c r="AQ56" s="25" t="str">
        <f>IF(ISNUMBER(X56),SUBSTITUTE(SUBSTITUTE(SUBSTITUTE(SUBSTITUTE(SUBSTITUTE(SUBSTITUTE(SUBSTITUTE(SUBSTITUTE(y_QLabel &amp; IF(RIGHT(S56)="s",y_QELineEdit,y_QELabel),"~PVNAME",$AE56&amp;IF($AC56="map",":RBV","")),"~EGU",$K56),"~PREC",$N56),"~VAR",$F56),"~CANGET",$AH56),"~CANSET",$AI56),"~ROW",X56),"~NAME",$E56),"")</f>
        <v/>
      </c>
      <c r="AR56" s="25" t="e">
        <f>VLOOKUP(G56,y_EPICS_Formats,2,FALSE)</f>
        <v>#N/A</v>
      </c>
      <c r="AS56" s="25" t="str">
        <f>IF(AB56="epics",y_Prefix&amp;AE56&amp;" = ","")</f>
        <v/>
      </c>
      <c r="AT56" s="25" t="str">
        <f>IF(LEN(P56&amp;Q56)&gt;0,IFERROR(";"&amp;I56&amp;"["&amp;K56&amp;"]"&amp;AB56&amp;"("&amp;AC56&amp;")"&amp;CHAR(10)&amp;C56 &amp;CHAR(9)&amp;AG56&amp;CHAR(9)&amp;F56 &amp;CHAR(9),";;Error!"),"")</f>
        <v/>
      </c>
      <c r="AU56" s="25" t="str">
        <f>IF(IFERROR(AND(AA56&gt;0,LEN(AN56)&gt;0),FALSE),SUBSTITUTE(SUBSTITUTE(SUBSTITUTE(y_archiverXML,"~PVNAME",AE56),"~PREFIX",y_Prefix),"~PERIOD",MIN(30,AA56)),"")</f>
        <v/>
      </c>
      <c r="AV56" s="11" t="str">
        <f>IF($AB56="epics",AV$1-LEN(AE56),"")</f>
        <v/>
      </c>
      <c r="AW56" s="11" t="str">
        <f>IF($AB56="epics",AW$1-LEN(AH56),"")</f>
        <v/>
      </c>
      <c r="AX56" s="11" t="str">
        <f>IF($AB56="epics",AX$1-LEN(AI56),"")</f>
        <v/>
      </c>
      <c r="AY56" s="11" t="str">
        <f>IF($AB56="epics",AY$1-LEN(I56)-LEN(" readback"),"")</f>
        <v/>
      </c>
      <c r="AZ56" s="12" t="str">
        <f>IF(LEN(F56)&gt;0,IFERROR(VALUE(RIGHT(F56,LEN(F56)-1)),F56),"zzzzz")</f>
        <v>x</v>
      </c>
      <c r="BA56" s="12" t="str">
        <f>IFERROR(VALUE(RIGHT(F56,LEN(F56)-1)),F56)</f>
        <v>x</v>
      </c>
      <c r="BB56" s="22" t="str">
        <f>y_Prefix&amp;AE56</f>
        <v>SR05ID01FST01:HLMM</v>
      </c>
    </row>
    <row r="57" spans="1:54" ht="15.75" customHeight="1" x14ac:dyDescent="0.25">
      <c r="A57" s="22">
        <v>53</v>
      </c>
      <c r="B57" s="23"/>
      <c r="C57" s="30" t="str">
        <f>IF(AND(ISBLANK(P57),ISBLANK(Q57)),";","#define")</f>
        <v>;</v>
      </c>
      <c r="D57" s="28"/>
      <c r="E57" s="22" t="s">
        <v>643</v>
      </c>
      <c r="F57" s="10" t="s">
        <v>621</v>
      </c>
      <c r="G57" s="10"/>
      <c r="H57" s="10"/>
      <c r="I57" s="61"/>
      <c r="J57" s="10"/>
      <c r="K57" s="10"/>
      <c r="L57" s="10"/>
      <c r="M57" s="10"/>
      <c r="N57" s="10"/>
      <c r="O57" s="15"/>
      <c r="P57" s="49"/>
      <c r="Q57" s="49"/>
      <c r="R57" s="49"/>
      <c r="S57" s="49"/>
      <c r="T57" s="49"/>
      <c r="U57" s="49"/>
      <c r="V57" s="49"/>
      <c r="Y57" s="69"/>
      <c r="Z57" s="69"/>
      <c r="AA57" s="31">
        <v>30</v>
      </c>
      <c r="AB57" s="55" t="str">
        <f>IF(LEN(R57&amp;S57&amp;T57&amp;U57&amp;V57)&gt;0,"epics","")</f>
        <v/>
      </c>
      <c r="AC57" s="52" t="str">
        <f>IF(NOT(ISBLANK(V57)),"base",IF(AB57="epics",IF(AND(ISBLANK(P57),ISBLANK(Q57)),"nmp","map"),""))</f>
        <v/>
      </c>
      <c r="AD57" s="27" t="str">
        <f>UPPER(AD$1&amp;":"&amp;D57)</f>
        <v>:</v>
      </c>
      <c r="AE57" s="25" t="str">
        <f>UPPER(AE$1&amp;":"&amp;E57)</f>
        <v>:HLMM</v>
      </c>
      <c r="AF57" s="27" t="str">
        <f>SUBSTITUTE(D57,"_","")</f>
        <v/>
      </c>
      <c r="AG57" s="25" t="str">
        <f>SUBSTITUTE(E57,"_","")&amp;IF(AND(RIGHT(P57)&lt;&gt;"s",RIGHT(Q57)&lt;&gt;"s"),"","")</f>
        <v>HLMM</v>
      </c>
      <c r="AH57" s="25" t="str">
        <f>IF(ISNUMBER(Y57),Y57,"$(P)"&amp;$AE$1&amp;":"&amp;Y57)</f>
        <v>$(P):</v>
      </c>
      <c r="AI57" s="25" t="str">
        <f>IF(ISNUMBER(Z57),Z57,"$(P)"&amp;$AE$1&amp;":"&amp;Z57)</f>
        <v>$(P):</v>
      </c>
      <c r="AJ57" s="25"/>
      <c r="AK57" s="12" t="str">
        <f>IF(AC57="map",IF(G57="float",y_varMapAnalog,IF(G57="int",y_varMapLongint,IF(G57="bool",y_varMapBool,IF(G57="string",y_varMapString,IF(G57="option",y_varMapOption,"#unknown Type"))))),IF(AC57="nmp",y_nonMappedAnalog,""))</f>
        <v/>
      </c>
      <c r="AL57" s="12" t="e">
        <f>VLOOKUP(G57,y_mapProtocolLUT,3)</f>
        <v>#N/A</v>
      </c>
      <c r="AM57" s="12" t="e">
        <f>VLOOKUP(G57,y_mapProtocolLUT,2)</f>
        <v>#N/A</v>
      </c>
      <c r="AN57" s="25" t="e">
        <f>IF(LEN(AG57)&gt;0,SUBSTITUTE(SUBSTITUTE(SUBSTITUTE(AK57,"$(DTYP)",y_DTYPE),"$(SETPROTO)",AM57),"$(GETPROTO)",AL57),"")</f>
        <v>#N/A</v>
      </c>
      <c r="AO57" s="25" t="str">
        <f>IFERROR(SUBSTITUTE(SUBSTITUTE(SUBSTITUTE(SUBSTITUTE(SUBSTITUTE(SUBSTITUTE(SUBSTITUTE(SUBSTITUTE(SUBSTITUTE(AN57,"$(Q)",AE57),"$(EGU)",K57),"$(PREC)",N57),"$(VAR)",TRIM(CLEAN(y_dedicatedCS&amp;F57))),"$(GetSB)",AH57),"$(SetSB)",AI57),"$(DESC)",LEFT(I57,40)),"$(ENUMS)",AJ57),"$(DEFAULT)",H57),"")</f>
        <v/>
      </c>
      <c r="AP57" s="25" t="str">
        <f>IF(ISNUMBER(W57),SUBSTITUTE(SUBSTITUTE(SUBSTITUTE(SUBSTITUTE(SUBSTITUTE(SUBSTITUTE(SUBSTITUTE(SUBSTITUTE(y_QLabel &amp; IF(RIGHT(R57)="s",y_QELineEdit,y_QELabel),"~PVNAME",$AE57&amp;IF($AC57="map","","")),"~EGU",$K57),"~PREC",$N57),"~VAR",$F57),"~CANGET",$AH57),"~CANSET",$AI57),"~ROW",W57),"~NAME",$E57),"")</f>
        <v/>
      </c>
      <c r="AQ57" s="25" t="str">
        <f>IF(ISNUMBER(X57),SUBSTITUTE(SUBSTITUTE(SUBSTITUTE(SUBSTITUTE(SUBSTITUTE(SUBSTITUTE(SUBSTITUTE(SUBSTITUTE(y_QLabel &amp; IF(RIGHT(S57)="s",y_QELineEdit,y_QELabel),"~PVNAME",$AE57&amp;IF($AC57="map",":RBV","")),"~EGU",$K57),"~PREC",$N57),"~VAR",$F57),"~CANGET",$AH57),"~CANSET",$AI57),"~ROW",X57),"~NAME",$E57),"")</f>
        <v/>
      </c>
      <c r="AR57" s="25" t="e">
        <f>VLOOKUP(G57,y_EPICS_Formats,2,FALSE)</f>
        <v>#N/A</v>
      </c>
      <c r="AS57" s="25" t="str">
        <f>IF(AB57="epics",y_Prefix&amp;AE57&amp;" = ","")</f>
        <v/>
      </c>
      <c r="AT57" s="25" t="str">
        <f>IF(LEN(P57&amp;Q57)&gt;0,IFERROR(";"&amp;I57&amp;"["&amp;K57&amp;"]"&amp;AB57&amp;"("&amp;AC57&amp;")"&amp;CHAR(10)&amp;C57 &amp;CHAR(9)&amp;AG57&amp;CHAR(9)&amp;F57 &amp;CHAR(9),";;Error!"),"")</f>
        <v/>
      </c>
      <c r="AU57" s="25" t="str">
        <f>IF(IFERROR(AND(AA57&gt;0,LEN(AN57)&gt;0),FALSE),SUBSTITUTE(SUBSTITUTE(SUBSTITUTE(y_archiverXML,"~PVNAME",AE57),"~PREFIX",y_Prefix),"~PERIOD",MIN(30,AA57)),"")</f>
        <v/>
      </c>
      <c r="AV57" s="11" t="str">
        <f>IF($AB57="epics",AV$1-LEN(AE57),"")</f>
        <v/>
      </c>
      <c r="AW57" s="11" t="str">
        <f>IF($AB57="epics",AW$1-LEN(AH57),"")</f>
        <v/>
      </c>
      <c r="AX57" s="11" t="str">
        <f>IF($AB57="epics",AX$1-LEN(AI57),"")</f>
        <v/>
      </c>
      <c r="AY57" s="11" t="str">
        <f>IF($AB57="epics",AY$1-LEN(I57)-LEN(" readback"),"")</f>
        <v/>
      </c>
      <c r="AZ57" s="12" t="str">
        <f>IF(LEN(F57)&gt;0,IFERROR(VALUE(RIGHT(F57,LEN(F57)-1)),F57),"zzzzz")</f>
        <v>x</v>
      </c>
      <c r="BA57" s="12" t="str">
        <f>IFERROR(VALUE(RIGHT(F57,LEN(F57)-1)),F57)</f>
        <v>x</v>
      </c>
      <c r="BB57" s="22" t="str">
        <f>y_Prefix&amp;AE57</f>
        <v>SR05ID01FST01:HLMM</v>
      </c>
    </row>
    <row r="58" spans="1:54" ht="15.75" customHeight="1" x14ac:dyDescent="0.25">
      <c r="A58" s="22">
        <v>54</v>
      </c>
      <c r="B58" s="23"/>
      <c r="C58" s="30" t="str">
        <f>IF(AND(ISBLANK(P58),ISBLANK(Q58)),";","#define")</f>
        <v>;</v>
      </c>
      <c r="D58" s="29"/>
      <c r="E58" s="24" t="s">
        <v>643</v>
      </c>
      <c r="F58" s="10" t="s">
        <v>621</v>
      </c>
      <c r="G58" s="10"/>
      <c r="H58" s="10"/>
      <c r="I58" s="61"/>
      <c r="J58" s="10"/>
      <c r="K58" s="10"/>
      <c r="L58" s="10"/>
      <c r="M58" s="18"/>
      <c r="N58" s="10"/>
      <c r="O58" s="15"/>
      <c r="P58" s="49"/>
      <c r="Q58" s="49"/>
      <c r="R58" s="49"/>
      <c r="S58" s="49"/>
      <c r="T58" s="49"/>
      <c r="U58" s="49"/>
      <c r="V58" s="49"/>
      <c r="AA58" s="31">
        <v>30</v>
      </c>
      <c r="AB58" s="55" t="str">
        <f>IF(LEN(R58&amp;S58&amp;T58&amp;U58&amp;V58)&gt;0,"epics","")</f>
        <v/>
      </c>
      <c r="AC58" s="52" t="str">
        <f>IF(NOT(ISBLANK(V58)),"base",IF(AB58="epics",IF(AND(ISBLANK(P58),ISBLANK(Q58)),"nmp","map"),""))</f>
        <v/>
      </c>
      <c r="AD58" s="27" t="str">
        <f>UPPER(AD$1&amp;":"&amp;D58)</f>
        <v>:</v>
      </c>
      <c r="AE58" s="25" t="str">
        <f>UPPER(AE$1&amp;":"&amp;E58)</f>
        <v>:HLMM</v>
      </c>
      <c r="AF58" s="27" t="str">
        <f>SUBSTITUTE(D58,"_","")</f>
        <v/>
      </c>
      <c r="AG58" s="25" t="str">
        <f>SUBSTITUTE(E58,"_","")&amp;IF(AND(RIGHT(P58)&lt;&gt;"s",RIGHT(Q58)&lt;&gt;"s"),"","")</f>
        <v>HLMM</v>
      </c>
      <c r="AH58" s="25" t="str">
        <f>IF(ISNUMBER(Y58),Y58,"$(P)"&amp;$AE$1&amp;":"&amp;Y58)</f>
        <v>$(P):</v>
      </c>
      <c r="AI58" s="25" t="str">
        <f>IF(ISNUMBER(Z58),Z58,"$(P)"&amp;$AE$1&amp;":"&amp;Z58)</f>
        <v>$(P):</v>
      </c>
      <c r="AJ58" s="25"/>
      <c r="AK58" s="12" t="str">
        <f>IF(AC58="map",IF(G58="float",y_varMapAnalog,IF(G58="int",y_varMapLongint,IF(G58="bool",y_varMapBool,IF(G58="string",y_varMapString,IF(G58="option",y_varMapOption,"#unknown Type"))))),IF(AC58="nmp",y_nonMappedAnalog,""))</f>
        <v/>
      </c>
      <c r="AL58" s="12" t="e">
        <f>VLOOKUP(G58,y_mapProtocolLUT,3)</f>
        <v>#N/A</v>
      </c>
      <c r="AM58" s="12" t="e">
        <f>VLOOKUP(G58,y_mapProtocolLUT,2)</f>
        <v>#N/A</v>
      </c>
      <c r="AN58" s="25" t="e">
        <f>IF(LEN(AG58)&gt;0,SUBSTITUTE(SUBSTITUTE(SUBSTITUTE(AK58,"$(DTYP)",y_DTYPE),"$(SETPROTO)",AM58),"$(GETPROTO)",AL58),"")</f>
        <v>#N/A</v>
      </c>
      <c r="AO58" s="25" t="str">
        <f>IFERROR(SUBSTITUTE(SUBSTITUTE(SUBSTITUTE(SUBSTITUTE(SUBSTITUTE(SUBSTITUTE(SUBSTITUTE(SUBSTITUTE(SUBSTITUTE(AN58,"$(Q)",AE58),"$(EGU)",K58),"$(PREC)",N58),"$(VAR)",TRIM(CLEAN(y_dedicatedCS&amp;F58))),"$(GetSB)",AH58),"$(SetSB)",AI58),"$(DESC)",LEFT(I58,40)),"$(ENUMS)",AJ58),"$(DEFAULT)",H58),"")</f>
        <v/>
      </c>
      <c r="AP58" s="25" t="str">
        <f>IF(ISNUMBER(W58),SUBSTITUTE(SUBSTITUTE(SUBSTITUTE(SUBSTITUTE(SUBSTITUTE(SUBSTITUTE(SUBSTITUTE(SUBSTITUTE(y_QLabel &amp; IF(RIGHT(R58)="s",y_QELineEdit,y_QELabel),"~PVNAME",$AE58&amp;IF($AC58="map","","")),"~EGU",$K58),"~PREC",$N58),"~VAR",$F58),"~CANGET",$AH58),"~CANSET",$AI58),"~ROW",W58),"~NAME",$E58),"")</f>
        <v/>
      </c>
      <c r="AQ58" s="25" t="str">
        <f>IF(ISNUMBER(X58),SUBSTITUTE(SUBSTITUTE(SUBSTITUTE(SUBSTITUTE(SUBSTITUTE(SUBSTITUTE(SUBSTITUTE(SUBSTITUTE(y_QLabel &amp; IF(RIGHT(S58)="s",y_QELineEdit,y_QELabel),"~PVNAME",$AE58&amp;IF($AC58="map",":RBV","")),"~EGU",$K58),"~PREC",$N58),"~VAR",$F58),"~CANGET",$AH58),"~CANSET",$AI58),"~ROW",X58),"~NAME",$E58),"")</f>
        <v/>
      </c>
      <c r="AR58" s="25" t="e">
        <f>VLOOKUP(G58,y_EPICS_Formats,2,FALSE)</f>
        <v>#N/A</v>
      </c>
      <c r="AS58" s="25" t="str">
        <f>IF(AB58="epics",y_Prefix&amp;AE58&amp;" = ","")</f>
        <v/>
      </c>
      <c r="AT58" s="25" t="str">
        <f>IF(LEN(P58&amp;Q58)&gt;0,IFERROR(";"&amp;I58&amp;"["&amp;K58&amp;"]"&amp;AB58&amp;"("&amp;AC58&amp;")"&amp;CHAR(10)&amp;C58 &amp;CHAR(9)&amp;AG58&amp;CHAR(9)&amp;F58 &amp;CHAR(9),";;Error!"),"")</f>
        <v/>
      </c>
      <c r="AU58" s="25" t="str">
        <f>IF(IFERROR(AND(AA58&gt;0,LEN(AN58)&gt;0),FALSE),SUBSTITUTE(SUBSTITUTE(SUBSTITUTE(y_archiverXML,"~PVNAME",AE58),"~PREFIX",y_Prefix),"~PERIOD",MIN(30,AA58)),"")</f>
        <v/>
      </c>
      <c r="AV58" s="11" t="str">
        <f>IF($AB58="epics",AV$1-LEN(AE58),"")</f>
        <v/>
      </c>
      <c r="AW58" s="11" t="str">
        <f>IF($AB58="epics",AW$1-LEN(AH58),"")</f>
        <v/>
      </c>
      <c r="AX58" s="11" t="str">
        <f>IF($AB58="epics",AX$1-LEN(AI58),"")</f>
        <v/>
      </c>
      <c r="AY58" s="11" t="str">
        <f>IF($AB58="epics",AY$1-LEN(I58)-LEN(" readback"),"")</f>
        <v/>
      </c>
      <c r="AZ58" s="12" t="str">
        <f>IF(LEN(F58)&gt;0,IFERROR(VALUE(RIGHT(F58,LEN(F58)-1)),F58),"zzzzz")</f>
        <v>x</v>
      </c>
      <c r="BA58" s="12" t="str">
        <f>IFERROR(VALUE(RIGHT(F58,LEN(F58)-1)),F58)</f>
        <v>x</v>
      </c>
      <c r="BB58" s="22" t="str">
        <f>y_Prefix&amp;AE58</f>
        <v>SR05ID01FST01:HLMM</v>
      </c>
    </row>
    <row r="59" spans="1:54" ht="15.75" customHeight="1" x14ac:dyDescent="0.25">
      <c r="A59" s="22">
        <v>55</v>
      </c>
      <c r="B59" s="23"/>
      <c r="C59" s="30" t="str">
        <f>IF(AND(ISBLANK(P59),ISBLANK(Q59)),";","#define")</f>
        <v>;</v>
      </c>
      <c r="D59" s="9"/>
      <c r="E59" s="22" t="s">
        <v>644</v>
      </c>
      <c r="F59" s="10" t="s">
        <v>645</v>
      </c>
      <c r="G59" s="10" t="s">
        <v>77</v>
      </c>
      <c r="H59" s="10"/>
      <c r="I59" s="61" t="s">
        <v>646</v>
      </c>
      <c r="J59" s="10" t="s">
        <v>363</v>
      </c>
      <c r="K59" s="10" t="s">
        <v>526</v>
      </c>
      <c r="L59" s="10">
        <v>-9999999</v>
      </c>
      <c r="M59" s="10">
        <v>9999999</v>
      </c>
      <c r="N59" s="10">
        <v>4</v>
      </c>
      <c r="O59" s="15"/>
      <c r="P59" s="49"/>
      <c r="Q59" s="49"/>
      <c r="R59" s="49" t="s">
        <v>365</v>
      </c>
      <c r="S59" s="49"/>
      <c r="T59" s="49" t="s">
        <v>35</v>
      </c>
      <c r="U59" s="49"/>
      <c r="V59" s="49"/>
      <c r="W59" s="98">
        <v>31</v>
      </c>
      <c r="Y59" s="69" t="s">
        <v>784</v>
      </c>
      <c r="Z59" s="69" t="s">
        <v>784</v>
      </c>
      <c r="AA59" s="31">
        <v>30</v>
      </c>
      <c r="AB59" s="55" t="str">
        <f>IF(LEN(R59&amp;S59&amp;T59&amp;U59&amp;V59)&gt;0,"epics","")</f>
        <v>epics</v>
      </c>
      <c r="AC59" s="52" t="str">
        <f>IF(NOT(ISBLANK(V59)),"base",IF(AB59="epics",IF(AND(ISBLANK(P59),ISBLANK(Q59)),"nmp","map"),""))</f>
        <v>nmp</v>
      </c>
      <c r="AD59" s="27" t="str">
        <f>UPPER(AD$1&amp;":"&amp;D59)</f>
        <v>:</v>
      </c>
      <c r="AE59" s="25" t="str">
        <f>UPPER(AE$1&amp;":"&amp;E59)</f>
        <v>:J1_HLM</v>
      </c>
      <c r="AF59" s="27" t="str">
        <f>SUBSTITUTE(D59,"_","")</f>
        <v/>
      </c>
      <c r="AG59" s="25" t="str">
        <f>SUBSTITUTE(E59,"_","")&amp;IF(AND(RIGHT(P59)&lt;&gt;"s",RIGHT(Q59)&lt;&gt;"s"),"","")</f>
        <v>j1HLM</v>
      </c>
      <c r="AH59" s="25" t="str">
        <f>IF(ISNUMBER(Y59),Y59,"$(P)"&amp;$AE$1&amp;":"&amp;Y59)</f>
        <v>$(P):EN_TRAJSET</v>
      </c>
      <c r="AI59" s="25" t="str">
        <f>IF(ISNUMBER(Z59),Z59,"$(P)"&amp;$AE$1&amp;":"&amp;Z59)</f>
        <v>$(P):EN_TRAJSET</v>
      </c>
      <c r="AJ59" s="25"/>
      <c r="AK59" s="12" t="str">
        <f>IF(AC59="map",IF(G59="float",y_varMapAnalog,IF(G59="int",y_varMapLongint,IF(G59="bool",y_varMapBool,IF(G59="string",y_varMapString,IF(G59="option",y_varMapOption,"#unknown Type"))))),IF(AC59="nmp",y_nonMappedAnalog,""))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59" s="12" t="str">
        <f>VLOOKUP(G59,y_mapProtocolLUT,3)</f>
        <v>@pmac.proto getVar($(VAR)) $(PORT)</v>
      </c>
      <c r="AM59" s="12" t="str">
        <f>VLOOKUP(G59,y_mapProtocolLUT,2)</f>
        <v>@pmac.proto setVar($(VAR)) $(PORT)</v>
      </c>
      <c r="AN59" s="25" t="str">
        <f>IF(LEN(AG59)&gt;0,SUBSTITUTE(SUBSTITUTE(SUBSTITUTE(AK59,"$(DTYP)",y_DTYPE),"$(SETPROTO)",AM59),"$(GETPROTO)",AL59),"")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59" s="25" t="str">
        <f>IFERROR(SUBSTITUTE(SUBSTITUTE(SUBSTITUTE(SUBSTITUTE(SUBSTITUTE(SUBSTITUTE(SUBSTITUTE(SUBSTITUTE(SUBSTITUTE(AN59,"$(Q)",AE59),"$(EGU)",K59),"$(PREC)",N59),"$(VAR)",TRIM(CLEAN(y_dedicatedCS&amp;F59))),"$(GetSB)",AH59),"$(SetSB)",AI59),"$(DESC)",LEFT(I59,40)),"$(ENUMS)",AJ59),"$(DEFAULT)",H59),"")</f>
        <v># non-mapped PV
#% autosave 0 VAL
record(ai, "$(P):J1_HLM") {
  field(DESC, "Fly axis jerk desired limit")
  field(PINI, "YES")
  field(EGU, "EGU/s2")
  field(PREC, "4")
  field(VAL,"")
  field(SDIS, "$(P):EN_TRAJSET CP MS")
  field(DISV, "0")
  field(DISS, "INVALID")
}
#--------------</v>
      </c>
      <c r="AP59" s="25" t="str">
        <f>IF(ISNUMBER(W59),SUBSTITUTE(SUBSTITUTE(SUBSTITUTE(SUBSTITUTE(SUBSTITUTE(SUBSTITUTE(SUBSTITUTE(SUBSTITUTE(y_QLabel &amp; IF(RIGHT(R59)="s",y_QELineEdit,y_QELabel),"~PVNAME",$AE59&amp;IF($AC59="map","","")),"~EGU",$K59),"~PREC",$N59),"~VAR",$F59),"~CANGET",$AH59),"~CANSET",$AI59),"~ROW",W59),"~NAME",$E59),"")</f>
        <v>&lt;item row="31" column="0"&gt;
         &lt;widget class="QLabel" name="L_j1_HLM"&gt;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&lt;string&gt;j1_HLM&lt;/string&gt;
          &lt;/property&gt;
          &lt;property name="margin"&gt;
           &lt;number&gt;3&lt;/number&gt;
          &lt;/property&gt;
         &lt;/widget&gt;
        &lt;/item&gt;
&lt;item row="31" column="2"&gt;
            &lt;widget class="QELineEdit" name="QLD_j1_HLM"&gt;
             &lt;property name="variable" stdset="0"&gt;
              &lt;string&gt;$(P)$(R):J1_HLM&lt;/string&gt;
             &lt;/property&gt;
             &lt;property name="addUnits"&gt;
             &lt;bool&gt;true&lt;/bool&gt;
             &lt;/property&gt;
            &lt;/widget&gt;
           &lt;/item&gt;</v>
      </c>
      <c r="AQ59" s="25" t="str">
        <f>IF(ISNUMBER(X59),SUBSTITUTE(SUBSTITUTE(SUBSTITUTE(SUBSTITUTE(SUBSTITUTE(SUBSTITUTE(SUBSTITUTE(SUBSTITUTE(y_QLabel &amp; IF(RIGHT(S59)="s",y_QELineEdit,y_QELabel),"~PVNAME",$AE59&amp;IF($AC59="map",":RBV","")),"~EGU",$K59),"~PREC",$N59),"~VAR",$F59),"~CANGET",$AH59),"~CANSET",$AI59),"~ROW",X59),"~NAME",$E59),"")</f>
        <v/>
      </c>
      <c r="AR59" s="25" t="e">
        <f>VLOOKUP(G59,y_EPICS_Formats,2,FALSE)</f>
        <v>#N/A</v>
      </c>
      <c r="AS59" s="25" t="str">
        <f>IF(AB59="epics",y_Prefix&amp;AE59&amp;" = ","")</f>
        <v xml:space="preserve">SR05ID01FST01:J1_HLM = </v>
      </c>
      <c r="AT59" s="25" t="str">
        <f>IF(LEN(P59&amp;Q59)&gt;0,IFERROR(";"&amp;I59&amp;"["&amp;K59&amp;"]"&amp;AB59&amp;"("&amp;AC59&amp;")"&amp;CHAR(10)&amp;C59 &amp;CHAR(9)&amp;AG59&amp;CHAR(9)&amp;F59 &amp;CHAR(9),";;Error!"),"")</f>
        <v/>
      </c>
      <c r="AU59" s="25" t="str">
        <f>IF(IFERROR(AND(AA59&gt;0,LEN(AN59)&gt;0),FALSE),SUBSTITUTE(SUBSTITUTE(SUBSTITUTE(y_archiverXML,"~PVNAME",AE59),"~PREFIX",y_Prefix),"~PERIOD",MIN(30,AA59)),"")</f>
        <v xml:space="preserve">      &lt;channel&gt;
         &lt;name&gt;SR05ID01FST01:J1_HLM&lt;/name&gt;
         &lt;period&gt;30&lt;/period&gt;
         &lt;monitor/&gt;
      &lt;/channel&gt;</v>
      </c>
      <c r="AV59" s="11">
        <f>IF($AB59="epics",AV$1-LEN(AE59),"")</f>
        <v>12</v>
      </c>
      <c r="AW59" s="11">
        <f>IF($AB59="epics",AW$1-LEN(AH59),"")</f>
        <v>9</v>
      </c>
      <c r="AX59" s="11">
        <f>IF($AB59="epics",AX$1-LEN(AI59),"")</f>
        <v>9</v>
      </c>
      <c r="AY59" s="11">
        <f>IF($AB59="epics",AY$1-LEN(I59)-LEN(" readback"),"")</f>
        <v>4</v>
      </c>
      <c r="AZ59" s="12">
        <f>IF(LEN(F59)&gt;0,IFERROR(VALUE(RIGHT(F59,LEN(F59)-1)),F59),"zzzzz")</f>
        <v>2020</v>
      </c>
      <c r="BA59" s="12">
        <f>IFERROR(VALUE(RIGHT(F59,LEN(F59)-1)),F59)</f>
        <v>2020</v>
      </c>
      <c r="BB59" s="22" t="str">
        <f>y_Prefix&amp;AE59</f>
        <v>SR05ID01FST01:J1_HLM</v>
      </c>
    </row>
    <row r="60" spans="1:54" ht="15.75" customHeight="1" x14ac:dyDescent="0.25">
      <c r="A60" s="22">
        <v>56</v>
      </c>
      <c r="B60" s="23"/>
      <c r="C60" s="30" t="str">
        <f>IF(AND(ISBLANK(P60),ISBLANK(Q60)),";","#define")</f>
        <v>;</v>
      </c>
      <c r="D60" s="9"/>
      <c r="E60" s="24" t="s">
        <v>647</v>
      </c>
      <c r="F60" s="10" t="s">
        <v>648</v>
      </c>
      <c r="G60" s="10" t="s">
        <v>77</v>
      </c>
      <c r="H60" s="10"/>
      <c r="I60" s="61" t="s">
        <v>649</v>
      </c>
      <c r="J60" s="10" t="s">
        <v>363</v>
      </c>
      <c r="K60" s="10" t="s">
        <v>526</v>
      </c>
      <c r="L60" s="10">
        <v>-9999999</v>
      </c>
      <c r="M60" s="18">
        <v>9999999</v>
      </c>
      <c r="N60" s="10">
        <v>4</v>
      </c>
      <c r="O60" s="15"/>
      <c r="P60" s="49"/>
      <c r="Q60" s="49"/>
      <c r="R60" s="49" t="s">
        <v>365</v>
      </c>
      <c r="S60" s="49"/>
      <c r="T60" s="49" t="s">
        <v>35</v>
      </c>
      <c r="U60" s="49"/>
      <c r="V60" s="49"/>
      <c r="W60" s="98">
        <v>32</v>
      </c>
      <c r="Y60" s="69" t="s">
        <v>784</v>
      </c>
      <c r="Z60" s="69" t="s">
        <v>784</v>
      </c>
      <c r="AA60" s="69">
        <v>30</v>
      </c>
      <c r="AB60" s="55" t="str">
        <f>IF(LEN(R60&amp;S60&amp;T60&amp;U60&amp;V60)&gt;0,"epics","")</f>
        <v>epics</v>
      </c>
      <c r="AC60" s="52" t="str">
        <f>IF(NOT(ISBLANK(V60)),"base",IF(AB60="epics",IF(AND(ISBLANK(P60),ISBLANK(Q60)),"nmp","map"),""))</f>
        <v>nmp</v>
      </c>
      <c r="AD60" s="27" t="str">
        <f>UPPER(AD$1&amp;":"&amp;D60)</f>
        <v>:</v>
      </c>
      <c r="AE60" s="25" t="str">
        <f>UPPER(AE$1&amp;":"&amp;E60)</f>
        <v>:J2_HLM</v>
      </c>
      <c r="AF60" s="27" t="str">
        <f>SUBSTITUTE(D60,"_","")</f>
        <v/>
      </c>
      <c r="AG60" s="25" t="str">
        <f>SUBSTITUTE(E60,"_","")&amp;IF(AND(RIGHT(P60)&lt;&gt;"s",RIGHT(Q60)&lt;&gt;"s"),"","")</f>
        <v>j2HLM</v>
      </c>
      <c r="AH60" s="25" t="str">
        <f>IF(ISNUMBER(Y60),Y60,"$(P)"&amp;$AE$1&amp;":"&amp;Y60)</f>
        <v>$(P):EN_TRAJSET</v>
      </c>
      <c r="AI60" s="25" t="str">
        <f>IF(ISNUMBER(Z60),Z60,"$(P)"&amp;$AE$1&amp;":"&amp;Z60)</f>
        <v>$(P):EN_TRAJSET</v>
      </c>
      <c r="AJ60" s="25"/>
      <c r="AK60" s="12" t="str">
        <f>IF(AC60="map",IF(G60="float",y_varMapAnalog,IF(G60="int",y_varMapLongint,IF(G60="bool",y_varMapBool,IF(G60="string",y_varMapString,IF(G60="option",y_varMapOption,"#unknown Type"))))),IF(AC60="nmp",y_nonMappedAnalog,""))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60" s="12" t="str">
        <f>VLOOKUP(G60,y_mapProtocolLUT,3)</f>
        <v>@pmac.proto getVar($(VAR)) $(PORT)</v>
      </c>
      <c r="AM60" s="12" t="str">
        <f>VLOOKUP(G60,y_mapProtocolLUT,2)</f>
        <v>@pmac.proto setVar($(VAR)) $(PORT)</v>
      </c>
      <c r="AN60" s="25" t="str">
        <f>IF(LEN(AG60)&gt;0,SUBSTITUTE(SUBSTITUTE(SUBSTITUTE(AK60,"$(DTYP)",y_DTYPE),"$(SETPROTO)",AM60),"$(GETPROTO)",AL60),"")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60" s="25" t="str">
        <f>IFERROR(SUBSTITUTE(SUBSTITUTE(SUBSTITUTE(SUBSTITUTE(SUBSTITUTE(SUBSTITUTE(SUBSTITUTE(SUBSTITUTE(SUBSTITUTE(AN60,"$(Q)",AE60),"$(EGU)",K60),"$(PREC)",N60),"$(VAR)",TRIM(CLEAN(y_dedicatedCS&amp;F60))),"$(GetSB)",AH60),"$(SetSB)",AI60),"$(DESC)",LEFT(I60,40)),"$(ENUMS)",AJ60),"$(DEFAULT)",H60),"")</f>
        <v># non-mapped PV
#% autosave 0 VAL
record(ai, "$(P):J2_HLM") {
  field(DESC, "Inc. axis jerk desired limit")
  field(PINI, "YES")
  field(EGU, "EGU/s2")
  field(PREC, "4")
  field(VAL,"")
  field(SDIS, "$(P):EN_TRAJSET CP MS")
  field(DISV, "0")
  field(DISS, "INVALID")
}
#--------------</v>
      </c>
      <c r="AP60" s="25" t="str">
        <f>IF(ISNUMBER(W60),SUBSTITUTE(SUBSTITUTE(SUBSTITUTE(SUBSTITUTE(SUBSTITUTE(SUBSTITUTE(SUBSTITUTE(SUBSTITUTE(y_QLabel &amp; IF(RIGHT(R60)="s",y_QELineEdit,y_QELabel),"~PVNAME",$AE60&amp;IF($AC60="map","","")),"~EGU",$K60),"~PREC",$N60),"~VAR",$F60),"~CANGET",$AH60),"~CANSET",$AI60),"~ROW",W60),"~NAME",$E60),"")</f>
        <v>&lt;item row="32" column="0"&gt;
         &lt;widget class="QLabel" name="L_j2_HLM"&gt;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&lt;string&gt;j2_HLM&lt;/string&gt;
          &lt;/property&gt;
          &lt;property name="margin"&gt;
           &lt;number&gt;3&lt;/number&gt;
          &lt;/property&gt;
         &lt;/widget&gt;
        &lt;/item&gt;
&lt;item row="32" column="2"&gt;
            &lt;widget class="QELineEdit" name="QLD_j2_HLM"&gt;
             &lt;property name="variable" stdset="0"&gt;
              &lt;string&gt;$(P)$(R):J2_HLM&lt;/string&gt;
             &lt;/property&gt;
             &lt;property name="addUnits"&gt;
             &lt;bool&gt;true&lt;/bool&gt;
             &lt;/property&gt;
            &lt;/widget&gt;
           &lt;/item&gt;</v>
      </c>
      <c r="AQ60" s="25" t="str">
        <f>IF(ISNUMBER(X60),SUBSTITUTE(SUBSTITUTE(SUBSTITUTE(SUBSTITUTE(SUBSTITUTE(SUBSTITUTE(SUBSTITUTE(SUBSTITUTE(y_QLabel &amp; IF(RIGHT(S60)="s",y_QELineEdit,y_QELabel),"~PVNAME",$AE60&amp;IF($AC60="map",":RBV","")),"~EGU",$K60),"~PREC",$N60),"~VAR",$F60),"~CANGET",$AH60),"~CANSET",$AI60),"~ROW",X60),"~NAME",$E60),"")</f>
        <v/>
      </c>
      <c r="AR60" s="25" t="e">
        <f>VLOOKUP(G60,y_EPICS_Formats,2,FALSE)</f>
        <v>#N/A</v>
      </c>
      <c r="AS60" s="25" t="str">
        <f>IF(AB60="epics",y_Prefix&amp;AE60&amp;" = ","")</f>
        <v xml:space="preserve">SR05ID01FST01:J2_HLM = </v>
      </c>
      <c r="AT60" s="25" t="str">
        <f>IF(LEN(P60&amp;Q60)&gt;0,IFERROR(";"&amp;I60&amp;"["&amp;K60&amp;"]"&amp;AB60&amp;"("&amp;AC60&amp;")"&amp;CHAR(10)&amp;C60 &amp;CHAR(9)&amp;AG60&amp;CHAR(9)&amp;F60 &amp;CHAR(9),";;Error!"),"")</f>
        <v/>
      </c>
      <c r="AU60" s="25" t="str">
        <f>IF(IFERROR(AND(AA60&gt;0,LEN(AN60)&gt;0),FALSE),SUBSTITUTE(SUBSTITUTE(SUBSTITUTE(y_archiverXML,"~PVNAME",AE60),"~PREFIX",y_Prefix),"~PERIOD",MIN(30,AA60)),"")</f>
        <v xml:space="preserve">      &lt;channel&gt;
         &lt;name&gt;SR05ID01FST01:J2_HLM&lt;/name&gt;
         &lt;period&gt;30&lt;/period&gt;
         &lt;monitor/&gt;
      &lt;/channel&gt;</v>
      </c>
      <c r="AV60" s="11">
        <f>IF($AB60="epics",AV$1-LEN(AE60),"")</f>
        <v>12</v>
      </c>
      <c r="AW60" s="11">
        <f>IF($AB60="epics",AW$1-LEN(AH60),"")</f>
        <v>9</v>
      </c>
      <c r="AX60" s="11">
        <f>IF($AB60="epics",AX$1-LEN(AI60),"")</f>
        <v>9</v>
      </c>
      <c r="AY60" s="11">
        <f>IF($AB60="epics",AY$1-LEN(I60)-LEN(" readback"),"")</f>
        <v>3</v>
      </c>
      <c r="AZ60" s="12">
        <f>IF(LEN(F60)&gt;0,IFERROR(VALUE(RIGHT(F60,LEN(F60)-1)),F60),"zzzzz")</f>
        <v>2021</v>
      </c>
      <c r="BA60" s="12">
        <f>IFERROR(VALUE(RIGHT(F60,LEN(F60)-1)),F60)</f>
        <v>2021</v>
      </c>
      <c r="BB60" s="22" t="str">
        <f>y_Prefix&amp;AE60</f>
        <v>SR05ID01FST01:J2_HLM</v>
      </c>
    </row>
    <row r="61" spans="1:54" ht="15.75" customHeight="1" x14ac:dyDescent="0.25">
      <c r="A61" s="22">
        <v>57</v>
      </c>
      <c r="B61" s="23"/>
      <c r="C61" s="30" t="str">
        <f>IF(AND(ISBLANK(P61),ISBLANK(Q61)),";","#define")</f>
        <v>#define</v>
      </c>
      <c r="D61" s="29"/>
      <c r="E61" s="22" t="s">
        <v>650</v>
      </c>
      <c r="F61" s="10" t="s">
        <v>651</v>
      </c>
      <c r="G61" s="10" t="s">
        <v>77</v>
      </c>
      <c r="H61" s="10"/>
      <c r="I61" s="61" t="s">
        <v>652</v>
      </c>
      <c r="J61" s="10" t="s">
        <v>35</v>
      </c>
      <c r="K61" s="10"/>
      <c r="L61" s="10">
        <v>-1</v>
      </c>
      <c r="M61" s="10">
        <v>1</v>
      </c>
      <c r="N61" s="10">
        <v>0</v>
      </c>
      <c r="O61" s="15"/>
      <c r="P61" s="49" t="s">
        <v>365</v>
      </c>
      <c r="Q61" s="49"/>
      <c r="R61" s="49"/>
      <c r="S61" s="49"/>
      <c r="T61" s="49"/>
      <c r="U61" s="49" t="s">
        <v>35</v>
      </c>
      <c r="V61" s="49"/>
      <c r="X61" s="98">
        <v>7</v>
      </c>
      <c r="Y61" s="69" t="s">
        <v>790</v>
      </c>
      <c r="Z61" s="69" t="s">
        <v>786</v>
      </c>
      <c r="AB61" s="55" t="str">
        <f>IF(LEN(R61&amp;S61&amp;T61&amp;U61&amp;V61)&gt;0,"epics","")</f>
        <v>epics</v>
      </c>
      <c r="AC61" s="52" t="str">
        <f>IF(NOT(ISBLANK(V61)),"base",IF(AB61="epics",IF(AND(ISBLANK(P61),ISBLANK(Q61)),"nmp","map"),""))</f>
        <v>map</v>
      </c>
      <c r="AD61" s="27" t="str">
        <f>UPPER(AD$1&amp;":"&amp;D61)</f>
        <v>:</v>
      </c>
      <c r="AE61" s="25" t="str">
        <f>UPPER(AE$1&amp;":"&amp;E61)</f>
        <v>:LINE_DIR</v>
      </c>
      <c r="AF61" s="27" t="str">
        <f>SUBSTITUTE(D61,"_","")</f>
        <v/>
      </c>
      <c r="AG61" s="25" t="str">
        <f>SUBSTITUTE(E61,"_","")&amp;IF(AND(RIGHT(P61)&lt;&gt;"s",RIGHT(Q61)&lt;&gt;"s"),"","")</f>
        <v>lineDir</v>
      </c>
      <c r="AH61" s="25" t="str">
        <f>IF(ISNUMBER(Y61),Y61,"$(P)"&amp;$AE$1&amp;":"&amp;Y61)</f>
        <v>$(P):EN_INPROG</v>
      </c>
      <c r="AI61" s="25" t="str">
        <f>IF(ISNUMBER(Z61),Z61,"$(P)"&amp;$AE$1&amp;":"&amp;Z61)</f>
        <v>$(P):EN_NEVER</v>
      </c>
      <c r="AJ61" s="25"/>
      <c r="AK61" s="12" t="str">
        <f>IF(AC61="map",IF(G61="float",y_varMapAnalog,IF(G61="int",y_varMapLongint,IF(G61="bool",y_varMapBool,IF(G61="string",y_varMapString,IF(G61="option",y_varMapOption,"#unknown Type"))))),IF(AC61="nmp",y_nonMappedAnalog,""))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61" s="12" t="str">
        <f>VLOOKUP(G61,y_mapProtocolLUT,3)</f>
        <v>@pmac.proto getVar($(VAR)) $(PORT)</v>
      </c>
      <c r="AM61" s="12" t="str">
        <f>VLOOKUP(G61,y_mapProtocolLUT,2)</f>
        <v>@pmac.proto setVar($(VAR)) $(PORT)</v>
      </c>
      <c r="AN61" s="25" t="str">
        <f>IF(LEN(AG61)&gt;0,SUBSTITUTE(SUBSTITUTE(SUBSTITUTE(AK61,"$(DTYP)",y_DTYPE),"$(SETPROTO)",AM61),"$(GETPROTO)",AL61),"")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61" s="25" t="str">
        <f>IFERROR(SUBSTITUTE(SUBSTITUTE(SUBSTITUTE(SUBSTITUTE(SUBSTITUTE(SUBSTITUTE(SUBSTITUTE(SUBSTITUTE(SUBSTITUTE(AN61,"$(Q)",AE61),"$(EGU)",K61),"$(PREC)",N61),"$(VAR)",TRIM(CLEAN(y_dedicatedCS&amp;F61))),"$(GetSB)",AH61),"$(SetSB)",AI61),"$(DESC)",LEFT(I61,40)),"$(ENUMS)",AJ61),"$(DEFAULT)",H61),"")</f>
        <v>_x000D_
# PVs mapping to P2049 of type Analog_x000D_
record(ao, "$(P):LINE_DIR") {_x000D_
  field(DESC, "Current line direction")_x000D_
  field(OUT, "$(P):LINE_DIR:SET PP MS")_x000D_
  field(PINI, "NO")_x000D_
  field(EGU, "") field(PREC, "0")_x000D_
  field(SDIS, "$(P):LINE_DIR:SCD MS")_x000D_
  field(DISV, "999999")  _x000D_
}_x000D_
record(ai, "$(P):LINE_DIR:RBV") {_x000D_
  field(DESC, "Current line direction readback")_x000D_
  field(DTYP, "stream")_x000D_
  field(INP, "@pmac.proto getVar(P2049) $(PORT)")_x000D_
  field(SDIS, "$(P):EN_INPROG NPP MS")_x000D_
  field(DISV, "0")_x000D_
  field(PINI, "NO")_x000D_
  field(DISS, "INVALID")_x000D_
  field(EGU, "") field(PREC, "0")_x000D_
}_x000D_
#% autosave 0 VAL_x000D_
record(ao, "$(P):LINE_DIR:SET") {_x000D_
  field(DTYP, "stream")_x000D_
  field(SDIS, "$(P):LINE_DIR:ROL PP MS")_x000D_
  field(OUT, "@pmac.proto setVar(P2049) $(PORT)")_x000D_
  field(PINI, "YES")_x000D_
  field(FLNK, "$(P):LINE_DIR:SCD")  _x000D_
  field(DISS, "INVALID")_x000D_
}_x000D_
record(calc, "$(P):LINE_DIR:ROL") {_x000D_
  field(CALC, "(!B) || A")_x000D_
  field(INPA, "$(P):LINE_DIR:SYN.PACT")_x000D_
  field(INPB, "$(P):EN_NEVER NPP")_x000D_
  field(PINI, "NO")_x000D_
}_x000D_
record(calcout, "$(P):LINE_DIR:SYN") {_x000D_
 field(INPA, "$(P):LINE_DIR:RBV PP")_x000D_
 field(INPB, "$(P):EN_INPROG CP MS")_x000D_
 field(INPC, "$(P):EN_NEVER NPP")_x000D_
 field(INPD, "$(P):LINE_DIR:SCD CP MS")_x000D_
 field(INPE, "$(P):LINE_DIR:SET NPP")_x000D_
 field(INPF, "$(P):EN_AUTOSYNC CP")_x000D_
 field(SDIS, "$(P):LINE_DIR:SET.PACT")_x000D_
 field(DISS, "INVALID")_x000D_
 field(CALC, "((D&gt;0)||(F&gt;0))?A:E")_x000D_
 field(OUT, "$(P):LINE_DIR PP MS")_x000D_
 field(PINI, "NO")_x000D_
}_x000D_
record(calc, "$(P):LINE_DIR:SCD") {_x000D_
 field(CALC, "(ABS(B-A)&lt;10^(-C))?1:0")_x000D_
 field(INPA, "$(P):LINE_DIR:RBV CP MS")_x000D_
 field(INPB, "$(P):LINE_DIR:SET CP")_x000D_
 field(INPC, "$(P):LINE_DIR:RBV.PREC")_x000D_
 field(PINI, "YES")_x000D_
 field(VAL,"0")_x000D_
 field(LOLO, "0.5")_x000D_
 field(LLSV, "MINOR") _x000D_
}_x000D_
# -----------------------------_x000D_
#</v>
      </c>
      <c r="AP61" s="25" t="str">
        <f>IF(ISNUMBER(W61),SUBSTITUTE(SUBSTITUTE(SUBSTITUTE(SUBSTITUTE(SUBSTITUTE(SUBSTITUTE(SUBSTITUTE(SUBSTITUTE(y_QLabel &amp; IF(RIGHT(R61)="s",y_QELineEdit,y_QELabel),"~PVNAME",$AE61&amp;IF($AC61="map","","")),"~EGU",$K61),"~PREC",$N61),"~VAR",$F61),"~CANGET",$AH61),"~CANSET",$AI61),"~ROW",W61),"~NAME",$E61),"")</f>
        <v/>
      </c>
      <c r="AQ61" s="25" t="str">
        <f>IF(ISNUMBER(X61),SUBSTITUTE(SUBSTITUTE(SUBSTITUTE(SUBSTITUTE(SUBSTITUTE(SUBSTITUTE(SUBSTITUTE(SUBSTITUTE(y_QLabel &amp; IF(RIGHT(S61)="s",y_QELineEdit,y_QELabel),"~PVNAME",$AE61&amp;IF($AC61="map",":RBV","")),"~EGU",$K61),"~PREC",$N61),"~VAR",$F61),"~CANGET",$AH61),"~CANSET",$AI61),"~ROW",X61),"~NAME",$E61),"")</f>
        <v xml:space="preserve">&lt;item row="7" column="0"&gt;
         &lt;widget class="QLabel" name="L_line_Dir"&gt;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&lt;string&gt;line_Dir&lt;/string&gt;
          &lt;/property&gt;
          &lt;property name="margin"&gt;
           &lt;number&gt;3&lt;/number&gt;
          &lt;/property&gt;
         &lt;/widget&gt;
        &lt;/item&gt;
&lt;item row="7" column="1"&gt;
         &lt;widget class="QELabel" name="QL_line_Dir"&gt;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&lt;string&gt;$(P)$(R):LINE_DIR:RBV&lt;/string&gt;
          &lt;/property&gt;
         &lt;/widget&gt;
   &lt;/item&gt;
</v>
      </c>
      <c r="AR61" s="25" t="e">
        <f>VLOOKUP(G61,y_EPICS_Formats,2,FALSE)</f>
        <v>#N/A</v>
      </c>
      <c r="AS61" s="25" t="str">
        <f>IF(AB61="epics",y_Prefix&amp;AE61&amp;" = ","")</f>
        <v xml:space="preserve">SR05ID01FST01:LINE_DIR = </v>
      </c>
      <c r="AT61" s="25" t="str">
        <f>IF(LEN(P61&amp;Q61)&gt;0,IFERROR(";"&amp;I61&amp;"["&amp;K61&amp;"]"&amp;AB61&amp;"("&amp;AC61&amp;")"&amp;CHAR(10)&amp;C61 &amp;CHAR(9)&amp;AG61&amp;CHAR(9)&amp;F61 &amp;CHAR(9),";;Error!"),"")</f>
        <v xml:space="preserve">;Current line direction[]epics(map)
#define	lineDir	P2049	</v>
      </c>
      <c r="AU61" s="25" t="str">
        <f>IF(IFERROR(AND(AA61&gt;0,LEN(AN61)&gt;0),FALSE),SUBSTITUTE(SUBSTITUTE(SUBSTITUTE(y_archiverXML,"~PVNAME",AE61),"~PREFIX",y_Prefix),"~PERIOD",MIN(30,AA61)),"")</f>
        <v/>
      </c>
      <c r="AV61" s="11">
        <f>IF($AB61="epics",AV$1-LEN(AE61),"")</f>
        <v>10</v>
      </c>
      <c r="AW61" s="11">
        <f>IF($AB61="epics",AW$1-LEN(AH61),"")</f>
        <v>10</v>
      </c>
      <c r="AX61" s="11">
        <f>IF($AB61="epics",AX$1-LEN(AI61),"")</f>
        <v>11</v>
      </c>
      <c r="AY61" s="11">
        <f>IF($AB61="epics",AY$1-LEN(I61)-LEN(" readback"),"")</f>
        <v>9</v>
      </c>
      <c r="AZ61" s="12">
        <f>IF(LEN(F61)&gt;0,IFERROR(VALUE(RIGHT(F61,LEN(F61)-1)),F61),"zzzzz")</f>
        <v>2049</v>
      </c>
      <c r="BA61" s="12">
        <f>IFERROR(VALUE(RIGHT(F61,LEN(F61)-1)),F61)</f>
        <v>2049</v>
      </c>
      <c r="BB61" s="22" t="str">
        <f>y_Prefix&amp;AE61</f>
        <v>SR05ID01FST01:LINE_DIR</v>
      </c>
    </row>
    <row r="62" spans="1:54" ht="15.75" customHeight="1" x14ac:dyDescent="0.25">
      <c r="A62" s="22">
        <v>58</v>
      </c>
      <c r="B62" s="23" t="str">
        <f>IF(AND(LEN(D62)&gt;3,D62&lt;&gt;E62),"&lt;FIND TYPE=ASC&gt;"&amp;AD62&amp;"&lt;/FIND&gt;&lt;REPLACE TYPE=ASC&gt;"&amp;AE62&amp;"&lt;/REPLACE&gt;"&amp;CHAR(10)&amp;"&lt;FIND TYPE=ASC&gt;"&amp;AF62&amp;"&lt;/FIND&gt;&lt;REPLACE TYPE=ASC&gt;"&amp;AG62&amp;"&lt;/REPLACE&gt;"&amp;CHAR(10)&amp;"&lt;FIND TYPE=ASC&gt;"&amp;D62&amp;"&lt;/FIND&gt;&lt;REPLACE TYPE=ASC&gt;"&amp;E62&amp;"&lt;/REPLACE&gt;",".")</f>
        <v>.</v>
      </c>
      <c r="C62" s="30" t="str">
        <f>IF(AND(ISBLANK(P62),ISBLANK(Q62)),";","#define")</f>
        <v>#define</v>
      </c>
      <c r="D62" s="28"/>
      <c r="E62" s="22" t="s">
        <v>653</v>
      </c>
      <c r="F62" s="10" t="s">
        <v>654</v>
      </c>
      <c r="G62" s="10" t="s">
        <v>77</v>
      </c>
      <c r="H62" s="10"/>
      <c r="I62" s="61" t="s">
        <v>655</v>
      </c>
      <c r="J62" s="10" t="s">
        <v>363</v>
      </c>
      <c r="K62" s="10"/>
      <c r="L62" s="10">
        <v>1</v>
      </c>
      <c r="M62" s="10">
        <v>140737000000000</v>
      </c>
      <c r="N62" s="10">
        <v>0</v>
      </c>
      <c r="O62" s="15"/>
      <c r="P62" s="48" t="s">
        <v>35</v>
      </c>
      <c r="Q62" s="49"/>
      <c r="R62" s="49" t="s">
        <v>365</v>
      </c>
      <c r="S62" s="49"/>
      <c r="T62" s="49"/>
      <c r="U62" s="49"/>
      <c r="V62" s="49"/>
      <c r="X62" s="98">
        <v>8</v>
      </c>
      <c r="Y62" s="31" t="s">
        <v>790</v>
      </c>
      <c r="Z62" s="31" t="s">
        <v>790</v>
      </c>
      <c r="AA62" s="31">
        <v>30</v>
      </c>
      <c r="AB62" s="55" t="str">
        <f>IF(LEN(R62&amp;S62&amp;T62&amp;U62&amp;V62)&gt;0,"epics","")</f>
        <v>epics</v>
      </c>
      <c r="AC62" s="52" t="str">
        <f>IF(NOT(ISBLANK(V62)),"base",IF(AB62="epics",IF(AND(ISBLANK(P62),ISBLANK(Q62)),"nmp","map"),""))</f>
        <v>map</v>
      </c>
      <c r="AD62" s="27" t="str">
        <f>UPPER(AD$1&amp;":"&amp;D62)</f>
        <v>:</v>
      </c>
      <c r="AE62" s="25" t="str">
        <f>UPPER(AE$1&amp;":"&amp;E62)</f>
        <v>:LINE_END</v>
      </c>
      <c r="AF62" s="27" t="str">
        <f>SUBSTITUTE(D62,"_","")</f>
        <v/>
      </c>
      <c r="AG62" s="25" t="str">
        <f>SUBSTITUTE(E62,"_","")&amp;IF(AND(RIGHT(P62)&lt;&gt;"s",RIGHT(Q62)&lt;&gt;"s"),"","")</f>
        <v>lineEnd</v>
      </c>
      <c r="AH62" s="25" t="str">
        <f>IF(ISNUMBER(Y62),Y62,"$(P)"&amp;$AE$1&amp;":"&amp;Y62)</f>
        <v>$(P):EN_INPROG</v>
      </c>
      <c r="AI62" s="25" t="str">
        <f>IF(ISNUMBER(Z62),Z62,"$(P)"&amp;$AE$1&amp;":"&amp;Z62)</f>
        <v>$(P):EN_INPROG</v>
      </c>
      <c r="AJ62" s="25"/>
      <c r="AK62" s="12" t="str">
        <f>IF(AC62="map",IF(G62="float",y_varMapAnalog,IF(G62="int",y_varMapLongint,IF(G62="bool",y_varMapBool,IF(G62="string",y_varMapString,IF(G62="option",y_varMapOption,"#unknown Type"))))),IF(AC62="nmp",y_nonMappedAnalog,""))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62" s="12" t="str">
        <f>VLOOKUP(G62,y_mapProtocolLUT,3)</f>
        <v>@pmac.proto getVar($(VAR)) $(PORT)</v>
      </c>
      <c r="AM62" s="12" t="str">
        <f>VLOOKUP(G62,y_mapProtocolLUT,2)</f>
        <v>@pmac.proto setVar($(VAR)) $(PORT)</v>
      </c>
      <c r="AN62" s="25" t="str">
        <f>IF(LEN(AG62)&gt;0,SUBSTITUTE(SUBSTITUTE(SUBSTITUTE(AK62,"$(DTYP)",y_DTYPE),"$(SETPROTO)",AM62),"$(GETPROTO)",AL62),"")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62" s="25" t="str">
        <f>IFERROR(SUBSTITUTE(SUBSTITUTE(SUBSTITUTE(SUBSTITUTE(SUBSTITUTE(SUBSTITUTE(SUBSTITUTE(SUBSTITUTE(SUBSTITUTE(AN62,"$(Q)",AE62),"$(EGU)",K62),"$(PREC)",N62),"$(VAR)",TRIM(CLEAN(y_dedicatedCS&amp;F62))),"$(GetSB)",AH62),"$(SetSB)",AI62),"$(DESC)",LEFT(I62,40)),"$(ENUMS)",AJ62),"$(DEFAULT)",H62),"")</f>
        <v>_x000D_
# PVs mapping to P2012 of type Analog_x000D_
record(ao, "$(P):LINE_END") {_x000D_
  field(DESC, "Scan line End count")_x000D_
  field(OUT, "$(P):LINE_END:SET PP MS")_x000D_
  field(PINI, "NO")_x000D_
  field(EGU, "") field(PREC, "0")_x000D_
  field(SDIS, "$(P):LINE_END:SCD MS")_x000D_
  field(DISV, "999999")  _x000D_
}_x000D_
record(ai, "$(P):LINE_END:RBV") {_x000D_
  field(DESC, "Scan line End count readback")_x000D_
  field(DTYP, "stream")_x000D_
  field(INP, "@pmac.proto getVar(P2012) $(PORT)")_x000D_
  field(SDIS, "$(P):EN_INPROG NPP MS")_x000D_
  field(DISV, "0")_x000D_
  field(PINI, "NO")_x000D_
  field(DISS, "INVALID")_x000D_
  field(EGU, "") field(PREC, "0")_x000D_
}_x000D_
#% autosave 0 VAL_x000D_
record(ao, "$(P):LINE_END:SET") {_x000D_
  field(DTYP, "stream")_x000D_
  field(SDIS, "$(P):LINE_END:ROL PP MS")_x000D_
  field(OUT, "@pmac.proto setVar(P2012) $(PORT)")_x000D_
  field(PINI, "YES")_x000D_
  field(FLNK, "$(P):LINE_END:SCD")  _x000D_
  field(DISS, "INVALID")_x000D_
}_x000D_
record(calc, "$(P):LINE_END:ROL") {_x000D_
  field(CALC, "(!B) || A")_x000D_
  field(INPA, "$(P):LINE_END:SYN.PACT")_x000D_
  field(INPB, "$(P):EN_INPROG NPP")_x000D_
  field(PINI, "NO")_x000D_
}_x000D_
record(calcout, "$(P):LINE_END:SYN") {_x000D_
 field(INPA, "$(P):LINE_END:RBV PP")_x000D_
 field(INPB, "$(P):EN_INPROG CP MS")_x000D_
 field(INPC, "$(P):EN_INPROG NPP")_x000D_
 field(INPD, "$(P):LINE_END:SCD CP MS")_x000D_
 field(INPE, "$(P):LINE_END:SET NPP")_x000D_
 field(INPF, "$(P):EN_AUTOSYNC CP")_x000D_
 field(SDIS, "$(P):LINE_END:SET.PACT")_x000D_
 field(DISS, "INVALID")_x000D_
 field(CALC, "((D&gt;0)||(F&gt;0))?A:E")_x000D_
 field(OUT, "$(P):LINE_END PP MS")_x000D_
 field(PINI, "NO")_x000D_
}_x000D_
record(calc, "$(P):LINE_END:SCD") {_x000D_
 field(CALC, "(ABS(B-A)&lt;10^(-C))?1:0")_x000D_
 field(INPA, "$(P):LINE_END:RBV CP MS")_x000D_
 field(INPB, "$(P):LINE_END:SET CP")_x000D_
 field(INPC, "$(P):LINE_END:RBV.PREC")_x000D_
 field(PINI, "YES")_x000D_
 field(VAL,"0")_x000D_
 field(LOLO, "0.5")_x000D_
 field(LLSV, "MINOR") _x000D_
}_x000D_
# -----------------------------_x000D_
#</v>
      </c>
      <c r="AP62" s="25" t="str">
        <f>IF(ISNUMBER(W62),SUBSTITUTE(SUBSTITUTE(SUBSTITUTE(SUBSTITUTE(SUBSTITUTE(SUBSTITUTE(SUBSTITUTE(SUBSTITUTE(y_QLabel &amp; IF(RIGHT(R62)="s",y_QELineEdit,y_QELabel),"~PVNAME",$AE62&amp;IF($AC62="map","","")),"~EGU",$K62),"~PREC",$N62),"~VAR",$F62),"~CANGET",$AH62),"~CANSET",$AI62),"~ROW",W62),"~NAME",$E62),"")</f>
        <v/>
      </c>
      <c r="AQ62" s="25" t="str">
        <f>IF(ISNUMBER(X62),SUBSTITUTE(SUBSTITUTE(SUBSTITUTE(SUBSTITUTE(SUBSTITUTE(SUBSTITUTE(SUBSTITUTE(SUBSTITUTE(y_QLabel &amp; IF(RIGHT(S62)="s",y_QELineEdit,y_QELabel),"~PVNAME",$AE62&amp;IF($AC62="map",":RBV","")),"~EGU",$K62),"~PREC",$N62),"~VAR",$F62),"~CANGET",$AH62),"~CANSET",$AI62),"~ROW",X62),"~NAME",$E62),"")</f>
        <v xml:space="preserve">&lt;item row="8" column="0"&gt;
         &lt;widget class="QLabel" name="L_line_End"&gt;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&lt;string&gt;line_End&lt;/string&gt;
          &lt;/property&gt;
          &lt;property name="margin"&gt;
           &lt;number&gt;3&lt;/number&gt;
          &lt;/property&gt;
         &lt;/widget&gt;
        &lt;/item&gt;
&lt;item row="8" column="1"&gt;
         &lt;widget class="QELabel" name="QL_line_End"&gt;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&lt;string&gt;$(P)$(R):LINE_END:RBV&lt;/string&gt;
          &lt;/property&gt;
         &lt;/widget&gt;
   &lt;/item&gt;
</v>
      </c>
      <c r="AR62" s="25" t="e">
        <f>VLOOKUP(G62,y_EPICS_Formats,2,FALSE)</f>
        <v>#N/A</v>
      </c>
      <c r="AS62" s="25" t="str">
        <f>IF(AB62="epics",y_Prefix&amp;AE62&amp;" = ","")</f>
        <v xml:space="preserve">SR05ID01FST01:LINE_END = </v>
      </c>
      <c r="AT62" s="25" t="str">
        <f>IF(LEN(P62&amp;Q62)&gt;0,IFERROR(";"&amp;I62&amp;"["&amp;K62&amp;"]"&amp;AB62&amp;"("&amp;AC62&amp;")"&amp;CHAR(10)&amp;C62 &amp;CHAR(9)&amp;AG62&amp;CHAR(9)&amp;F62 &amp;CHAR(9),";;Error!"),"")</f>
        <v xml:space="preserve">;Scan line End count[]epics(map)
#define	lineEnd	P2012	</v>
      </c>
      <c r="AU62" s="25" t="str">
        <f>IF(IFERROR(AND(AA62&gt;0,LEN(AN62)&gt;0),FALSE),SUBSTITUTE(SUBSTITUTE(SUBSTITUTE(y_archiverXML,"~PVNAME",AE62),"~PREFIX",y_Prefix),"~PERIOD",MIN(30,AA62)),"")</f>
        <v xml:space="preserve">      &lt;channel&gt;
         &lt;name&gt;SR05ID01FST01:LINE_END&lt;/name&gt;
         &lt;period&gt;30&lt;/period&gt;
         &lt;monitor/&gt;
      &lt;/channel&gt;</v>
      </c>
      <c r="AV62" s="11">
        <f>IF($AB62="epics",AV$1-LEN(AE62),"")</f>
        <v>10</v>
      </c>
      <c r="AW62" s="11">
        <f>IF($AB62="epics",AW$1-LEN(AH62),"")</f>
        <v>10</v>
      </c>
      <c r="AX62" s="11">
        <f>IF($AB62="epics",AX$1-LEN(AI62),"")</f>
        <v>10</v>
      </c>
      <c r="AY62" s="11">
        <f>IF($AB62="epics",AY$1-LEN(I62)-LEN(" readback"),"")</f>
        <v>12</v>
      </c>
      <c r="AZ62" s="12">
        <f>IF(LEN(F62)&gt;0,IFERROR(VALUE(RIGHT(F62,LEN(F62)-1)),F62),"zzzzz")</f>
        <v>2012</v>
      </c>
      <c r="BA62" s="12">
        <f>IFERROR(VALUE(RIGHT(F62,LEN(F62)-1)),F62)</f>
        <v>2012</v>
      </c>
      <c r="BB62" s="22" t="str">
        <f>y_Prefix&amp;AE62</f>
        <v>SR05ID01FST01:LINE_END</v>
      </c>
    </row>
    <row r="63" spans="1:54" ht="15.75" customHeight="1" x14ac:dyDescent="0.25">
      <c r="A63" s="22">
        <v>59</v>
      </c>
      <c r="B63" s="23"/>
      <c r="C63" s="30" t="str">
        <f>IF(AND(ISBLANK(P63),ISBLANK(Q63)),";","#define")</f>
        <v>#define</v>
      </c>
      <c r="D63" s="29"/>
      <c r="E63" s="22" t="s">
        <v>656</v>
      </c>
      <c r="F63" s="10" t="s">
        <v>657</v>
      </c>
      <c r="G63" s="10" t="s">
        <v>77</v>
      </c>
      <c r="H63" s="10"/>
      <c r="I63" s="61" t="s">
        <v>763</v>
      </c>
      <c r="J63" s="10" t="s">
        <v>363</v>
      </c>
      <c r="K63" s="10"/>
      <c r="L63" s="10">
        <v>1</v>
      </c>
      <c r="M63" s="10">
        <v>140737000000000</v>
      </c>
      <c r="N63" s="10">
        <v>0</v>
      </c>
      <c r="O63" s="15"/>
      <c r="P63" s="48" t="s">
        <v>33</v>
      </c>
      <c r="Q63" s="49"/>
      <c r="R63" s="49" t="s">
        <v>33</v>
      </c>
      <c r="S63" s="49"/>
      <c r="T63" s="49"/>
      <c r="U63" s="49"/>
      <c r="V63" s="49"/>
      <c r="X63" s="98">
        <v>9</v>
      </c>
      <c r="Y63" s="31" t="s">
        <v>790</v>
      </c>
      <c r="Z63" s="31" t="s">
        <v>805</v>
      </c>
      <c r="AA63" s="31">
        <v>1</v>
      </c>
      <c r="AB63" s="55" t="str">
        <f>IF(LEN(R63&amp;S63&amp;T63&amp;U63&amp;V63)&gt;0,"epics","")</f>
        <v>epics</v>
      </c>
      <c r="AC63" s="52" t="str">
        <f>IF(NOT(ISBLANK(V63)),"base",IF(AB63="epics",IF(AND(ISBLANK(P63),ISBLANK(Q63)),"nmp","map"),""))</f>
        <v>map</v>
      </c>
      <c r="AD63" s="27" t="str">
        <f>UPPER(AD$1&amp;":"&amp;D63)</f>
        <v>:</v>
      </c>
      <c r="AE63" s="25" t="str">
        <f>UPPER(AE$1&amp;":"&amp;E63)</f>
        <v>:LINE_N</v>
      </c>
      <c r="AF63" s="27" t="str">
        <f>SUBSTITUTE(D63,"_","")</f>
        <v/>
      </c>
      <c r="AG63" s="25" t="str">
        <f>SUBSTITUTE(E63,"_","")&amp;IF(AND(RIGHT(P63)&lt;&gt;"s",RIGHT(Q63)&lt;&gt;"s"),"","")</f>
        <v>lineN</v>
      </c>
      <c r="AH63" s="25" t="str">
        <f>IF(ISNUMBER(Y63),Y63,"$(P)"&amp;$AE$1&amp;":"&amp;Y63)</f>
        <v>$(P):EN_INPROG</v>
      </c>
      <c r="AI63" s="25" t="str">
        <f>IF(ISNUMBER(Z63),Z63,"$(P)"&amp;$AE$1&amp;":"&amp;Z63)</f>
        <v>$(P):EN_DISARMED</v>
      </c>
      <c r="AJ63" s="25"/>
      <c r="AK63" s="12" t="str">
        <f>IF(AC63="map",IF(G63="float",y_varMapAnalog,IF(G63="int",y_varMapLongint,IF(G63="bool",y_varMapBool,IF(G63="string",y_varMapString,IF(G63="option",y_varMapOption,"#unknown Type"))))),IF(AC63="nmp",y_nonMappedAnalog,""))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63" s="12" t="str">
        <f>VLOOKUP(G63,y_mapProtocolLUT,3)</f>
        <v>@pmac.proto getVar($(VAR)) $(PORT)</v>
      </c>
      <c r="AM63" s="12" t="str">
        <f>VLOOKUP(G63,y_mapProtocolLUT,2)</f>
        <v>@pmac.proto setVar($(VAR)) $(PORT)</v>
      </c>
      <c r="AN63" s="25" t="str">
        <f>IF(LEN(AG63)&gt;0,SUBSTITUTE(SUBSTITUTE(SUBSTITUTE(AK63,"$(DTYP)",y_DTYPE),"$(SETPROTO)",AM63),"$(GETPROTO)",AL63),"")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63" s="25" t="str">
        <f>IFERROR(SUBSTITUTE(SUBSTITUTE(SUBSTITUTE(SUBSTITUTE(SUBSTITUTE(SUBSTITUTE(SUBSTITUTE(SUBSTITUTE(SUBSTITUTE(AN63,"$(Q)",AE63),"$(EGU)",K63),"$(PREC)",N63),"$(VAR)",TRIM(CLEAN(y_dedicatedCS&amp;F63))),"$(GetSB)",AH63),"$(SetSB)",AI63),"$(DESC)",LEFT(I63,40)),"$(ENUMS)",AJ63),"$(DEFAULT)",H63),"")</f>
        <v>_x000D_
# PVs mapping to P2041 of type Analog_x000D_
record(ao, "$(P):LINE_N") {_x000D_
  field(DESC, "Scan line pointer")_x000D_
  field(OUT, "$(P):LINE_N:SET PP MS")_x000D_
  field(PINI, "NO")_x000D_
  field(EGU, "") field(PREC, "0")_x000D_
  field(SDIS, "$(P):LINE_N:SCD MS")_x000D_
  field(DISV, "999999")  _x000D_
}_x000D_
record(ai, "$(P):LINE_N:RBV") {_x000D_
  field(DESC, "Scan line pointer readback")_x000D_
  field(DTYP, "stream")_x000D_
  field(INP, "@pmac.proto getVar(P2041) $(PORT)")_x000D_
  field(SDIS, "$(P):EN_INPROG NPP MS")_x000D_
  field(DISV, "0")_x000D_
  field(PINI, "NO")_x000D_
  field(DISS, "INVALID")_x000D_
  field(EGU, "") field(PREC, "0")_x000D_
}_x000D_
#% autosave 0 VAL_x000D_
record(ao, "$(P):LINE_N:SET") {_x000D_
  field(DTYP, "stream")_x000D_
  field(SDIS, "$(P):LINE_N:ROL PP MS")_x000D_
  field(OUT, "@pmac.proto setVar(P2041) $(PORT)")_x000D_
  field(PINI, "YES")_x000D_
  field(FLNK, "$(P):LINE_N:SCD")  _x000D_
  field(DISS, "INVALID")_x000D_
}_x000D_
record(calc, "$(P):LINE_N:ROL") {_x000D_
  field(CALC, "(!B) || A")_x000D_
  field(INPA, "$(P):LINE_N:SYN.PACT")_x000D_
  field(INPB, "$(P):EN_DISARMED NPP")_x000D_
  field(PINI, "NO")_x000D_
}_x000D_
record(calcout, "$(P):LINE_N:SYN") {_x000D_
 field(INPA, "$(P):LINE_N:RBV PP")_x000D_
 field(INPB, "$(P):EN_INPROG CP MS")_x000D_
 field(INPC, "$(P):EN_DISARMED NPP")_x000D_
 field(INPD, "$(P):LINE_N:SCD CP MS")_x000D_
 field(INPE, "$(P):LINE_N:SET NPP")_x000D_
 field(INPF, "$(P):EN_AUTOSYNC CP")_x000D_
 field(SDIS, "$(P):LINE_N:SET.PACT")_x000D_
 field(DISS, "INVALID")_x000D_
 field(CALC, "((D&gt;0)||(F&gt;0))?A:E")_x000D_
 field(OUT, "$(P):LINE_N PP MS")_x000D_
 field(PINI, "NO")_x000D_
}_x000D_
record(calc, "$(P):LINE_N:SCD") {_x000D_
 field(CALC, "(ABS(B-A)&lt;10^(-C))?1:0")_x000D_
 field(INPA, "$(P):LINE_N:RBV CP MS")_x000D_
 field(INPB, "$(P):LINE_N:SET CP")_x000D_
 field(INPC, "$(P):LINE_N:RBV.PREC")_x000D_
 field(PINI, "YES")_x000D_
 field(VAL,"0")_x000D_
 field(LOLO, "0.5")_x000D_
 field(LLSV, "MINOR") _x000D_
}_x000D_
# -----------------------------_x000D_
#</v>
      </c>
      <c r="AP63" s="25" t="str">
        <f>IF(ISNUMBER(W63),SUBSTITUTE(SUBSTITUTE(SUBSTITUTE(SUBSTITUTE(SUBSTITUTE(SUBSTITUTE(SUBSTITUTE(SUBSTITUTE(y_QLabel &amp; IF(RIGHT(R63)="s",y_QELineEdit,y_QELabel),"~PVNAME",$AE63&amp;IF($AC63="map","","")),"~EGU",$K63),"~PREC",$N63),"~VAR",$F63),"~CANGET",$AH63),"~CANSET",$AI63),"~ROW",W63),"~NAME",$E63),"")</f>
        <v/>
      </c>
      <c r="AQ63" s="25" t="str">
        <f>IF(ISNUMBER(X63),SUBSTITUTE(SUBSTITUTE(SUBSTITUTE(SUBSTITUTE(SUBSTITUTE(SUBSTITUTE(SUBSTITUTE(SUBSTITUTE(y_QLabel &amp; IF(RIGHT(S63)="s",y_QELineEdit,y_QELabel),"~PVNAME",$AE63&amp;IF($AC63="map",":RBV","")),"~EGU",$K63),"~PREC",$N63),"~VAR",$F63),"~CANGET",$AH63),"~CANSET",$AI63),"~ROW",X63),"~NAME",$E63),"")</f>
        <v xml:space="preserve">&lt;item row="9" column="0"&gt;
         &lt;widget class="QLabel" name="L_line_N"&gt;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&lt;string&gt;line_N&lt;/string&gt;
          &lt;/property&gt;
          &lt;property name="margin"&gt;
           &lt;number&gt;3&lt;/number&gt;
          &lt;/property&gt;
         &lt;/widget&gt;
        &lt;/item&gt;
&lt;item row="9" column="1"&gt;
         &lt;widget class="QELabel" name="QL_line_N"&gt;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&lt;string&gt;$(P)$(R):LINE_N:RBV&lt;/string&gt;
          &lt;/property&gt;
         &lt;/widget&gt;
   &lt;/item&gt;
</v>
      </c>
      <c r="AR63" s="25" t="e">
        <f>VLOOKUP(G63,y_EPICS_Formats,2,FALSE)</f>
        <v>#N/A</v>
      </c>
      <c r="AS63" s="25" t="str">
        <f>IF(AB63="epics",y_Prefix&amp;AE63&amp;" = ","")</f>
        <v xml:space="preserve">SR05ID01FST01:LINE_N = </v>
      </c>
      <c r="AT63" s="25" t="str">
        <f>IF(LEN(P63&amp;Q63)&gt;0,IFERROR(";"&amp;I63&amp;"["&amp;K63&amp;"]"&amp;AB63&amp;"("&amp;AC63&amp;")"&amp;CHAR(10)&amp;C63 &amp;CHAR(9)&amp;AG63&amp;CHAR(9)&amp;F63 &amp;CHAR(9),";;Error!"),"")</f>
        <v xml:space="preserve">;Scan line pointer[]epics(map)
#define	lineN	P2041	</v>
      </c>
      <c r="AU63" s="25" t="str">
        <f>IF(IFERROR(AND(AA63&gt;0,LEN(AN63)&gt;0),FALSE),SUBSTITUTE(SUBSTITUTE(SUBSTITUTE(y_archiverXML,"~PVNAME",AE63),"~PREFIX",y_Prefix),"~PERIOD",MIN(30,AA63)),"")</f>
        <v xml:space="preserve">      &lt;channel&gt;
         &lt;name&gt;SR05ID01FST01:LINE_N&lt;/name&gt;
         &lt;period&gt;1&lt;/period&gt;
         &lt;monitor/&gt;
      &lt;/channel&gt;</v>
      </c>
      <c r="AV63" s="11">
        <f>IF($AB63="epics",AV$1-LEN(AE63),"")</f>
        <v>12</v>
      </c>
      <c r="AW63" s="11">
        <f>IF($AB63="epics",AW$1-LEN(AH63),"")</f>
        <v>10</v>
      </c>
      <c r="AX63" s="11">
        <f>IF($AB63="epics",AX$1-LEN(AI63),"")</f>
        <v>8</v>
      </c>
      <c r="AY63" s="11">
        <f>IF($AB63="epics",AY$1-LEN(I63)-LEN(" readback"),"")</f>
        <v>14</v>
      </c>
      <c r="AZ63" s="12">
        <f>IF(LEN(F63)&gt;0,IFERROR(VALUE(RIGHT(F63,LEN(F63)-1)),F63),"zzzzz")</f>
        <v>2041</v>
      </c>
      <c r="BA63" s="12">
        <f>IFERROR(VALUE(RIGHT(F63,LEN(F63)-1)),F63)</f>
        <v>2041</v>
      </c>
      <c r="BB63" s="22" t="str">
        <f>y_Prefix&amp;AE63</f>
        <v>SR05ID01FST01:LINE_N</v>
      </c>
    </row>
    <row r="64" spans="1:54" ht="15.75" customHeight="1" x14ac:dyDescent="0.25">
      <c r="A64" s="22">
        <v>60</v>
      </c>
      <c r="B64" s="23" t="str">
        <f>IF(AND(LEN(D64)&gt;3,D64&lt;&gt;E64),"&lt;FIND TYPE=ASC&gt;"&amp;AD64&amp;"&lt;/FIND&gt;&lt;REPLACE TYPE=ASC&gt;"&amp;AE64&amp;"&lt;/REPLACE&gt;"&amp;CHAR(10)&amp;"&lt;FIND TYPE=ASC&gt;"&amp;AF64&amp;"&lt;/FIND&gt;&lt;REPLACE TYPE=ASC&gt;"&amp;AG64&amp;"&lt;/REPLACE&gt;"&amp;CHAR(10)&amp;"&lt;FIND TYPE=ASC&gt;"&amp;D64&amp;"&lt;/FIND&gt;&lt;REPLACE TYPE=ASC&gt;"&amp;E64&amp;"&lt;/REPLACE&gt;",".")</f>
        <v>.</v>
      </c>
      <c r="C64" s="30" t="str">
        <f>IF(AND(ISBLANK(P64),ISBLANK(Q64)),";","#define")</f>
        <v>#define</v>
      </c>
      <c r="D64" s="29"/>
      <c r="E64" s="26" t="s">
        <v>658</v>
      </c>
      <c r="F64" s="10" t="s">
        <v>659</v>
      </c>
      <c r="G64" s="10" t="s">
        <v>77</v>
      </c>
      <c r="H64" s="10"/>
      <c r="I64" s="61" t="s">
        <v>660</v>
      </c>
      <c r="J64" s="10" t="s">
        <v>35</v>
      </c>
      <c r="K64" s="10"/>
      <c r="L64" s="10">
        <v>0</v>
      </c>
      <c r="M64" s="10">
        <v>999</v>
      </c>
      <c r="N64" s="10">
        <v>0</v>
      </c>
      <c r="O64" s="15"/>
      <c r="P64" s="48" t="s">
        <v>365</v>
      </c>
      <c r="Q64" s="49"/>
      <c r="R64" s="49"/>
      <c r="S64" s="49" t="s">
        <v>35</v>
      </c>
      <c r="T64" s="49"/>
      <c r="U64" s="49"/>
      <c r="V64" s="49"/>
      <c r="X64" s="98">
        <v>10</v>
      </c>
      <c r="Y64" s="31" t="s">
        <v>790</v>
      </c>
      <c r="Z64" s="31" t="s">
        <v>786</v>
      </c>
      <c r="AB64" s="55" t="str">
        <f>IF(LEN(R64&amp;S64&amp;T64&amp;U64&amp;V64)&gt;0,"epics","")</f>
        <v>epics</v>
      </c>
      <c r="AC64" s="52" t="str">
        <f>IF(NOT(ISBLANK(V64)),"base",IF(AB64="epics",IF(AND(ISBLANK(P64),ISBLANK(Q64)),"nmp","map"),""))</f>
        <v>map</v>
      </c>
      <c r="AD64" s="27" t="str">
        <f>UPPER(AD$1&amp;":"&amp;D64)</f>
        <v>:</v>
      </c>
      <c r="AE64" s="25" t="str">
        <f>UPPER(AE$1&amp;":"&amp;E64)</f>
        <v>:LINE_SUBEND</v>
      </c>
      <c r="AF64" s="27" t="str">
        <f>SUBSTITUTE(D64,"_","")</f>
        <v/>
      </c>
      <c r="AG64" s="25" t="str">
        <f>SUBSTITUTE(E64,"_","")&amp;IF(AND(RIGHT(P64)&lt;&gt;"s",RIGHT(Q64)&lt;&gt;"s"),"","")</f>
        <v>lineSubEnd</v>
      </c>
      <c r="AH64" s="25" t="str">
        <f>IF(ISNUMBER(Y64),Y64,"$(P)"&amp;$AE$1&amp;":"&amp;Y64)</f>
        <v>$(P):EN_INPROG</v>
      </c>
      <c r="AI64" s="25" t="str">
        <f>IF(ISNUMBER(Z64),Z64,"$(P)"&amp;$AE$1&amp;":"&amp;Z64)</f>
        <v>$(P):EN_NEVER</v>
      </c>
      <c r="AJ64" s="25"/>
      <c r="AK64" s="12" t="str">
        <f>IF(AC64="map",IF(G64="float",y_varMapAnalog,IF(G64="int",y_varMapLongint,IF(G64="bool",y_varMapBool,IF(G64="string",y_varMapString,IF(G64="option",y_varMapOption,"#unknown Type"))))),IF(AC64="nmp",y_nonMappedAnalog,""))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64" s="12" t="str">
        <f>VLOOKUP(G64,y_mapProtocolLUT,3)</f>
        <v>@pmac.proto getVar($(VAR)) $(PORT)</v>
      </c>
      <c r="AM64" s="12" t="str">
        <f>VLOOKUP(G64,y_mapProtocolLUT,2)</f>
        <v>@pmac.proto setVar($(VAR)) $(PORT)</v>
      </c>
      <c r="AN64" s="25" t="str">
        <f>IF(LEN(AG64)&gt;0,SUBSTITUTE(SUBSTITUTE(SUBSTITUTE(AK64,"$(DTYP)",y_DTYPE),"$(SETPROTO)",AM64),"$(GETPROTO)",AL64),"")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64" s="25" t="str">
        <f>IFERROR(SUBSTITUTE(SUBSTITUTE(SUBSTITUTE(SUBSTITUTE(SUBSTITUTE(SUBSTITUTE(SUBSTITUTE(SUBSTITUTE(SUBSTITUTE(AN64,"$(Q)",AE64),"$(EGU)",K64),"$(PREC)",N64),"$(VAR)",TRIM(CLEAN(y_dedicatedCS&amp;F64))),"$(GetSB)",AH64),"$(SetSB)",AI64),"$(DESC)",LEFT(I64,40)),"$(ENUMS)",AJ64),"$(DEFAULT)",H64),"")</f>
        <v>_x000D_
# PVs mapping to P2060 of type Analog_x000D_
record(ao, "$(P):LINE_SUBEND") {_x000D_
  field(DESC, "Number of subsegments")_x000D_
  field(OUT, "$(P):LINE_SUBEND:SET PP MS")_x000D_
  field(PINI, "NO")_x000D_
  field(EGU, "") field(PREC, "0")_x000D_
  field(SDIS, "$(P):LINE_SUBEND:SCD MS")_x000D_
  field(DISV, "999999")  _x000D_
}_x000D_
record(ai, "$(P):LINE_SUBEND:RBV") {_x000D_
  field(DESC, "Number of subsegments readback")_x000D_
  field(DTYP, "stream")_x000D_
  field(INP, "@pmac.proto getVar(P2060) $(PORT)")_x000D_
  field(SDIS, "$(P):EN_INPROG NPP MS")_x000D_
  field(DISV, "0")_x000D_
  field(PINI, "NO")_x000D_
  field(DISS, "INVALID")_x000D_
  field(EGU, "") field(PREC, "0")_x000D_
}_x000D_
#% autosave 0 VAL_x000D_
record(ao, "$(P):LINE_SUBEND:SET") {_x000D_
  field(DTYP, "stream")_x000D_
  field(SDIS, "$(P):LINE_SUBEND:ROL PP MS")_x000D_
  field(OUT, "@pmac.proto setVar(P2060) $(PORT)")_x000D_
  field(PINI, "YES")_x000D_
  field(FLNK, "$(P):LINE_SUBEND:SCD")  _x000D_
  field(DISS, "INVALID")_x000D_
}_x000D_
record(calc, "$(P):LINE_SUBEND:ROL") {_x000D_
  field(CALC, "(!B) || A")_x000D_
  field(INPA, "$(P):LINE_SUBEND:SYN.PACT")_x000D_
  field(INPB, "$(P):EN_NEVER NPP")_x000D_
  field(PINI, "NO")_x000D_
}_x000D_
record(calcout, "$(P):LINE_SUBEND:SYN") {_x000D_
 field(INPA, "$(P):LINE_SUBEND:RBV PP")_x000D_
 field(INPB, "$(P):EN_INPROG CP MS")_x000D_
 field(INPC, "$(P):EN_NEVER NPP")_x000D_
 field(INPD, "$(P):LINE_SUBEND:SCD CP MS")_x000D_
 field(INPE, "$(P):LINE_SUBEND:SET NPP")_x000D_
 field(INPF, "$(P):EN_AUTOSYNC CP")_x000D_
 field(SDIS, "$(P):LINE_SUBEND:SET.PACT")_x000D_
 field(DISS, "INVALID")_x000D_
 field(CALC, "((D&gt;0)||(F&gt;0))?A:E")_x000D_
 field(OUT, "$(P):LINE_SUBEND PP MS")_x000D_
 field(PINI, "NO")_x000D_
}_x000D_
record(calc, "$(P):LINE_SUBEND:SCD") {_x000D_
 field(CALC, "(ABS(B-A)&lt;10^(-C))?1:0")_x000D_
 field(INPA, "$(P):LINE_SUBEND:RBV CP MS")_x000D_
 field(INPB, "$(P):LINE_SUBEND:SET CP")_x000D_
 field(INPC, "$(P):LINE_SUBEND:RBV.PREC")_x000D_
 field(PINI, "YES")_x000D_
 field(VAL,"0")_x000D_
 field(LOLO, "0.5")_x000D_
 field(LLSV, "MINOR") _x000D_
}_x000D_
# -----------------------------_x000D_
#</v>
      </c>
      <c r="AP64" s="25" t="str">
        <f>IF(ISNUMBER(W64),SUBSTITUTE(SUBSTITUTE(SUBSTITUTE(SUBSTITUTE(SUBSTITUTE(SUBSTITUTE(SUBSTITUTE(SUBSTITUTE(y_QLabel &amp; IF(RIGHT(R64)="s",y_QELineEdit,y_QELabel),"~PVNAME",$AE64&amp;IF($AC64="map","","")),"~EGU",$K64),"~PREC",$N64),"~VAR",$F64),"~CANGET",$AH64),"~CANSET",$AI64),"~ROW",W64),"~NAME",$E64),"")</f>
        <v/>
      </c>
      <c r="AQ64" s="25" t="str">
        <f>IF(ISNUMBER(X64),SUBSTITUTE(SUBSTITUTE(SUBSTITUTE(SUBSTITUTE(SUBSTITUTE(SUBSTITUTE(SUBSTITUTE(SUBSTITUTE(y_QLabel &amp; IF(RIGHT(S64)="s",y_QELineEdit,y_QELabel),"~PVNAME",$AE64&amp;IF($AC64="map",":RBV","")),"~EGU",$K64),"~PREC",$N64),"~VAR",$F64),"~CANGET",$AH64),"~CANSET",$AI64),"~ROW",X64),"~NAME",$E64),"")</f>
        <v xml:space="preserve">&lt;item row="10" column="0"&gt;
         &lt;widget class="QLabel" name="L_line_SubEnd"&gt;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&lt;string&gt;line_SubEnd&lt;/string&gt;
          &lt;/property&gt;
          &lt;property name="margin"&gt;
           &lt;number&gt;3&lt;/number&gt;
          &lt;/property&gt;
         &lt;/widget&gt;
        &lt;/item&gt;
&lt;item row="10" column="1"&gt;
         &lt;widget class="QELabel" name="QL_line_SubEnd"&gt;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&lt;string&gt;$(P)$(R):LINE_SUBEND:RBV&lt;/string&gt;
          &lt;/property&gt;
         &lt;/widget&gt;
   &lt;/item&gt;
</v>
      </c>
      <c r="AR64" s="25" t="e">
        <f>VLOOKUP(G64,y_EPICS_Formats,2,FALSE)</f>
        <v>#N/A</v>
      </c>
      <c r="AS64" s="25" t="str">
        <f>IF(AB64="epics",y_Prefix&amp;AE64&amp;" = ","")</f>
        <v xml:space="preserve">SR05ID01FST01:LINE_SUBEND = </v>
      </c>
      <c r="AT64" s="25" t="str">
        <f>IF(LEN(P64&amp;Q64)&gt;0,IFERROR(";"&amp;I64&amp;"["&amp;K64&amp;"]"&amp;AB64&amp;"("&amp;AC64&amp;")"&amp;CHAR(10)&amp;C64 &amp;CHAR(9)&amp;AG64&amp;CHAR(9)&amp;F64 &amp;CHAR(9),";;Error!"),"")</f>
        <v xml:space="preserve">;Number of subsegments[]epics(map)
#define	lineSubEnd	P2060	</v>
      </c>
      <c r="AU64" s="25" t="str">
        <f>IF(IFERROR(AND(AA64&gt;0,LEN(AN64)&gt;0),FALSE),SUBSTITUTE(SUBSTITUTE(SUBSTITUTE(y_archiverXML,"~PVNAME",AE64),"~PREFIX",y_Prefix),"~PERIOD",MIN(30,AA64)),"")</f>
        <v/>
      </c>
      <c r="AV64" s="11">
        <f>IF($AB64="epics",AV$1-LEN(AE64),"")</f>
        <v>7</v>
      </c>
      <c r="AW64" s="11">
        <f>IF($AB64="epics",AW$1-LEN(AH64),"")</f>
        <v>10</v>
      </c>
      <c r="AX64" s="11">
        <f>IF($AB64="epics",AX$1-LEN(AI64),"")</f>
        <v>11</v>
      </c>
      <c r="AY64" s="11">
        <f>IF($AB64="epics",AY$1-LEN(I64)-LEN(" readback"),"")</f>
        <v>10</v>
      </c>
      <c r="AZ64" s="12">
        <f>IF(LEN(F64)&gt;0,IFERROR(VALUE(RIGHT(F64,LEN(F64)-1)),F64),"zzzzz")</f>
        <v>2060</v>
      </c>
      <c r="BA64" s="12">
        <f>IFERROR(VALUE(RIGHT(F64,LEN(F64)-1)),F64)</f>
        <v>2060</v>
      </c>
      <c r="BB64" s="22" t="str">
        <f>y_Prefix&amp;AE64</f>
        <v>SR05ID01FST01:LINE_SUBEND</v>
      </c>
    </row>
    <row r="65" spans="1:54" ht="15.75" customHeight="1" x14ac:dyDescent="0.25">
      <c r="A65" s="22">
        <v>61</v>
      </c>
      <c r="B65" s="23"/>
      <c r="C65" s="30" t="str">
        <f>IF(AND(ISBLANK(P65),ISBLANK(Q65)),";","#define")</f>
        <v>#define</v>
      </c>
      <c r="D65" s="28"/>
      <c r="E65" s="26" t="s">
        <v>661</v>
      </c>
      <c r="F65" s="10" t="s">
        <v>662</v>
      </c>
      <c r="G65" s="10" t="s">
        <v>77</v>
      </c>
      <c r="H65" s="10"/>
      <c r="I65" s="61" t="s">
        <v>663</v>
      </c>
      <c r="J65" s="10" t="s">
        <v>35</v>
      </c>
      <c r="K65" s="10"/>
      <c r="L65" s="10">
        <v>0</v>
      </c>
      <c r="M65" s="10">
        <v>999</v>
      </c>
      <c r="N65" s="10">
        <v>0</v>
      </c>
      <c r="O65" s="15"/>
      <c r="P65" s="48" t="s">
        <v>365</v>
      </c>
      <c r="Q65" s="49"/>
      <c r="R65" s="49" t="s">
        <v>35</v>
      </c>
      <c r="S65" s="49"/>
      <c r="T65" s="49"/>
      <c r="U65" s="49"/>
      <c r="V65" s="49"/>
      <c r="X65" s="98">
        <v>11</v>
      </c>
      <c r="Y65" s="31" t="s">
        <v>790</v>
      </c>
      <c r="Z65" s="31" t="s">
        <v>786</v>
      </c>
      <c r="AB65" s="55" t="str">
        <f>IF(LEN(R65&amp;S65&amp;T65&amp;U65&amp;V65)&gt;0,"epics","")</f>
        <v>epics</v>
      </c>
      <c r="AC65" s="52" t="str">
        <f>IF(NOT(ISBLANK(V65)),"base",IF(AB65="epics",IF(AND(ISBLANK(P65),ISBLANK(Q65)),"nmp","map"),""))</f>
        <v>map</v>
      </c>
      <c r="AD65" s="27" t="str">
        <f>UPPER(AD$1&amp;":"&amp;D65)</f>
        <v>:</v>
      </c>
      <c r="AE65" s="25" t="str">
        <f>UPPER(AE$1&amp;":"&amp;E65)</f>
        <v>:LINE_SUBN</v>
      </c>
      <c r="AF65" s="27" t="str">
        <f>SUBSTITUTE(D65,"_","")</f>
        <v/>
      </c>
      <c r="AG65" s="25" t="str">
        <f>SUBSTITUTE(E65,"_","")&amp;IF(AND(RIGHT(P65)&lt;&gt;"s",RIGHT(Q65)&lt;&gt;"s"),"","")</f>
        <v>lineSubN</v>
      </c>
      <c r="AH65" s="25" t="str">
        <f>IF(ISNUMBER(Y65),Y65,"$(P)"&amp;$AE$1&amp;":"&amp;Y65)</f>
        <v>$(P):EN_INPROG</v>
      </c>
      <c r="AI65" s="25" t="str">
        <f>IF(ISNUMBER(Z65),Z65,"$(P)"&amp;$AE$1&amp;":"&amp;Z65)</f>
        <v>$(P):EN_NEVER</v>
      </c>
      <c r="AJ65" s="25"/>
      <c r="AK65" s="12" t="str">
        <f>IF(AC65="map",IF(G65="float",y_varMapAnalog,IF(G65="int",y_varMapLongint,IF(G65="bool",y_varMapBool,IF(G65="string",y_varMapString,IF(G65="option",y_varMapOption,"#unknown Type"))))),IF(AC65="nmp",y_nonMappedAnalog,""))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65" s="12" t="str">
        <f>VLOOKUP(G65,y_mapProtocolLUT,3)</f>
        <v>@pmac.proto getVar($(VAR)) $(PORT)</v>
      </c>
      <c r="AM65" s="12" t="str">
        <f>VLOOKUP(G65,y_mapProtocolLUT,2)</f>
        <v>@pmac.proto setVar($(VAR)) $(PORT)</v>
      </c>
      <c r="AN65" s="25" t="str">
        <f>IF(LEN(AG65)&gt;0,SUBSTITUTE(SUBSTITUTE(SUBSTITUTE(AK65,"$(DTYP)",y_DTYPE),"$(SETPROTO)",AM65),"$(GETPROTO)",AL65),"")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65" s="25" t="str">
        <f>IFERROR(SUBSTITUTE(SUBSTITUTE(SUBSTITUTE(SUBSTITUTE(SUBSTITUTE(SUBSTITUTE(SUBSTITUTE(SUBSTITUTE(SUBSTITUTE(AN65,"$(Q)",AE65),"$(EGU)",K65),"$(PREC)",N65),"$(VAR)",TRIM(CLEAN(y_dedicatedCS&amp;F65))),"$(GetSB)",AH65),"$(SetSB)",AI65),"$(DESC)",LEFT(I65,40)),"$(ENUMS)",AJ65),"$(DEFAULT)",H65),"")</f>
        <v>_x000D_
# PVs mapping to P2063 of type Analog_x000D_
record(ao, "$(P):LINE_SUBN") {_x000D_
  field(DESC, "subsegment counter")_x000D_
  field(OUT, "$(P):LINE_SUBN:SET PP MS")_x000D_
  field(PINI, "NO")_x000D_
  field(EGU, "") field(PREC, "0")_x000D_
  field(SDIS, "$(P):LINE_SUBN:SCD MS")_x000D_
  field(DISV, "999999")  _x000D_
}_x000D_
record(ai, "$(P):LINE_SUBN:RBV") {_x000D_
  field(DESC, "subsegment counter readback")_x000D_
  field(DTYP, "stream")_x000D_
  field(INP, "@pmac.proto getVar(P2063) $(PORT)")_x000D_
  field(SDIS, "$(P):EN_INPROG NPP MS")_x000D_
  field(DISV, "0")_x000D_
  field(PINI, "NO")_x000D_
  field(DISS, "INVALID")_x000D_
  field(EGU, "") field(PREC, "0")_x000D_
}_x000D_
#% autosave 0 VAL_x000D_
record(ao, "$(P):LINE_SUBN:SET") {_x000D_
  field(DTYP, "stream")_x000D_
  field(SDIS, "$(P):LINE_SUBN:ROL PP MS")_x000D_
  field(OUT, "@pmac.proto setVar(P2063) $(PORT)")_x000D_
  field(PINI, "YES")_x000D_
  field(FLNK, "$(P):LINE_SUBN:SCD")  _x000D_
  field(DISS, "INVALID")_x000D_
}_x000D_
record(calc, "$(P):LINE_SUBN:ROL") {_x000D_
  field(CALC, "(!B) || A")_x000D_
  field(INPA, "$(P):LINE_SUBN:SYN.PACT")_x000D_
  field(INPB, "$(P):EN_NEVER NPP")_x000D_
  field(PINI, "NO")_x000D_
}_x000D_
record(calcout, "$(P):LINE_SUBN:SYN") {_x000D_
 field(INPA, "$(P):LINE_SUBN:RBV PP")_x000D_
 field(INPB, "$(P):EN_INPROG CP MS")_x000D_
 field(INPC, "$(P):EN_NEVER NPP")_x000D_
 field(INPD, "$(P):LINE_SUBN:SCD CP MS")_x000D_
 field(INPE, "$(P):LINE_SUBN:SET NPP")_x000D_
 field(INPF, "$(P):EN_AUTOSYNC CP")_x000D_
 field(SDIS, "$(P):LINE_SUBN:SET.PACT")_x000D_
 field(DISS, "INVALID")_x000D_
 field(CALC, "((D&gt;0)||(F&gt;0))?A:E")_x000D_
 field(OUT, "$(P):LINE_SUBN PP MS")_x000D_
 field(PINI, "NO")_x000D_
}_x000D_
record(calc, "$(P):LINE_SUBN:SCD") {_x000D_
 field(CALC, "(ABS(B-A)&lt;10^(-C))?1:0")_x000D_
 field(INPA, "$(P):LINE_SUBN:RBV CP MS")_x000D_
 field(INPB, "$(P):LINE_SUBN:SET CP")_x000D_
 field(INPC, "$(P):LINE_SUBN:RBV.PREC")_x000D_
 field(PINI, "YES")_x000D_
 field(VAL,"0")_x000D_
 field(LOLO, "0.5")_x000D_
 field(LLSV, "MINOR") _x000D_
}_x000D_
# -----------------------------_x000D_
#</v>
      </c>
      <c r="AP65" s="25" t="str">
        <f>IF(ISNUMBER(W65),SUBSTITUTE(SUBSTITUTE(SUBSTITUTE(SUBSTITUTE(SUBSTITUTE(SUBSTITUTE(SUBSTITUTE(SUBSTITUTE(y_QLabel &amp; IF(RIGHT(R65)="s",y_QELineEdit,y_QELabel),"~PVNAME",$AE65&amp;IF($AC65="map","","")),"~EGU",$K65),"~PREC",$N65),"~VAR",$F65),"~CANGET",$AH65),"~CANSET",$AI65),"~ROW",W65),"~NAME",$E65),"")</f>
        <v/>
      </c>
      <c r="AQ65" s="25" t="str">
        <f>IF(ISNUMBER(X65),SUBSTITUTE(SUBSTITUTE(SUBSTITUTE(SUBSTITUTE(SUBSTITUTE(SUBSTITUTE(SUBSTITUTE(SUBSTITUTE(y_QLabel &amp; IF(RIGHT(S65)="s",y_QELineEdit,y_QELabel),"~PVNAME",$AE65&amp;IF($AC65="map",":RBV","")),"~EGU",$K65),"~PREC",$N65),"~VAR",$F65),"~CANGET",$AH65),"~CANSET",$AI65),"~ROW",X65),"~NAME",$E65),"")</f>
        <v xml:space="preserve">&lt;item row="11" column="0"&gt;
         &lt;widget class="QLabel" name="L_line_SubN"&gt;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&lt;string&gt;line_SubN&lt;/string&gt;
          &lt;/property&gt;
          &lt;property name="margin"&gt;
           &lt;number&gt;3&lt;/number&gt;
          &lt;/property&gt;
         &lt;/widget&gt;
        &lt;/item&gt;
&lt;item row="11" column="1"&gt;
         &lt;widget class="QELabel" name="QL_line_SubN"&gt;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&lt;string&gt;$(P)$(R):LINE_SUBN:RBV&lt;/string&gt;
          &lt;/property&gt;
         &lt;/widget&gt;
   &lt;/item&gt;
</v>
      </c>
      <c r="AR65" s="25" t="e">
        <f>VLOOKUP(G65,y_EPICS_Formats,2,FALSE)</f>
        <v>#N/A</v>
      </c>
      <c r="AS65" s="25" t="str">
        <f>IF(AB65="epics",y_Prefix&amp;AE65&amp;" = ","")</f>
        <v xml:space="preserve">SR05ID01FST01:LINE_SUBN = </v>
      </c>
      <c r="AT65" s="25" t="str">
        <f>IF(LEN(P65&amp;Q65)&gt;0,IFERROR(";"&amp;I65&amp;"["&amp;K65&amp;"]"&amp;AB65&amp;"("&amp;AC65&amp;")"&amp;CHAR(10)&amp;C65 &amp;CHAR(9)&amp;AG65&amp;CHAR(9)&amp;F65 &amp;CHAR(9),";;Error!"),"")</f>
        <v xml:space="preserve">;subsegment counter[]epics(map)
#define	lineSubN	P2063	</v>
      </c>
      <c r="AU65" s="25" t="str">
        <f>IF(IFERROR(AND(AA65&gt;0,LEN(AN65)&gt;0),FALSE),SUBSTITUTE(SUBSTITUTE(SUBSTITUTE(y_archiverXML,"~PVNAME",AE65),"~PREFIX",y_Prefix),"~PERIOD",MIN(30,AA65)),"")</f>
        <v/>
      </c>
      <c r="AV65" s="11">
        <f>IF($AB65="epics",AV$1-LEN(AE65),"")</f>
        <v>9</v>
      </c>
      <c r="AW65" s="11">
        <f>IF($AB65="epics",AW$1-LEN(AH65),"")</f>
        <v>10</v>
      </c>
      <c r="AX65" s="11">
        <f>IF($AB65="epics",AX$1-LEN(AI65),"")</f>
        <v>11</v>
      </c>
      <c r="AY65" s="11">
        <f>IF($AB65="epics",AY$1-LEN(I65)-LEN(" readback"),"")</f>
        <v>13</v>
      </c>
      <c r="AZ65" s="12">
        <f>IF(LEN(F65)&gt;0,IFERROR(VALUE(RIGHT(F65,LEN(F65)-1)),F65),"zzzzz")</f>
        <v>2063</v>
      </c>
      <c r="BA65" s="12">
        <f>IFERROR(VALUE(RIGHT(F65,LEN(F65)-1)),F65)</f>
        <v>2063</v>
      </c>
      <c r="BB65" s="22" t="str">
        <f>y_Prefix&amp;AE65</f>
        <v>SR05ID01FST01:LINE_SUBN</v>
      </c>
    </row>
    <row r="66" spans="1:54" ht="15.75" customHeight="1" x14ac:dyDescent="0.25">
      <c r="A66" s="22">
        <v>62</v>
      </c>
      <c r="B66" s="23" t="str">
        <f>IF(AND(LEN(D66)&gt;3,D66&lt;&gt;E66),"&lt;FIND TYPE=ASC&gt;"&amp;AD66&amp;"&lt;/FIND&gt;&lt;REPLACE TYPE=ASC&gt;"&amp;AE66&amp;"&lt;/REPLACE&gt;"&amp;CHAR(10)&amp;"&lt;FIND TYPE=ASC&gt;"&amp;AF66&amp;"&lt;/FIND&gt;&lt;REPLACE TYPE=ASC&gt;"&amp;AG66&amp;"&lt;/REPLACE&gt;"&amp;CHAR(10)&amp;"&lt;FIND TYPE=ASC&gt;"&amp;D66&amp;"&lt;/FIND&gt;&lt;REPLACE TYPE=ASC&gt;"&amp;E66&amp;"&lt;/REPLACE&gt;",".")</f>
        <v>.</v>
      </c>
      <c r="C66" s="30" t="str">
        <f>IF(AND(ISBLANK(P66),ISBLANK(Q66)),";","#define")</f>
        <v>;</v>
      </c>
      <c r="D66" s="28"/>
      <c r="E66" s="24" t="s">
        <v>664</v>
      </c>
      <c r="F66" s="10" t="s">
        <v>621</v>
      </c>
      <c r="G66" s="10"/>
      <c r="H66" s="10"/>
      <c r="I66" s="61"/>
      <c r="J66" s="10"/>
      <c r="K66" s="10"/>
      <c r="L66" s="10"/>
      <c r="M66" s="10"/>
      <c r="N66" s="10"/>
      <c r="O66" s="15"/>
      <c r="P66" s="48"/>
      <c r="Q66" s="49"/>
      <c r="R66" s="49"/>
      <c r="S66" s="49"/>
      <c r="T66" s="49"/>
      <c r="U66" s="49"/>
      <c r="V66" s="49"/>
      <c r="AA66" s="31">
        <v>30</v>
      </c>
      <c r="AB66" s="55" t="str">
        <f>IF(LEN(R66&amp;S66&amp;T66&amp;U66&amp;V66)&gt;0,"epics","")</f>
        <v/>
      </c>
      <c r="AC66" s="52" t="str">
        <f>IF(NOT(ISBLANK(V66)),"base",IF(AB66="epics",IF(AND(ISBLANK(P66),ISBLANK(Q66)),"nmp","map"),""))</f>
        <v/>
      </c>
      <c r="AD66" s="27" t="str">
        <f>UPPER(AD$1&amp;":"&amp;D66)</f>
        <v>:</v>
      </c>
      <c r="AE66" s="25" t="str">
        <f>UPPER(AE$1&amp;":"&amp;E66)</f>
        <v>:LLMM</v>
      </c>
      <c r="AF66" s="27" t="str">
        <f>SUBSTITUTE(D66,"_","")</f>
        <v/>
      </c>
      <c r="AG66" s="25" t="str">
        <f>SUBSTITUTE(E66,"_","")&amp;IF(AND(RIGHT(P66)&lt;&gt;"s",RIGHT(Q66)&lt;&gt;"s"),"","")</f>
        <v>LLMM</v>
      </c>
      <c r="AH66" s="25" t="str">
        <f>IF(ISNUMBER(Y66),Y66,"$(P)"&amp;$AE$1&amp;":"&amp;Y66)</f>
        <v>$(P):</v>
      </c>
      <c r="AI66" s="25" t="str">
        <f>IF(ISNUMBER(Z66),Z66,"$(P)"&amp;$AE$1&amp;":"&amp;Z66)</f>
        <v>$(P):</v>
      </c>
      <c r="AJ66" s="25"/>
      <c r="AK66" s="12" t="str">
        <f>IF(AC66="map",IF(G66="float",y_varMapAnalog,IF(G66="int",y_varMapLongint,IF(G66="bool",y_varMapBool,IF(G66="string",y_varMapString,IF(G66="option",y_varMapOption,"#unknown Type"))))),IF(AC66="nmp",y_nonMappedAnalog,""))</f>
        <v/>
      </c>
      <c r="AL66" s="12" t="e">
        <f>VLOOKUP(G66,y_mapProtocolLUT,3)</f>
        <v>#N/A</v>
      </c>
      <c r="AM66" s="12" t="e">
        <f>VLOOKUP(G66,y_mapProtocolLUT,2)</f>
        <v>#N/A</v>
      </c>
      <c r="AN66" s="25" t="e">
        <f>IF(LEN(AG66)&gt;0,SUBSTITUTE(SUBSTITUTE(SUBSTITUTE(AK66,"$(DTYP)",y_DTYPE),"$(SETPROTO)",AM66),"$(GETPROTO)",AL66),"")</f>
        <v>#N/A</v>
      </c>
      <c r="AO66" s="25" t="str">
        <f>IFERROR(SUBSTITUTE(SUBSTITUTE(SUBSTITUTE(SUBSTITUTE(SUBSTITUTE(SUBSTITUTE(SUBSTITUTE(SUBSTITUTE(SUBSTITUTE(AN66,"$(Q)",AE66),"$(EGU)",K66),"$(PREC)",N66),"$(VAR)",TRIM(CLEAN(y_dedicatedCS&amp;F66))),"$(GetSB)",AH66),"$(SetSB)",AI66),"$(DESC)",LEFT(I66,40)),"$(ENUMS)",AJ66),"$(DEFAULT)",H66),"")</f>
        <v/>
      </c>
      <c r="AP66" s="25" t="str">
        <f>IF(ISNUMBER(W66),SUBSTITUTE(SUBSTITUTE(SUBSTITUTE(SUBSTITUTE(SUBSTITUTE(SUBSTITUTE(SUBSTITUTE(SUBSTITUTE(y_QLabel &amp; IF(RIGHT(R66)="s",y_QELineEdit,y_QELabel),"~PVNAME",$AE66&amp;IF($AC66="map","","")),"~EGU",$K66),"~PREC",$N66),"~VAR",$F66),"~CANGET",$AH66),"~CANSET",$AI66),"~ROW",W66),"~NAME",$E66),"")</f>
        <v/>
      </c>
      <c r="AQ66" s="25" t="str">
        <f>IF(ISNUMBER(X66),SUBSTITUTE(SUBSTITUTE(SUBSTITUTE(SUBSTITUTE(SUBSTITUTE(SUBSTITUTE(SUBSTITUTE(SUBSTITUTE(y_QLabel &amp; IF(RIGHT(S66)="s",y_QELineEdit,y_QELabel),"~PVNAME",$AE66&amp;IF($AC66="map",":RBV","")),"~EGU",$K66),"~PREC",$N66),"~VAR",$F66),"~CANGET",$AH66),"~CANSET",$AI66),"~ROW",X66),"~NAME",$E66),"")</f>
        <v/>
      </c>
      <c r="AR66" s="25" t="e">
        <f>VLOOKUP(G66,y_EPICS_Formats,2,FALSE)</f>
        <v>#N/A</v>
      </c>
      <c r="AS66" s="25" t="str">
        <f>IF(AB66="epics",y_Prefix&amp;AE66&amp;" = ","")</f>
        <v/>
      </c>
      <c r="AT66" s="25" t="str">
        <f>IF(LEN(P66&amp;Q66)&gt;0,IFERROR(";"&amp;I66&amp;"["&amp;K66&amp;"]"&amp;AB66&amp;"("&amp;AC66&amp;")"&amp;CHAR(10)&amp;C66 &amp;CHAR(9)&amp;AG66&amp;CHAR(9)&amp;F66 &amp;CHAR(9),";;Error!"),"")</f>
        <v/>
      </c>
      <c r="AU66" s="25" t="str">
        <f>IF(IFERROR(AND(AA66&gt;0,LEN(AN66)&gt;0),FALSE),SUBSTITUTE(SUBSTITUTE(SUBSTITUTE(y_archiverXML,"~PVNAME",AE66),"~PREFIX",y_Prefix),"~PERIOD",MIN(30,AA66)),"")</f>
        <v/>
      </c>
      <c r="AV66" s="11" t="str">
        <f>IF($AB66="epics",AV$1-LEN(AE66),"")</f>
        <v/>
      </c>
      <c r="AW66" s="11" t="str">
        <f>IF($AB66="epics",AW$1-LEN(AH66),"")</f>
        <v/>
      </c>
      <c r="AX66" s="11" t="str">
        <f>IF($AB66="epics",AX$1-LEN(AI66),"")</f>
        <v/>
      </c>
      <c r="AY66" s="11" t="str">
        <f>IF($AB66="epics",AY$1-LEN(I66)-LEN(" readback"),"")</f>
        <v/>
      </c>
      <c r="AZ66" s="12" t="str">
        <f>IF(LEN(F66)&gt;0,IFERROR(VALUE(RIGHT(F66,LEN(F66)-1)),F66),"zzzzz")</f>
        <v>x</v>
      </c>
      <c r="BA66" s="12" t="str">
        <f>IFERROR(VALUE(RIGHT(F66,LEN(F66)-1)),F66)</f>
        <v>x</v>
      </c>
      <c r="BB66" s="22" t="str">
        <f>y_Prefix&amp;AE66</f>
        <v>SR05ID01FST01:LLMM</v>
      </c>
    </row>
    <row r="67" spans="1:54" ht="15.75" customHeight="1" x14ac:dyDescent="0.25">
      <c r="A67" s="22">
        <v>63</v>
      </c>
      <c r="B67" s="23"/>
      <c r="C67" s="30" t="str">
        <f>IF(AND(ISBLANK(P67),ISBLANK(Q67)),";","#define")</f>
        <v>;</v>
      </c>
      <c r="D67" s="28"/>
      <c r="E67" s="24" t="s">
        <v>664</v>
      </c>
      <c r="F67" s="10" t="s">
        <v>621</v>
      </c>
      <c r="G67" s="10"/>
      <c r="H67" s="10"/>
      <c r="I67" s="61"/>
      <c r="J67" s="10"/>
      <c r="K67" s="10"/>
      <c r="L67" s="10"/>
      <c r="M67" s="10"/>
      <c r="N67" s="10"/>
      <c r="O67" s="15"/>
      <c r="P67" s="48"/>
      <c r="Q67" s="49"/>
      <c r="R67" s="49"/>
      <c r="S67" s="49"/>
      <c r="T67" s="49"/>
      <c r="U67" s="49"/>
      <c r="V67" s="49"/>
      <c r="AA67" s="31">
        <v>30</v>
      </c>
      <c r="AB67" s="55" t="str">
        <f>IF(LEN(R67&amp;S67&amp;T67&amp;U67&amp;V67)&gt;0,"epics","")</f>
        <v/>
      </c>
      <c r="AC67" s="52" t="str">
        <f>IF(NOT(ISBLANK(V67)),"base",IF(AB67="epics",IF(AND(ISBLANK(P67),ISBLANK(Q67)),"nmp","map"),""))</f>
        <v/>
      </c>
      <c r="AD67" s="27" t="str">
        <f>UPPER(AD$1&amp;":"&amp;D67)</f>
        <v>:</v>
      </c>
      <c r="AE67" s="25" t="str">
        <f>UPPER(AE$1&amp;":"&amp;E67)</f>
        <v>:LLMM</v>
      </c>
      <c r="AF67" s="27" t="str">
        <f>SUBSTITUTE(D67,"_","")</f>
        <v/>
      </c>
      <c r="AG67" s="25" t="str">
        <f>SUBSTITUTE(E67,"_","")&amp;IF(AND(RIGHT(P67)&lt;&gt;"s",RIGHT(Q67)&lt;&gt;"s"),"","")</f>
        <v>LLMM</v>
      </c>
      <c r="AH67" s="25" t="str">
        <f>IF(ISNUMBER(Y67),Y67,"$(P)"&amp;$AE$1&amp;":"&amp;Y67)</f>
        <v>$(P):</v>
      </c>
      <c r="AI67" s="25" t="str">
        <f>IF(ISNUMBER(Z67),Z67,"$(P)"&amp;$AE$1&amp;":"&amp;Z67)</f>
        <v>$(P):</v>
      </c>
      <c r="AJ67" s="25"/>
      <c r="AK67" s="12" t="str">
        <f>IF(AC67="map",IF(G67="float",y_varMapAnalog,IF(G67="int",y_varMapLongint,IF(G67="bool",y_varMapBool,IF(G67="string",y_varMapString,IF(G67="option",y_varMapOption,"#unknown Type"))))),IF(AC67="nmp",y_nonMappedAnalog,""))</f>
        <v/>
      </c>
      <c r="AL67" s="12" t="e">
        <f>VLOOKUP(G67,y_mapProtocolLUT,3)</f>
        <v>#N/A</v>
      </c>
      <c r="AM67" s="12" t="e">
        <f>VLOOKUP(G67,y_mapProtocolLUT,2)</f>
        <v>#N/A</v>
      </c>
      <c r="AN67" s="25" t="e">
        <f>IF(LEN(AG67)&gt;0,SUBSTITUTE(SUBSTITUTE(SUBSTITUTE(AK67,"$(DTYP)",y_DTYPE),"$(SETPROTO)",AM67),"$(GETPROTO)",AL67),"")</f>
        <v>#N/A</v>
      </c>
      <c r="AO67" s="25" t="str">
        <f>IFERROR(SUBSTITUTE(SUBSTITUTE(SUBSTITUTE(SUBSTITUTE(SUBSTITUTE(SUBSTITUTE(SUBSTITUTE(SUBSTITUTE(SUBSTITUTE(AN67,"$(Q)",AE67),"$(EGU)",K67),"$(PREC)",N67),"$(VAR)",TRIM(CLEAN(y_dedicatedCS&amp;F67))),"$(GetSB)",AH67),"$(SetSB)",AI67),"$(DESC)",LEFT(I67,40)),"$(ENUMS)",AJ67),"$(DEFAULT)",H67),"")</f>
        <v/>
      </c>
      <c r="AP67" s="25" t="str">
        <f>IF(ISNUMBER(W67),SUBSTITUTE(SUBSTITUTE(SUBSTITUTE(SUBSTITUTE(SUBSTITUTE(SUBSTITUTE(SUBSTITUTE(SUBSTITUTE(y_QLabel &amp; IF(RIGHT(R67)="s",y_QELineEdit,y_QELabel),"~PVNAME",$AE67&amp;IF($AC67="map","","")),"~EGU",$K67),"~PREC",$N67),"~VAR",$F67),"~CANGET",$AH67),"~CANSET",$AI67),"~ROW",W67),"~NAME",$E67),"")</f>
        <v/>
      </c>
      <c r="AQ67" s="25" t="str">
        <f>IF(ISNUMBER(X67),SUBSTITUTE(SUBSTITUTE(SUBSTITUTE(SUBSTITUTE(SUBSTITUTE(SUBSTITUTE(SUBSTITUTE(SUBSTITUTE(y_QLabel &amp; IF(RIGHT(S67)="s",y_QELineEdit,y_QELabel),"~PVNAME",$AE67&amp;IF($AC67="map",":RBV","")),"~EGU",$K67),"~PREC",$N67),"~VAR",$F67),"~CANGET",$AH67),"~CANSET",$AI67),"~ROW",X67),"~NAME",$E67),"")</f>
        <v/>
      </c>
      <c r="AR67" s="25" t="e">
        <f>VLOOKUP(G67,y_EPICS_Formats,2,FALSE)</f>
        <v>#N/A</v>
      </c>
      <c r="AS67" s="25" t="str">
        <f>IF(AB67="epics",y_Prefix&amp;AE67&amp;" = ","")</f>
        <v/>
      </c>
      <c r="AT67" s="25" t="str">
        <f>IF(LEN(P67&amp;Q67)&gt;0,IFERROR(";"&amp;I67&amp;"["&amp;K67&amp;"]"&amp;AB67&amp;"("&amp;AC67&amp;")"&amp;CHAR(10)&amp;C67 &amp;CHAR(9)&amp;AG67&amp;CHAR(9)&amp;F67 &amp;CHAR(9),";;Error!"),"")</f>
        <v/>
      </c>
      <c r="AU67" s="25" t="str">
        <f>IF(IFERROR(AND(AA67&gt;0,LEN(AN67)&gt;0),FALSE),SUBSTITUTE(SUBSTITUTE(SUBSTITUTE(y_archiverXML,"~PVNAME",AE67),"~PREFIX",y_Prefix),"~PERIOD",MIN(30,AA67)),"")</f>
        <v/>
      </c>
      <c r="AV67" s="11" t="str">
        <f>IF($AB67="epics",AV$1-LEN(AE67),"")</f>
        <v/>
      </c>
      <c r="AW67" s="11" t="str">
        <f>IF($AB67="epics",AW$1-LEN(AH67),"")</f>
        <v/>
      </c>
      <c r="AX67" s="11" t="str">
        <f>IF($AB67="epics",AX$1-LEN(AI67),"")</f>
        <v/>
      </c>
      <c r="AY67" s="11" t="str">
        <f>IF($AB67="epics",AY$1-LEN(I67)-LEN(" readback"),"")</f>
        <v/>
      </c>
      <c r="AZ67" s="12" t="str">
        <f>IF(LEN(F67)&gt;0,IFERROR(VALUE(RIGHT(F67,LEN(F67)-1)),F67),"zzzzz")</f>
        <v>x</v>
      </c>
      <c r="BA67" s="12" t="str">
        <f>IFERROR(VALUE(RIGHT(F67,LEN(F67)-1)),F67)</f>
        <v>x</v>
      </c>
      <c r="BB67" s="22" t="str">
        <f>y_Prefix&amp;AE67</f>
        <v>SR05ID01FST01:LLMM</v>
      </c>
    </row>
    <row r="68" spans="1:54" ht="15.75" customHeight="1" x14ac:dyDescent="0.25">
      <c r="A68" s="22">
        <v>64</v>
      </c>
      <c r="B68" s="71"/>
      <c r="C68" s="72" t="str">
        <f>IF(AND(ISBLANK(P68),ISBLANK(Q68)),";","#define")</f>
        <v>;</v>
      </c>
      <c r="D68" s="68"/>
      <c r="E68" s="22" t="s">
        <v>664</v>
      </c>
      <c r="F68" s="10" t="s">
        <v>621</v>
      </c>
      <c r="G68" s="17"/>
      <c r="H68" s="17"/>
      <c r="I68" s="73"/>
      <c r="J68" s="17"/>
      <c r="K68" s="17"/>
      <c r="L68" s="17"/>
      <c r="M68" s="17"/>
      <c r="N68" s="17"/>
      <c r="O68" s="74"/>
      <c r="P68" s="48"/>
      <c r="Q68" s="49"/>
      <c r="R68" s="49"/>
      <c r="S68" s="49"/>
      <c r="T68" s="49"/>
      <c r="U68" s="49"/>
      <c r="V68" s="49"/>
      <c r="Y68" s="69"/>
      <c r="Z68" s="69"/>
      <c r="AA68" s="69">
        <v>30</v>
      </c>
      <c r="AB68" s="55" t="str">
        <f>IF(LEN(R68&amp;S68&amp;T68&amp;U68&amp;V68)&gt;0,"epics","")</f>
        <v/>
      </c>
      <c r="AC68" s="52" t="str">
        <f>IF(NOT(ISBLANK(V68)),"base",IF(AB68="epics",IF(AND(ISBLANK(P68),ISBLANK(Q68)),"nmp","map"),""))</f>
        <v/>
      </c>
      <c r="AD68" s="27" t="str">
        <f>UPPER(AD$1&amp;":"&amp;D68)</f>
        <v>:</v>
      </c>
      <c r="AE68" s="25" t="str">
        <f>UPPER(AE$1&amp;":"&amp;E68)</f>
        <v>:LLMM</v>
      </c>
      <c r="AF68" s="27" t="str">
        <f>SUBSTITUTE(D68,"_","")</f>
        <v/>
      </c>
      <c r="AG68" s="25" t="str">
        <f>SUBSTITUTE(E68,"_","")&amp;IF(AND(RIGHT(P68)&lt;&gt;"s",RIGHT(Q68)&lt;&gt;"s"),"","")</f>
        <v>LLMM</v>
      </c>
      <c r="AH68" s="25" t="str">
        <f>IF(ISNUMBER(Y68),Y68,"$(P)"&amp;$AE$1&amp;":"&amp;Y68)</f>
        <v>$(P):</v>
      </c>
      <c r="AI68" s="25" t="str">
        <f>IF(ISNUMBER(Z68),Z68,"$(P)"&amp;$AE$1&amp;":"&amp;Z68)</f>
        <v>$(P):</v>
      </c>
      <c r="AJ68" s="25"/>
      <c r="AK68" s="12" t="str">
        <f>IF(AC68="map",IF(G68="float",y_varMapAnalog,IF(G68="int",y_varMapLongint,IF(G68="bool",y_varMapBool,IF(G68="string",y_varMapString,IF(G68="option",y_varMapOption,"#unknown Type"))))),IF(AC68="nmp",y_nonMappedAnalog,""))</f>
        <v/>
      </c>
      <c r="AL68" s="12" t="e">
        <f>VLOOKUP(G68,y_mapProtocolLUT,3)</f>
        <v>#N/A</v>
      </c>
      <c r="AM68" s="12" t="e">
        <f>VLOOKUP(G68,y_mapProtocolLUT,2)</f>
        <v>#N/A</v>
      </c>
      <c r="AN68" s="25" t="e">
        <f>IF(LEN(AG68)&gt;0,SUBSTITUTE(SUBSTITUTE(SUBSTITUTE(AK68,"$(DTYP)",y_DTYPE),"$(SETPROTO)",AM68),"$(GETPROTO)",AL68),"")</f>
        <v>#N/A</v>
      </c>
      <c r="AO68" s="25" t="str">
        <f>IFERROR(SUBSTITUTE(SUBSTITUTE(SUBSTITUTE(SUBSTITUTE(SUBSTITUTE(SUBSTITUTE(SUBSTITUTE(SUBSTITUTE(SUBSTITUTE(AN68,"$(Q)",AE68),"$(EGU)",K68),"$(PREC)",N68),"$(VAR)",TRIM(CLEAN(y_dedicatedCS&amp;F68))),"$(GetSB)",AH68),"$(SetSB)",AI68),"$(DESC)",LEFT(I68,40)),"$(ENUMS)",AJ68),"$(DEFAULT)",H68),"")</f>
        <v/>
      </c>
      <c r="AP68" s="25" t="str">
        <f>IF(ISNUMBER(W68),SUBSTITUTE(SUBSTITUTE(SUBSTITUTE(SUBSTITUTE(SUBSTITUTE(SUBSTITUTE(SUBSTITUTE(SUBSTITUTE(y_QLabel &amp; IF(RIGHT(R68)="s",y_QELineEdit,y_QELabel),"~PVNAME",$AE68&amp;IF($AC68="map","","")),"~EGU",$K68),"~PREC",$N68),"~VAR",$F68),"~CANGET",$AH68),"~CANSET",$AI68),"~ROW",W68),"~NAME",$E68),"")</f>
        <v/>
      </c>
      <c r="AQ68" s="25" t="str">
        <f>IF(ISNUMBER(X68),SUBSTITUTE(SUBSTITUTE(SUBSTITUTE(SUBSTITUTE(SUBSTITUTE(SUBSTITUTE(SUBSTITUTE(SUBSTITUTE(y_QLabel &amp; IF(RIGHT(S68)="s",y_QELineEdit,y_QELabel),"~PVNAME",$AE68&amp;IF($AC68="map",":RBV","")),"~EGU",$K68),"~PREC",$N68),"~VAR",$F68),"~CANGET",$AH68),"~CANSET",$AI68),"~ROW",X68),"~NAME",$E68),"")</f>
        <v/>
      </c>
      <c r="AR68" s="25" t="e">
        <f>VLOOKUP(G68,y_EPICS_Formats,2,FALSE)</f>
        <v>#N/A</v>
      </c>
      <c r="AS68" s="25" t="str">
        <f>IF(AB68="epics",y_Prefix&amp;AE68&amp;" = ","")</f>
        <v/>
      </c>
      <c r="AT68" s="25" t="str">
        <f>IF(LEN(P68&amp;Q68)&gt;0,IFERROR(";"&amp;I68&amp;"["&amp;K68&amp;"]"&amp;AB68&amp;"("&amp;AC68&amp;")"&amp;CHAR(10)&amp;C68 &amp;CHAR(9)&amp;AG68&amp;CHAR(9)&amp;F68 &amp;CHAR(9),";;Error!"),"")</f>
        <v/>
      </c>
      <c r="AU68" s="25" t="str">
        <f>IF(IFERROR(AND(AA68&gt;0,LEN(AN68)&gt;0),FALSE),SUBSTITUTE(SUBSTITUTE(SUBSTITUTE(y_archiverXML,"~PVNAME",AE68),"~PREFIX",y_Prefix),"~PERIOD",MIN(30,AA68)),"")</f>
        <v/>
      </c>
      <c r="AV68" s="11" t="str">
        <f>IF($AB68="epics",AV$1-LEN(AE68),"")</f>
        <v/>
      </c>
      <c r="AW68" s="11" t="str">
        <f>IF($AB68="epics",AW$1-LEN(AH68),"")</f>
        <v/>
      </c>
      <c r="AX68" s="11" t="str">
        <f>IF($AB68="epics",AX$1-LEN(AI68),"")</f>
        <v/>
      </c>
      <c r="AY68" s="11" t="str">
        <f>IF($AB68="epics",AY$1-LEN(I68)-LEN(" readback"),"")</f>
        <v/>
      </c>
      <c r="AZ68" s="12" t="str">
        <f>IF(LEN(F68)&gt;0,IFERROR(VALUE(RIGHT(F68,LEN(F68)-1)),F68),"zzzzz")</f>
        <v>x</v>
      </c>
      <c r="BA68" s="12" t="str">
        <f>IFERROR(VALUE(RIGHT(F68,LEN(F68)-1)),F68)</f>
        <v>x</v>
      </c>
      <c r="BB68" s="22" t="str">
        <f>y_Prefix&amp;AE68</f>
        <v>SR05ID01FST01:LLMM</v>
      </c>
    </row>
    <row r="69" spans="1:54" ht="15.75" customHeight="1" x14ac:dyDescent="0.25">
      <c r="A69" s="22">
        <v>65</v>
      </c>
      <c r="B69" s="23"/>
      <c r="C69" s="30" t="str">
        <f>IF(AND(ISBLANK(P69),ISBLANK(Q69)),";","#define")</f>
        <v>;</v>
      </c>
      <c r="D69" s="29"/>
      <c r="E69" s="24" t="s">
        <v>664</v>
      </c>
      <c r="F69" s="10" t="s">
        <v>621</v>
      </c>
      <c r="G69" s="10"/>
      <c r="H69" s="10"/>
      <c r="I69" s="61"/>
      <c r="J69" s="10"/>
      <c r="K69" s="10"/>
      <c r="L69" s="10"/>
      <c r="M69" s="10"/>
      <c r="N69" s="10"/>
      <c r="O69" s="15"/>
      <c r="P69" s="48"/>
      <c r="Q69" s="49"/>
      <c r="R69" s="49"/>
      <c r="S69" s="49"/>
      <c r="T69" s="49"/>
      <c r="U69" s="49"/>
      <c r="V69" s="49"/>
      <c r="AA69" s="31">
        <v>30</v>
      </c>
      <c r="AB69" s="55" t="str">
        <f>IF(LEN(R69&amp;S69&amp;T69&amp;U69&amp;V69)&gt;0,"epics","")</f>
        <v/>
      </c>
      <c r="AC69" s="52" t="str">
        <f>IF(NOT(ISBLANK(V69)),"base",IF(AB69="epics",IF(AND(ISBLANK(P69),ISBLANK(Q69)),"nmp","map"),""))</f>
        <v/>
      </c>
      <c r="AD69" s="27" t="str">
        <f>UPPER(AD$1&amp;":"&amp;D69)</f>
        <v>:</v>
      </c>
      <c r="AE69" s="25" t="str">
        <f>UPPER(AE$1&amp;":"&amp;E69)</f>
        <v>:LLMM</v>
      </c>
      <c r="AF69" s="27" t="str">
        <f>SUBSTITUTE(D69,"_","")</f>
        <v/>
      </c>
      <c r="AG69" s="25" t="str">
        <f>SUBSTITUTE(E69,"_","")&amp;IF(AND(RIGHT(P69)&lt;&gt;"s",RIGHT(Q69)&lt;&gt;"s"),"","")</f>
        <v>LLMM</v>
      </c>
      <c r="AH69" s="25" t="str">
        <f>IF(ISNUMBER(Y69),Y69,"$(P)"&amp;$AE$1&amp;":"&amp;Y69)</f>
        <v>$(P):</v>
      </c>
      <c r="AI69" s="25" t="str">
        <f>IF(ISNUMBER(Z69),Z69,"$(P)"&amp;$AE$1&amp;":"&amp;Z69)</f>
        <v>$(P):</v>
      </c>
      <c r="AJ69" s="25"/>
      <c r="AK69" s="12" t="str">
        <f>IF(AC69="map",IF(G69="float",y_varMapAnalog,IF(G69="int",y_varMapLongint,IF(G69="bool",y_varMapBool,IF(G69="string",y_varMapString,IF(G69="option",y_varMapOption,"#unknown Type"))))),IF(AC69="nmp",y_nonMappedAnalog,""))</f>
        <v/>
      </c>
      <c r="AL69" s="12" t="e">
        <f>VLOOKUP(G69,y_mapProtocolLUT,3)</f>
        <v>#N/A</v>
      </c>
      <c r="AM69" s="12" t="e">
        <f>VLOOKUP(G69,y_mapProtocolLUT,2)</f>
        <v>#N/A</v>
      </c>
      <c r="AN69" s="25" t="e">
        <f>IF(LEN(AG69)&gt;0,SUBSTITUTE(SUBSTITUTE(SUBSTITUTE(AK69,"$(DTYP)",y_DTYPE),"$(SETPROTO)",AM69),"$(GETPROTO)",AL69),"")</f>
        <v>#N/A</v>
      </c>
      <c r="AO69" s="25" t="str">
        <f>IFERROR(SUBSTITUTE(SUBSTITUTE(SUBSTITUTE(SUBSTITUTE(SUBSTITUTE(SUBSTITUTE(SUBSTITUTE(SUBSTITUTE(SUBSTITUTE(AN69,"$(Q)",AE69),"$(EGU)",K69),"$(PREC)",N69),"$(VAR)",TRIM(CLEAN(y_dedicatedCS&amp;F69))),"$(GetSB)",AH69),"$(SetSB)",AI69),"$(DESC)",LEFT(I69,40)),"$(ENUMS)",AJ69),"$(DEFAULT)",H69),"")</f>
        <v/>
      </c>
      <c r="AP69" s="25" t="str">
        <f>IF(ISNUMBER(W69),SUBSTITUTE(SUBSTITUTE(SUBSTITUTE(SUBSTITUTE(SUBSTITUTE(SUBSTITUTE(SUBSTITUTE(SUBSTITUTE(y_QLabel &amp; IF(RIGHT(R69)="s",y_QELineEdit,y_QELabel),"~PVNAME",$AE69&amp;IF($AC69="map","","")),"~EGU",$K69),"~PREC",$N69),"~VAR",$F69),"~CANGET",$AH69),"~CANSET",$AI69),"~ROW",W69),"~NAME",$E69),"")</f>
        <v/>
      </c>
      <c r="AQ69" s="25" t="str">
        <f>IF(ISNUMBER(X69),SUBSTITUTE(SUBSTITUTE(SUBSTITUTE(SUBSTITUTE(SUBSTITUTE(SUBSTITUTE(SUBSTITUTE(SUBSTITUTE(y_QLabel &amp; IF(RIGHT(S69)="s",y_QELineEdit,y_QELabel),"~PVNAME",$AE69&amp;IF($AC69="map",":RBV","")),"~EGU",$K69),"~PREC",$N69),"~VAR",$F69),"~CANGET",$AH69),"~CANSET",$AI69),"~ROW",X69),"~NAME",$E69),"")</f>
        <v/>
      </c>
      <c r="AR69" s="25" t="e">
        <f>VLOOKUP(G69,y_EPICS_Formats,2,FALSE)</f>
        <v>#N/A</v>
      </c>
      <c r="AS69" s="25" t="str">
        <f>IF(AB69="epics",y_Prefix&amp;AE69&amp;" = ","")</f>
        <v/>
      </c>
      <c r="AT69" s="25" t="str">
        <f>IF(LEN(P69&amp;Q69)&gt;0,IFERROR(";"&amp;I69&amp;"["&amp;K69&amp;"]"&amp;AB69&amp;"("&amp;AC69&amp;")"&amp;CHAR(10)&amp;C69 &amp;CHAR(9)&amp;AG69&amp;CHAR(9)&amp;F69 &amp;CHAR(9),";;Error!"),"")</f>
        <v/>
      </c>
      <c r="AU69" s="25" t="str">
        <f>IF(IFERROR(AND(AA69&gt;0,LEN(AN69)&gt;0),FALSE),SUBSTITUTE(SUBSTITUTE(SUBSTITUTE(y_archiverXML,"~PVNAME",AE69),"~PREFIX",y_Prefix),"~PERIOD",MIN(30,AA69)),"")</f>
        <v/>
      </c>
      <c r="AV69" s="11" t="str">
        <f>IF($AB69="epics",AV$1-LEN(AE69),"")</f>
        <v/>
      </c>
      <c r="AW69" s="11" t="str">
        <f>IF($AB69="epics",AW$1-LEN(AH69),"")</f>
        <v/>
      </c>
      <c r="AX69" s="11" t="str">
        <f>IF($AB69="epics",AX$1-LEN(AI69),"")</f>
        <v/>
      </c>
      <c r="AY69" s="11" t="str">
        <f>IF($AB69="epics",AY$1-LEN(I69)-LEN(" readback"),"")</f>
        <v/>
      </c>
      <c r="AZ69" s="12" t="str">
        <f>IF(LEN(F69)&gt;0,IFERROR(VALUE(RIGHT(F69,LEN(F69)-1)),F69),"zzzzz")</f>
        <v>x</v>
      </c>
      <c r="BA69" s="12" t="str">
        <f>IFERROR(VALUE(RIGHT(F69,LEN(F69)-1)),F69)</f>
        <v>x</v>
      </c>
      <c r="BB69" s="22" t="str">
        <f>y_Prefix&amp;AE69</f>
        <v>SR05ID01FST01:LLMM</v>
      </c>
    </row>
    <row r="70" spans="1:54" ht="15.75" customHeight="1" x14ac:dyDescent="0.25">
      <c r="A70" s="22">
        <v>66</v>
      </c>
      <c r="B70" s="71"/>
      <c r="C70" s="72" t="str">
        <f>IF(AND(ISBLANK(P70),ISBLANK(Q70)),";","#define")</f>
        <v>;</v>
      </c>
      <c r="D70" s="9"/>
      <c r="E70" s="26" t="s">
        <v>665</v>
      </c>
      <c r="F70" s="10" t="s">
        <v>621</v>
      </c>
      <c r="G70" s="17"/>
      <c r="H70" s="17"/>
      <c r="I70" s="73"/>
      <c r="J70" s="17"/>
      <c r="K70" s="17"/>
      <c r="L70" s="17"/>
      <c r="M70" s="17"/>
      <c r="N70" s="17"/>
      <c r="O70" s="74"/>
      <c r="P70" s="48"/>
      <c r="Q70" s="49"/>
      <c r="R70" s="49"/>
      <c r="S70" s="49"/>
      <c r="T70" s="49"/>
      <c r="U70" s="49"/>
      <c r="V70" s="49"/>
      <c r="Y70" s="69"/>
      <c r="Z70" s="69"/>
      <c r="AA70" s="69"/>
      <c r="AB70" s="55" t="str">
        <f>IF(LEN(R70&amp;S70&amp;T70&amp;U70&amp;V70)&gt;0,"epics","")</f>
        <v/>
      </c>
      <c r="AC70" s="52" t="str">
        <f>IF(NOT(ISBLANK(V70)),"base",IF(AB70="epics",IF(AND(ISBLANK(P70),ISBLANK(Q70)),"nmp","map"),""))</f>
        <v/>
      </c>
      <c r="AD70" s="27" t="str">
        <f>UPPER(AD$1&amp;":"&amp;D70)</f>
        <v>:</v>
      </c>
      <c r="AE70" s="25" t="str">
        <f>UPPER(AE$1&amp;":"&amp;E70)</f>
        <v>:MRES</v>
      </c>
      <c r="AF70" s="27" t="str">
        <f>SUBSTITUTE(D70,"_","")</f>
        <v/>
      </c>
      <c r="AG70" s="25" t="str">
        <f>SUBSTITUTE(E70,"_","")&amp;IF(AND(RIGHT(P70)&lt;&gt;"s",RIGHT(Q70)&lt;&gt;"s"),"","")</f>
        <v>MRES</v>
      </c>
      <c r="AH70" s="25" t="str">
        <f>IF(ISNUMBER(Y70),Y70,"$(P)"&amp;$AE$1&amp;":"&amp;Y70)</f>
        <v>$(P):</v>
      </c>
      <c r="AI70" s="25" t="str">
        <f>IF(ISNUMBER(Z70),Z70,"$(P)"&amp;$AE$1&amp;":"&amp;Z70)</f>
        <v>$(P):</v>
      </c>
      <c r="AJ70" s="25"/>
      <c r="AK70" s="12" t="str">
        <f>IF(AC70="map",IF(G70="float",y_varMapAnalog,IF(G70="int",y_varMapLongint,IF(G70="bool",y_varMapBool,IF(G70="string",y_varMapString,IF(G70="option",y_varMapOption,"#unknown Type"))))),IF(AC70="nmp",y_nonMappedAnalog,""))</f>
        <v/>
      </c>
      <c r="AL70" s="12" t="e">
        <f>VLOOKUP(G70,y_mapProtocolLUT,3)</f>
        <v>#N/A</v>
      </c>
      <c r="AM70" s="12" t="e">
        <f>VLOOKUP(G70,y_mapProtocolLUT,2)</f>
        <v>#N/A</v>
      </c>
      <c r="AN70" s="25" t="e">
        <f>IF(LEN(AG70)&gt;0,SUBSTITUTE(SUBSTITUTE(SUBSTITUTE(AK70,"$(DTYP)",y_DTYPE),"$(SETPROTO)",AM70),"$(GETPROTO)",AL70),"")</f>
        <v>#N/A</v>
      </c>
      <c r="AO70" s="25" t="str">
        <f>IFERROR(SUBSTITUTE(SUBSTITUTE(SUBSTITUTE(SUBSTITUTE(SUBSTITUTE(SUBSTITUTE(SUBSTITUTE(SUBSTITUTE(SUBSTITUTE(AN70,"$(Q)",AE70),"$(EGU)",K70),"$(PREC)",N70),"$(VAR)",TRIM(CLEAN(y_dedicatedCS&amp;F70))),"$(GetSB)",AH70),"$(SetSB)",AI70),"$(DESC)",LEFT(I70,40)),"$(ENUMS)",AJ70),"$(DEFAULT)",H70),"")</f>
        <v/>
      </c>
      <c r="AP70" s="25" t="str">
        <f>IF(ISNUMBER(W70),SUBSTITUTE(SUBSTITUTE(SUBSTITUTE(SUBSTITUTE(SUBSTITUTE(SUBSTITUTE(SUBSTITUTE(SUBSTITUTE(y_QLabel &amp; IF(RIGHT(R70)="s",y_QELineEdit,y_QELabel),"~PVNAME",$AE70&amp;IF($AC70="map","","")),"~EGU",$K70),"~PREC",$N70),"~VAR",$F70),"~CANGET",$AH70),"~CANSET",$AI70),"~ROW",W70),"~NAME",$E70),"")</f>
        <v/>
      </c>
      <c r="AQ70" s="25" t="str">
        <f>IF(ISNUMBER(X70),SUBSTITUTE(SUBSTITUTE(SUBSTITUTE(SUBSTITUTE(SUBSTITUTE(SUBSTITUTE(SUBSTITUTE(SUBSTITUTE(y_QLabel &amp; IF(RIGHT(S70)="s",y_QELineEdit,y_QELabel),"~PVNAME",$AE70&amp;IF($AC70="map",":RBV","")),"~EGU",$K70),"~PREC",$N70),"~VAR",$F70),"~CANGET",$AH70),"~CANSET",$AI70),"~ROW",X70),"~NAME",$E70),"")</f>
        <v/>
      </c>
      <c r="AR70" s="25" t="e">
        <f>VLOOKUP(G70,y_EPICS_Formats,2,FALSE)</f>
        <v>#N/A</v>
      </c>
      <c r="AS70" s="25" t="str">
        <f>IF(AB70="epics",y_Prefix&amp;AE70&amp;" = ","")</f>
        <v/>
      </c>
      <c r="AT70" s="25" t="str">
        <f>IF(LEN(P70&amp;Q70)&gt;0,IFERROR(";"&amp;I70&amp;"["&amp;K70&amp;"]"&amp;AB70&amp;"("&amp;AC70&amp;")"&amp;CHAR(10)&amp;C70 &amp;CHAR(9)&amp;AG70&amp;CHAR(9)&amp;F70 &amp;CHAR(9),";;Error!"),"")</f>
        <v/>
      </c>
      <c r="AU70" s="25" t="str">
        <f>IF(IFERROR(AND(AA70&gt;0,LEN(AN70)&gt;0),FALSE),SUBSTITUTE(SUBSTITUTE(SUBSTITUTE(y_archiverXML,"~PVNAME",AE70),"~PREFIX",y_Prefix),"~PERIOD",MIN(30,AA70)),"")</f>
        <v/>
      </c>
      <c r="AV70" s="11" t="str">
        <f>IF($AB70="epics",AV$1-LEN(AE70),"")</f>
        <v/>
      </c>
      <c r="AW70" s="11" t="str">
        <f>IF($AB70="epics",AW$1-LEN(AH70),"")</f>
        <v/>
      </c>
      <c r="AX70" s="11" t="str">
        <f>IF($AB70="epics",AX$1-LEN(AI70),"")</f>
        <v/>
      </c>
      <c r="AY70" s="11" t="str">
        <f>IF($AB70="epics",AY$1-LEN(I70)-LEN(" readback"),"")</f>
        <v/>
      </c>
      <c r="AZ70" s="12" t="str">
        <f>IF(LEN(F70)&gt;0,IFERROR(VALUE(RIGHT(F70,LEN(F70)-1)),F70),"zzzzz")</f>
        <v>x</v>
      </c>
      <c r="BA70" s="12" t="str">
        <f>IFERROR(VALUE(RIGHT(F70,LEN(F70)-1)),F70)</f>
        <v>x</v>
      </c>
      <c r="BB70" s="22" t="str">
        <f>y_Prefix&amp;AE70</f>
        <v>SR05ID01FST01:MRES</v>
      </c>
    </row>
    <row r="71" spans="1:54" ht="15.75" customHeight="1" x14ac:dyDescent="0.25">
      <c r="A71" s="22">
        <v>67</v>
      </c>
      <c r="B71" s="23"/>
      <c r="C71" s="30" t="str">
        <f>IF(AND(ISBLANK(P71),ISBLANK(Q71)),";","#define")</f>
        <v>;</v>
      </c>
      <c r="D71" s="29"/>
      <c r="E71" s="24" t="s">
        <v>665</v>
      </c>
      <c r="F71" s="10" t="s">
        <v>621</v>
      </c>
      <c r="G71" s="10"/>
      <c r="H71" s="10"/>
      <c r="I71" s="61"/>
      <c r="J71" s="10"/>
      <c r="K71" s="10"/>
      <c r="L71" s="10"/>
      <c r="M71" s="10"/>
      <c r="N71" s="10"/>
      <c r="O71" s="15"/>
      <c r="P71" s="48"/>
      <c r="Q71" s="49"/>
      <c r="R71" s="49"/>
      <c r="S71" s="49"/>
      <c r="T71" s="49"/>
      <c r="U71" s="49"/>
      <c r="V71" s="49"/>
      <c r="AB71" s="55" t="str">
        <f>IF(LEN(R71&amp;S71&amp;T71&amp;U71&amp;V71)&gt;0,"epics","")</f>
        <v/>
      </c>
      <c r="AC71" s="52" t="str">
        <f>IF(NOT(ISBLANK(V71)),"base",IF(AB71="epics",IF(AND(ISBLANK(P71),ISBLANK(Q71)),"nmp","map"),""))</f>
        <v/>
      </c>
      <c r="AD71" s="27" t="str">
        <f>UPPER(AD$1&amp;":"&amp;D71)</f>
        <v>:</v>
      </c>
      <c r="AE71" s="25" t="str">
        <f>UPPER(AE$1&amp;":"&amp;E71)</f>
        <v>:MRES</v>
      </c>
      <c r="AF71" s="27" t="str">
        <f>SUBSTITUTE(D71,"_","")</f>
        <v/>
      </c>
      <c r="AG71" s="25" t="str">
        <f>SUBSTITUTE(E71,"_","")&amp;IF(AND(RIGHT(P71)&lt;&gt;"s",RIGHT(Q71)&lt;&gt;"s"),"","")</f>
        <v>MRES</v>
      </c>
      <c r="AH71" s="25" t="str">
        <f>IF(ISNUMBER(Y71),Y71,"$(P)"&amp;$AE$1&amp;":"&amp;Y71)</f>
        <v>$(P):</v>
      </c>
      <c r="AI71" s="25" t="str">
        <f>IF(ISNUMBER(Z71),Z71,"$(P)"&amp;$AE$1&amp;":"&amp;Z71)</f>
        <v>$(P):</v>
      </c>
      <c r="AJ71" s="25"/>
      <c r="AK71" s="12" t="str">
        <f>IF(AC71="map",IF(G71="float",y_varMapAnalog,IF(G71="int",y_varMapLongint,IF(G71="bool",y_varMapBool,IF(G71="string",y_varMapString,IF(G71="option",y_varMapOption,"#unknown Type"))))),IF(AC71="nmp",y_nonMappedAnalog,""))</f>
        <v/>
      </c>
      <c r="AL71" s="12" t="e">
        <f>VLOOKUP(G71,y_mapProtocolLUT,3)</f>
        <v>#N/A</v>
      </c>
      <c r="AM71" s="12" t="e">
        <f>VLOOKUP(G71,y_mapProtocolLUT,2)</f>
        <v>#N/A</v>
      </c>
      <c r="AN71" s="25" t="e">
        <f>IF(LEN(AG71)&gt;0,SUBSTITUTE(SUBSTITUTE(SUBSTITUTE(AK71,"$(DTYP)",y_DTYPE),"$(SETPROTO)",AM71),"$(GETPROTO)",AL71),"")</f>
        <v>#N/A</v>
      </c>
      <c r="AO71" s="25" t="str">
        <f>IFERROR(SUBSTITUTE(SUBSTITUTE(SUBSTITUTE(SUBSTITUTE(SUBSTITUTE(SUBSTITUTE(SUBSTITUTE(SUBSTITUTE(SUBSTITUTE(AN71,"$(Q)",AE71),"$(EGU)",K71),"$(PREC)",N71),"$(VAR)",TRIM(CLEAN(y_dedicatedCS&amp;F71))),"$(GetSB)",AH71),"$(SetSB)",AI71),"$(DESC)",LEFT(I71,40)),"$(ENUMS)",AJ71),"$(DEFAULT)",H71),"")</f>
        <v/>
      </c>
      <c r="AP71" s="25" t="str">
        <f>IF(ISNUMBER(W71),SUBSTITUTE(SUBSTITUTE(SUBSTITUTE(SUBSTITUTE(SUBSTITUTE(SUBSTITUTE(SUBSTITUTE(SUBSTITUTE(y_QLabel &amp; IF(RIGHT(R71)="s",y_QELineEdit,y_QELabel),"~PVNAME",$AE71&amp;IF($AC71="map","","")),"~EGU",$K71),"~PREC",$N71),"~VAR",$F71),"~CANGET",$AH71),"~CANSET",$AI71),"~ROW",W71),"~NAME",$E71),"")</f>
        <v/>
      </c>
      <c r="AQ71" s="25" t="str">
        <f>IF(ISNUMBER(X71),SUBSTITUTE(SUBSTITUTE(SUBSTITUTE(SUBSTITUTE(SUBSTITUTE(SUBSTITUTE(SUBSTITUTE(SUBSTITUTE(y_QLabel &amp; IF(RIGHT(S71)="s",y_QELineEdit,y_QELabel),"~PVNAME",$AE71&amp;IF($AC71="map",":RBV","")),"~EGU",$K71),"~PREC",$N71),"~VAR",$F71),"~CANGET",$AH71),"~CANSET",$AI71),"~ROW",X71),"~NAME",$E71),"")</f>
        <v/>
      </c>
      <c r="AR71" s="25" t="e">
        <f>VLOOKUP(G71,y_EPICS_Formats,2,FALSE)</f>
        <v>#N/A</v>
      </c>
      <c r="AS71" s="25" t="str">
        <f>IF(AB71="epics",y_Prefix&amp;AE71&amp;" = ","")</f>
        <v/>
      </c>
      <c r="AT71" s="25" t="str">
        <f>IF(LEN(P71&amp;Q71)&gt;0,IFERROR(";"&amp;I71&amp;"["&amp;K71&amp;"]"&amp;AB71&amp;"("&amp;AC71&amp;")"&amp;CHAR(10)&amp;C71 &amp;CHAR(9)&amp;AG71&amp;CHAR(9)&amp;F71 &amp;CHAR(9),";;Error!"),"")</f>
        <v/>
      </c>
      <c r="AU71" s="25" t="str">
        <f>IF(IFERROR(AND(AA71&gt;0,LEN(AN71)&gt;0),FALSE),SUBSTITUTE(SUBSTITUTE(SUBSTITUTE(y_archiverXML,"~PVNAME",AE71),"~PREFIX",y_Prefix),"~PERIOD",MIN(30,AA71)),"")</f>
        <v/>
      </c>
      <c r="AV71" s="11" t="str">
        <f>IF($AB71="epics",AV$1-LEN(AE71),"")</f>
        <v/>
      </c>
      <c r="AW71" s="11" t="str">
        <f>IF($AB71="epics",AW$1-LEN(AH71),"")</f>
        <v/>
      </c>
      <c r="AX71" s="11" t="str">
        <f>IF($AB71="epics",AX$1-LEN(AI71),"")</f>
        <v/>
      </c>
      <c r="AY71" s="11" t="str">
        <f>IF($AB71="epics",AY$1-LEN(I71)-LEN(" readback"),"")</f>
        <v/>
      </c>
      <c r="AZ71" s="12" t="str">
        <f>IF(LEN(F71)&gt;0,IFERROR(VALUE(RIGHT(F71,LEN(F71)-1)),F71),"zzzzz")</f>
        <v>x</v>
      </c>
      <c r="BA71" s="12" t="str">
        <f>IFERROR(VALUE(RIGHT(F71,LEN(F71)-1)),F71)</f>
        <v>x</v>
      </c>
      <c r="BB71" s="22" t="str">
        <f>y_Prefix&amp;AE71</f>
        <v>SR05ID01FST01:MRES</v>
      </c>
    </row>
    <row r="72" spans="1:54" ht="15.75" customHeight="1" x14ac:dyDescent="0.25">
      <c r="A72" s="22">
        <v>68</v>
      </c>
      <c r="B72" s="23"/>
      <c r="C72" s="30" t="str">
        <f>IF(AND(ISBLANK(P72),ISBLANK(Q72)),";","#define")</f>
        <v>;</v>
      </c>
      <c r="D72" s="29"/>
      <c r="E72" s="26" t="s">
        <v>665</v>
      </c>
      <c r="F72" s="10" t="s">
        <v>621</v>
      </c>
      <c r="G72" s="10"/>
      <c r="H72" s="10"/>
      <c r="I72" s="61"/>
      <c r="J72" s="10"/>
      <c r="K72" s="10"/>
      <c r="L72" s="10"/>
      <c r="M72" s="10"/>
      <c r="N72" s="10"/>
      <c r="O72" s="15"/>
      <c r="P72" s="49"/>
      <c r="Q72" s="49"/>
      <c r="R72" s="49"/>
      <c r="S72" s="49"/>
      <c r="T72" s="49"/>
      <c r="U72" s="49"/>
      <c r="V72" s="49"/>
      <c r="AB72" s="55" t="str">
        <f>IF(LEN(R72&amp;S72&amp;T72&amp;U72&amp;V72)&gt;0,"epics","")</f>
        <v/>
      </c>
      <c r="AC72" s="52" t="str">
        <f>IF(NOT(ISBLANK(V72)),"base",IF(AB72="epics",IF(AND(ISBLANK(P72),ISBLANK(Q72)),"nmp","map"),""))</f>
        <v/>
      </c>
      <c r="AD72" s="27" t="str">
        <f>UPPER(AD$1&amp;":"&amp;D72)</f>
        <v>:</v>
      </c>
      <c r="AE72" s="25" t="str">
        <f>UPPER(AE$1&amp;":"&amp;E72)</f>
        <v>:MRES</v>
      </c>
      <c r="AF72" s="27" t="str">
        <f>SUBSTITUTE(D72,"_","")</f>
        <v/>
      </c>
      <c r="AG72" s="25" t="str">
        <f>SUBSTITUTE(E72,"_","")&amp;IF(AND(RIGHT(P72)&lt;&gt;"s",RIGHT(Q72)&lt;&gt;"s"),"","")</f>
        <v>MRES</v>
      </c>
      <c r="AH72" s="25" t="str">
        <f>IF(ISNUMBER(Y72),Y72,"$(P)"&amp;$AE$1&amp;":"&amp;Y72)</f>
        <v>$(P):</v>
      </c>
      <c r="AI72" s="25" t="str">
        <f>IF(ISNUMBER(Z72),Z72,"$(P)"&amp;$AE$1&amp;":"&amp;Z72)</f>
        <v>$(P):</v>
      </c>
      <c r="AJ72" s="25"/>
      <c r="AK72" s="12" t="str">
        <f>IF(AC72="map",IF(G72="float",y_varMapAnalog,IF(G72="int",y_varMapLongint,IF(G72="bool",y_varMapBool,IF(G72="string",y_varMapString,IF(G72="option",y_varMapOption,"#unknown Type"))))),IF(AC72="nmp",y_nonMappedAnalog,""))</f>
        <v/>
      </c>
      <c r="AL72" s="12" t="e">
        <f>VLOOKUP(G72,y_mapProtocolLUT,3)</f>
        <v>#N/A</v>
      </c>
      <c r="AM72" s="12" t="e">
        <f>VLOOKUP(G72,y_mapProtocolLUT,2)</f>
        <v>#N/A</v>
      </c>
      <c r="AN72" s="25" t="e">
        <f>IF(LEN(AG72)&gt;0,SUBSTITUTE(SUBSTITUTE(SUBSTITUTE(AK72,"$(DTYP)",y_DTYPE),"$(SETPROTO)",AM72),"$(GETPROTO)",AL72),"")</f>
        <v>#N/A</v>
      </c>
      <c r="AO72" s="25" t="str">
        <f>IFERROR(SUBSTITUTE(SUBSTITUTE(SUBSTITUTE(SUBSTITUTE(SUBSTITUTE(SUBSTITUTE(SUBSTITUTE(SUBSTITUTE(SUBSTITUTE(AN72,"$(Q)",AE72),"$(EGU)",K72),"$(PREC)",N72),"$(VAR)",TRIM(CLEAN(y_dedicatedCS&amp;F72))),"$(GetSB)",AH72),"$(SetSB)",AI72),"$(DESC)",LEFT(I72,40)),"$(ENUMS)",AJ72),"$(DEFAULT)",H72),"")</f>
        <v/>
      </c>
      <c r="AP72" s="25" t="str">
        <f>IF(ISNUMBER(W72),SUBSTITUTE(SUBSTITUTE(SUBSTITUTE(SUBSTITUTE(SUBSTITUTE(SUBSTITUTE(SUBSTITUTE(SUBSTITUTE(y_QLabel &amp; IF(RIGHT(R72)="s",y_QELineEdit,y_QELabel),"~PVNAME",$AE72&amp;IF($AC72="map","","")),"~EGU",$K72),"~PREC",$N72),"~VAR",$F72),"~CANGET",$AH72),"~CANSET",$AI72),"~ROW",W72),"~NAME",$E72),"")</f>
        <v/>
      </c>
      <c r="AQ72" s="25" t="str">
        <f>IF(ISNUMBER(X72),SUBSTITUTE(SUBSTITUTE(SUBSTITUTE(SUBSTITUTE(SUBSTITUTE(SUBSTITUTE(SUBSTITUTE(SUBSTITUTE(y_QLabel &amp; IF(RIGHT(S72)="s",y_QELineEdit,y_QELabel),"~PVNAME",$AE72&amp;IF($AC72="map",":RBV","")),"~EGU",$K72),"~PREC",$N72),"~VAR",$F72),"~CANGET",$AH72),"~CANSET",$AI72),"~ROW",X72),"~NAME",$E72),"")</f>
        <v/>
      </c>
      <c r="AR72" s="25" t="e">
        <f>VLOOKUP(G72,y_EPICS_Formats,2,FALSE)</f>
        <v>#N/A</v>
      </c>
      <c r="AS72" s="25" t="str">
        <f>IF(AB72="epics",y_Prefix&amp;AE72&amp;" = ","")</f>
        <v/>
      </c>
      <c r="AT72" s="25" t="str">
        <f>IF(LEN(P72&amp;Q72)&gt;0,IFERROR(";"&amp;I72&amp;"["&amp;K72&amp;"]"&amp;AB72&amp;"("&amp;AC72&amp;")"&amp;CHAR(10)&amp;C72 &amp;CHAR(9)&amp;AG72&amp;CHAR(9)&amp;F72 &amp;CHAR(9),";;Error!"),"")</f>
        <v/>
      </c>
      <c r="AU72" s="25" t="str">
        <f>IF(IFERROR(AND(AA72&gt;0,LEN(AN72)&gt;0),FALSE),SUBSTITUTE(SUBSTITUTE(SUBSTITUTE(y_archiverXML,"~PVNAME",AE72),"~PREFIX",y_Prefix),"~PERIOD",MIN(30,AA72)),"")</f>
        <v/>
      </c>
      <c r="AV72" s="11" t="str">
        <f>IF($AB72="epics",AV$1-LEN(AE72),"")</f>
        <v/>
      </c>
      <c r="AW72" s="11" t="str">
        <f>IF($AB72="epics",AW$1-LEN(AH72),"")</f>
        <v/>
      </c>
      <c r="AX72" s="11" t="str">
        <f>IF($AB72="epics",AX$1-LEN(AI72),"")</f>
        <v/>
      </c>
      <c r="AY72" s="11" t="str">
        <f>IF($AB72="epics",AY$1-LEN(I72)-LEN(" readback"),"")</f>
        <v/>
      </c>
      <c r="AZ72" s="12" t="str">
        <f>IF(LEN(F72)&gt;0,IFERROR(VALUE(RIGHT(F72,LEN(F72)-1)),F72),"zzzzz")</f>
        <v>x</v>
      </c>
      <c r="BA72" s="12" t="str">
        <f>IFERROR(VALUE(RIGHT(F72,LEN(F72)-1)),F72)</f>
        <v>x</v>
      </c>
      <c r="BB72" s="22" t="str">
        <f>y_Prefix&amp;AE72</f>
        <v>SR05ID01FST01:MRES</v>
      </c>
    </row>
    <row r="73" spans="1:54" ht="15.75" customHeight="1" x14ac:dyDescent="0.25">
      <c r="A73" s="22">
        <v>69</v>
      </c>
      <c r="B73" s="23"/>
      <c r="C73" s="30" t="str">
        <f>IF(AND(ISBLANK(P73),ISBLANK(Q73)),";","#define")</f>
        <v>;</v>
      </c>
      <c r="D73" s="28"/>
      <c r="E73" s="22" t="s">
        <v>665</v>
      </c>
      <c r="F73" s="10" t="s">
        <v>621</v>
      </c>
      <c r="G73" s="10"/>
      <c r="H73" s="10"/>
      <c r="I73" s="61"/>
      <c r="J73" s="10"/>
      <c r="K73" s="10"/>
      <c r="L73" s="10"/>
      <c r="M73" s="10"/>
      <c r="N73" s="10"/>
      <c r="O73" s="15"/>
      <c r="P73" s="49"/>
      <c r="Q73" s="49"/>
      <c r="R73" s="49"/>
      <c r="S73" s="49"/>
      <c r="T73" s="49"/>
      <c r="U73" s="49"/>
      <c r="V73" s="49"/>
      <c r="AB73" s="55" t="str">
        <f>IF(LEN(R73&amp;S73&amp;T73&amp;U73&amp;V73)&gt;0,"epics","")</f>
        <v/>
      </c>
      <c r="AC73" s="52" t="str">
        <f>IF(NOT(ISBLANK(V73)),"base",IF(AB73="epics",IF(AND(ISBLANK(P73),ISBLANK(Q73)),"nmp","map"),""))</f>
        <v/>
      </c>
      <c r="AD73" s="27" t="str">
        <f>UPPER(AD$1&amp;":"&amp;D73)</f>
        <v>:</v>
      </c>
      <c r="AE73" s="25" t="str">
        <f>UPPER(AE$1&amp;":"&amp;E73)</f>
        <v>:MRES</v>
      </c>
      <c r="AF73" s="27" t="str">
        <f>SUBSTITUTE(D73,"_","")</f>
        <v/>
      </c>
      <c r="AG73" s="25" t="str">
        <f>SUBSTITUTE(E73,"_","")&amp;IF(AND(RIGHT(P73)&lt;&gt;"s",RIGHT(Q73)&lt;&gt;"s"),"","")</f>
        <v>MRES</v>
      </c>
      <c r="AH73" s="25" t="str">
        <f>IF(ISNUMBER(Y73),Y73,"$(P)"&amp;$AE$1&amp;":"&amp;Y73)</f>
        <v>$(P):</v>
      </c>
      <c r="AI73" s="25" t="str">
        <f>IF(ISNUMBER(Z73),Z73,"$(P)"&amp;$AE$1&amp;":"&amp;Z73)</f>
        <v>$(P):</v>
      </c>
      <c r="AJ73" s="25"/>
      <c r="AK73" s="12" t="str">
        <f>IF(AC73="map",IF(G73="float",y_varMapAnalog,IF(G73="int",y_varMapLongint,IF(G73="bool",y_varMapBool,IF(G73="string",y_varMapString,IF(G73="option",y_varMapOption,"#unknown Type"))))),IF(AC73="nmp",y_nonMappedAnalog,""))</f>
        <v/>
      </c>
      <c r="AL73" s="12" t="e">
        <f>VLOOKUP(G73,y_mapProtocolLUT,3)</f>
        <v>#N/A</v>
      </c>
      <c r="AM73" s="12" t="e">
        <f>VLOOKUP(G73,y_mapProtocolLUT,2)</f>
        <v>#N/A</v>
      </c>
      <c r="AN73" s="25" t="e">
        <f>IF(LEN(AG73)&gt;0,SUBSTITUTE(SUBSTITUTE(SUBSTITUTE(AK73,"$(DTYP)",y_DTYPE),"$(SETPROTO)",AM73),"$(GETPROTO)",AL73),"")</f>
        <v>#N/A</v>
      </c>
      <c r="AO73" s="25" t="str">
        <f>IFERROR(SUBSTITUTE(SUBSTITUTE(SUBSTITUTE(SUBSTITUTE(SUBSTITUTE(SUBSTITUTE(SUBSTITUTE(SUBSTITUTE(SUBSTITUTE(AN73,"$(Q)",AE73),"$(EGU)",K73),"$(PREC)",N73),"$(VAR)",TRIM(CLEAN(y_dedicatedCS&amp;F73))),"$(GetSB)",AH73),"$(SetSB)",AI73),"$(DESC)",LEFT(I73,40)),"$(ENUMS)",AJ73),"$(DEFAULT)",H73),"")</f>
        <v/>
      </c>
      <c r="AP73" s="25" t="str">
        <f>IF(ISNUMBER(W73),SUBSTITUTE(SUBSTITUTE(SUBSTITUTE(SUBSTITUTE(SUBSTITUTE(SUBSTITUTE(SUBSTITUTE(SUBSTITUTE(y_QLabel &amp; IF(RIGHT(R73)="s",y_QELineEdit,y_QELabel),"~PVNAME",$AE73&amp;IF($AC73="map","","")),"~EGU",$K73),"~PREC",$N73),"~VAR",$F73),"~CANGET",$AH73),"~CANSET",$AI73),"~ROW",W73),"~NAME",$E73),"")</f>
        <v/>
      </c>
      <c r="AQ73" s="25" t="str">
        <f>IF(ISNUMBER(X73),SUBSTITUTE(SUBSTITUTE(SUBSTITUTE(SUBSTITUTE(SUBSTITUTE(SUBSTITUTE(SUBSTITUTE(SUBSTITUTE(y_QLabel &amp; IF(RIGHT(S73)="s",y_QELineEdit,y_QELabel),"~PVNAME",$AE73&amp;IF($AC73="map",":RBV","")),"~EGU",$K73),"~PREC",$N73),"~VAR",$F73),"~CANGET",$AH73),"~CANSET",$AI73),"~ROW",X73),"~NAME",$E73),"")</f>
        <v/>
      </c>
      <c r="AR73" s="25" t="e">
        <f>VLOOKUP(G73,y_EPICS_Formats,2,FALSE)</f>
        <v>#N/A</v>
      </c>
      <c r="AS73" s="25" t="str">
        <f>IF(AB73="epics",y_Prefix&amp;AE73&amp;" = ","")</f>
        <v/>
      </c>
      <c r="AT73" s="25" t="str">
        <f>IF(LEN(P73&amp;Q73)&gt;0,IFERROR(";"&amp;I73&amp;"["&amp;K73&amp;"]"&amp;AB73&amp;"("&amp;AC73&amp;")"&amp;CHAR(10)&amp;C73 &amp;CHAR(9)&amp;AG73&amp;CHAR(9)&amp;F73 &amp;CHAR(9),";;Error!"),"")</f>
        <v/>
      </c>
      <c r="AU73" s="25" t="str">
        <f>IF(IFERROR(AND(AA73&gt;0,LEN(AN73)&gt;0),FALSE),SUBSTITUTE(SUBSTITUTE(SUBSTITUTE(y_archiverXML,"~PVNAME",AE73),"~PREFIX",y_Prefix),"~PERIOD",MIN(30,AA73)),"")</f>
        <v/>
      </c>
      <c r="AV73" s="11" t="str">
        <f>IF($AB73="epics",AV$1-LEN(AE73),"")</f>
        <v/>
      </c>
      <c r="AW73" s="11" t="str">
        <f>IF($AB73="epics",AW$1-LEN(AH73),"")</f>
        <v/>
      </c>
      <c r="AX73" s="11" t="str">
        <f>IF($AB73="epics",AX$1-LEN(AI73),"")</f>
        <v/>
      </c>
      <c r="AY73" s="11" t="str">
        <f>IF($AB73="epics",AY$1-LEN(I73)-LEN(" readback"),"")</f>
        <v/>
      </c>
      <c r="AZ73" s="12" t="str">
        <f>IF(LEN(F73)&gt;0,IFERROR(VALUE(RIGHT(F73,LEN(F73)-1)),F73),"zzzzz")</f>
        <v>x</v>
      </c>
      <c r="BA73" s="12" t="str">
        <f>IFERROR(VALUE(RIGHT(F73,LEN(F73)-1)),F73)</f>
        <v>x</v>
      </c>
      <c r="BB73" s="22" t="str">
        <f>y_Prefix&amp;AE73</f>
        <v>SR05ID01FST01:MRES</v>
      </c>
    </row>
    <row r="74" spans="1:54" ht="15.75" customHeight="1" x14ac:dyDescent="0.25">
      <c r="A74" s="22">
        <v>70</v>
      </c>
      <c r="B74" s="23"/>
      <c r="C74" s="30" t="str">
        <f>IF(AND(ISBLANK(P74),ISBLANK(Q74)),";","#define")</f>
        <v>;</v>
      </c>
      <c r="D74" s="29"/>
      <c r="E74" s="24" t="s">
        <v>666</v>
      </c>
      <c r="F74" s="10" t="s">
        <v>621</v>
      </c>
      <c r="G74" s="10"/>
      <c r="H74" s="10"/>
      <c r="I74" s="61"/>
      <c r="J74" s="10"/>
      <c r="K74" s="10"/>
      <c r="L74" s="10"/>
      <c r="M74" s="10"/>
      <c r="N74" s="10"/>
      <c r="O74" s="15"/>
      <c r="P74" s="49"/>
      <c r="Q74" s="49"/>
      <c r="R74" s="49"/>
      <c r="S74" s="49"/>
      <c r="T74" s="49"/>
      <c r="U74" s="49"/>
      <c r="V74" s="49"/>
      <c r="AA74" s="31">
        <v>30</v>
      </c>
      <c r="AB74" s="55" t="str">
        <f>IF(LEN(R74&amp;S74&amp;T74&amp;U74&amp;V74)&gt;0,"epics","")</f>
        <v/>
      </c>
      <c r="AC74" s="52" t="str">
        <f>IF(NOT(ISBLANK(V74)),"base",IF(AB74="epics",IF(AND(ISBLANK(P74),ISBLANK(Q74)),"nmp","map"),""))</f>
        <v/>
      </c>
      <c r="AD74" s="27" t="str">
        <f>UPPER(AD$1&amp;":"&amp;D74)</f>
        <v>:</v>
      </c>
      <c r="AE74" s="25" t="str">
        <f>UPPER(AE$1&amp;":"&amp;E74)</f>
        <v>:OFF</v>
      </c>
      <c r="AF74" s="27" t="str">
        <f>SUBSTITUTE(D74,"_","")</f>
        <v/>
      </c>
      <c r="AG74" s="25" t="str">
        <f>SUBSTITUTE(E74,"_","")&amp;IF(AND(RIGHT(P74)&lt;&gt;"s",RIGHT(Q74)&lt;&gt;"s"),"","")</f>
        <v>OFF</v>
      </c>
      <c r="AH74" s="25" t="str">
        <f>IF(ISNUMBER(Y74),Y74,"$(P)"&amp;$AE$1&amp;":"&amp;Y74)</f>
        <v>$(P):</v>
      </c>
      <c r="AI74" s="25" t="str">
        <f>IF(ISNUMBER(Z74),Z74,"$(P)"&amp;$AE$1&amp;":"&amp;Z74)</f>
        <v>$(P):</v>
      </c>
      <c r="AJ74" s="25"/>
      <c r="AK74" s="12" t="str">
        <f>IF(AC74="map",IF(G74="float",y_varMapAnalog,IF(G74="int",y_varMapLongint,IF(G74="bool",y_varMapBool,IF(G74="string",y_varMapString,IF(G74="option",y_varMapOption,"#unknown Type"))))),IF(AC74="nmp",y_nonMappedAnalog,""))</f>
        <v/>
      </c>
      <c r="AL74" s="12" t="e">
        <f>VLOOKUP(G74,y_mapProtocolLUT,3)</f>
        <v>#N/A</v>
      </c>
      <c r="AM74" s="12" t="e">
        <f>VLOOKUP(G74,y_mapProtocolLUT,2)</f>
        <v>#N/A</v>
      </c>
      <c r="AN74" s="25" t="e">
        <f>IF(LEN(AG74)&gt;0,SUBSTITUTE(SUBSTITUTE(SUBSTITUTE(AK74,"$(DTYP)",y_DTYPE),"$(SETPROTO)",AM74),"$(GETPROTO)",AL74),"")</f>
        <v>#N/A</v>
      </c>
      <c r="AO74" s="25" t="str">
        <f>IFERROR(SUBSTITUTE(SUBSTITUTE(SUBSTITUTE(SUBSTITUTE(SUBSTITUTE(SUBSTITUTE(SUBSTITUTE(SUBSTITUTE(SUBSTITUTE(AN74,"$(Q)",AE74),"$(EGU)",K74),"$(PREC)",N74),"$(VAR)",TRIM(CLEAN(y_dedicatedCS&amp;F74))),"$(GetSB)",AH74),"$(SetSB)",AI74),"$(DESC)",LEFT(I74,40)),"$(ENUMS)",AJ74),"$(DEFAULT)",H74),"")</f>
        <v/>
      </c>
      <c r="AP74" s="25" t="str">
        <f>IF(ISNUMBER(W74),SUBSTITUTE(SUBSTITUTE(SUBSTITUTE(SUBSTITUTE(SUBSTITUTE(SUBSTITUTE(SUBSTITUTE(SUBSTITUTE(y_QLabel &amp; IF(RIGHT(R74)="s",y_QELineEdit,y_QELabel),"~PVNAME",$AE74&amp;IF($AC74="map","","")),"~EGU",$K74),"~PREC",$N74),"~VAR",$F74),"~CANGET",$AH74),"~CANSET",$AI74),"~ROW",W74),"~NAME",$E74),"")</f>
        <v/>
      </c>
      <c r="AQ74" s="25" t="str">
        <f>IF(ISNUMBER(X74),SUBSTITUTE(SUBSTITUTE(SUBSTITUTE(SUBSTITUTE(SUBSTITUTE(SUBSTITUTE(SUBSTITUTE(SUBSTITUTE(y_QLabel &amp; IF(RIGHT(S74)="s",y_QELineEdit,y_QELabel),"~PVNAME",$AE74&amp;IF($AC74="map",":RBV","")),"~EGU",$K74),"~PREC",$N74),"~VAR",$F74),"~CANGET",$AH74),"~CANSET",$AI74),"~ROW",X74),"~NAME",$E74),"")</f>
        <v/>
      </c>
      <c r="AR74" s="25" t="e">
        <f>VLOOKUP(G74,y_EPICS_Formats,2,FALSE)</f>
        <v>#N/A</v>
      </c>
      <c r="AS74" s="25" t="str">
        <f>IF(AB74="epics",y_Prefix&amp;AE74&amp;" = ","")</f>
        <v/>
      </c>
      <c r="AT74" s="25" t="str">
        <f>IF(LEN(P74&amp;Q74)&gt;0,IFERROR(";"&amp;I74&amp;"["&amp;K74&amp;"]"&amp;AB74&amp;"("&amp;AC74&amp;")"&amp;CHAR(10)&amp;C74 &amp;CHAR(9)&amp;AG74&amp;CHAR(9)&amp;F74 &amp;CHAR(9),";;Error!"),"")</f>
        <v/>
      </c>
      <c r="AU74" s="25" t="str">
        <f>IF(IFERROR(AND(AA74&gt;0,LEN(AN74)&gt;0),FALSE),SUBSTITUTE(SUBSTITUTE(SUBSTITUTE(y_archiverXML,"~PVNAME",AE74),"~PREFIX",y_Prefix),"~PERIOD",MIN(30,AA74)),"")</f>
        <v/>
      </c>
      <c r="AV74" s="11" t="str">
        <f>IF($AB74="epics",AV$1-LEN(AE74),"")</f>
        <v/>
      </c>
      <c r="AW74" s="11" t="str">
        <f>IF($AB74="epics",AW$1-LEN(AH74),"")</f>
        <v/>
      </c>
      <c r="AX74" s="11" t="str">
        <f>IF($AB74="epics",AX$1-LEN(AI74),"")</f>
        <v/>
      </c>
      <c r="AY74" s="11" t="str">
        <f>IF($AB74="epics",AY$1-LEN(I74)-LEN(" readback"),"")</f>
        <v/>
      </c>
      <c r="AZ74" s="12" t="str">
        <f>IF(LEN(F74)&gt;0,IFERROR(VALUE(RIGHT(F74,LEN(F74)-1)),F74),"zzzzz")</f>
        <v>x</v>
      </c>
      <c r="BA74" s="12" t="str">
        <f>IFERROR(VALUE(RIGHT(F74,LEN(F74)-1)),F74)</f>
        <v>x</v>
      </c>
      <c r="BB74" s="22" t="str">
        <f>y_Prefix&amp;AE74</f>
        <v>SR05ID01FST01:OFF</v>
      </c>
    </row>
    <row r="75" spans="1:54" ht="15.75" customHeight="1" x14ac:dyDescent="0.25">
      <c r="A75" s="22">
        <v>71</v>
      </c>
      <c r="B75" s="23"/>
      <c r="C75" s="30" t="str">
        <f>IF(AND(ISBLANK(P75),ISBLANK(Q75)),";","#define")</f>
        <v>;</v>
      </c>
      <c r="D75" s="9"/>
      <c r="E75" s="24" t="s">
        <v>666</v>
      </c>
      <c r="F75" s="10" t="s">
        <v>621</v>
      </c>
      <c r="G75" s="10"/>
      <c r="H75" s="10"/>
      <c r="I75" s="61"/>
      <c r="J75" s="10"/>
      <c r="K75" s="10"/>
      <c r="L75" s="10"/>
      <c r="M75" s="10"/>
      <c r="N75" s="10"/>
      <c r="O75" s="15"/>
      <c r="P75" s="49"/>
      <c r="Q75" s="49"/>
      <c r="R75" s="49"/>
      <c r="S75" s="49"/>
      <c r="T75" s="49"/>
      <c r="U75" s="49"/>
      <c r="V75" s="49"/>
      <c r="Y75" s="69"/>
      <c r="Z75" s="69"/>
      <c r="AA75" s="69">
        <v>30</v>
      </c>
      <c r="AB75" s="55" t="str">
        <f>IF(LEN(R75&amp;S75&amp;T75&amp;U75&amp;V75)&gt;0,"epics","")</f>
        <v/>
      </c>
      <c r="AC75" s="52" t="str">
        <f>IF(NOT(ISBLANK(V75)),"base",IF(AB75="epics",IF(AND(ISBLANK(P75),ISBLANK(Q75)),"nmp","map"),""))</f>
        <v/>
      </c>
      <c r="AD75" s="27" t="str">
        <f>UPPER(AD$1&amp;":"&amp;D75)</f>
        <v>:</v>
      </c>
      <c r="AE75" s="25" t="str">
        <f>UPPER(AE$1&amp;":"&amp;E75)</f>
        <v>:OFF</v>
      </c>
      <c r="AF75" s="27" t="str">
        <f>SUBSTITUTE(D75,"_","")</f>
        <v/>
      </c>
      <c r="AG75" s="25" t="str">
        <f>SUBSTITUTE(E75,"_","")&amp;IF(AND(RIGHT(P75)&lt;&gt;"s",RIGHT(Q75)&lt;&gt;"s"),"","")</f>
        <v>OFF</v>
      </c>
      <c r="AH75" s="25" t="str">
        <f>IF(ISNUMBER(Y75),Y75,"$(P)"&amp;$AE$1&amp;":"&amp;Y75)</f>
        <v>$(P):</v>
      </c>
      <c r="AI75" s="25" t="str">
        <f>IF(ISNUMBER(Z75),Z75,"$(P)"&amp;$AE$1&amp;":"&amp;Z75)</f>
        <v>$(P):</v>
      </c>
      <c r="AJ75" s="25"/>
      <c r="AK75" s="12" t="str">
        <f>IF(AC75="map",IF(G75="float",y_varMapAnalog,IF(G75="int",y_varMapLongint,IF(G75="bool",y_varMapBool,IF(G75="string",y_varMapString,IF(G75="option",y_varMapOption,"#unknown Type"))))),IF(AC75="nmp",y_nonMappedAnalog,""))</f>
        <v/>
      </c>
      <c r="AL75" s="12" t="e">
        <f>VLOOKUP(G75,y_mapProtocolLUT,3)</f>
        <v>#N/A</v>
      </c>
      <c r="AM75" s="12" t="e">
        <f>VLOOKUP(G75,y_mapProtocolLUT,2)</f>
        <v>#N/A</v>
      </c>
      <c r="AN75" s="25" t="e">
        <f>IF(LEN(AG75)&gt;0,SUBSTITUTE(SUBSTITUTE(SUBSTITUTE(AK75,"$(DTYP)",y_DTYPE),"$(SETPROTO)",AM75),"$(GETPROTO)",AL75),"")</f>
        <v>#N/A</v>
      </c>
      <c r="AO75" s="25" t="str">
        <f>IFERROR(SUBSTITUTE(SUBSTITUTE(SUBSTITUTE(SUBSTITUTE(SUBSTITUTE(SUBSTITUTE(SUBSTITUTE(SUBSTITUTE(SUBSTITUTE(AN75,"$(Q)",AE75),"$(EGU)",K75),"$(PREC)",N75),"$(VAR)",TRIM(CLEAN(y_dedicatedCS&amp;F75))),"$(GetSB)",AH75),"$(SetSB)",AI75),"$(DESC)",LEFT(I75,40)),"$(ENUMS)",AJ75),"$(DEFAULT)",H75),"")</f>
        <v/>
      </c>
      <c r="AP75" s="25" t="str">
        <f>IF(ISNUMBER(W75),SUBSTITUTE(SUBSTITUTE(SUBSTITUTE(SUBSTITUTE(SUBSTITUTE(SUBSTITUTE(SUBSTITUTE(SUBSTITUTE(y_QLabel &amp; IF(RIGHT(R75)="s",y_QELineEdit,y_QELabel),"~PVNAME",$AE75&amp;IF($AC75="map","","")),"~EGU",$K75),"~PREC",$N75),"~VAR",$F75),"~CANGET",$AH75),"~CANSET",$AI75),"~ROW",W75),"~NAME",$E75),"")</f>
        <v/>
      </c>
      <c r="AQ75" s="25" t="str">
        <f>IF(ISNUMBER(X75),SUBSTITUTE(SUBSTITUTE(SUBSTITUTE(SUBSTITUTE(SUBSTITUTE(SUBSTITUTE(SUBSTITUTE(SUBSTITUTE(y_QLabel &amp; IF(RIGHT(S75)="s",y_QELineEdit,y_QELabel),"~PVNAME",$AE75&amp;IF($AC75="map",":RBV","")),"~EGU",$K75),"~PREC",$N75),"~VAR",$F75),"~CANGET",$AH75),"~CANSET",$AI75),"~ROW",X75),"~NAME",$E75),"")</f>
        <v/>
      </c>
      <c r="AR75" s="25" t="e">
        <f>VLOOKUP(G75,y_EPICS_Formats,2,FALSE)</f>
        <v>#N/A</v>
      </c>
      <c r="AS75" s="25" t="str">
        <f>IF(AB75="epics",y_Prefix&amp;AE75&amp;" = ","")</f>
        <v/>
      </c>
      <c r="AT75" s="25" t="str">
        <f>IF(LEN(P75&amp;Q75)&gt;0,IFERROR(";"&amp;I75&amp;"["&amp;K75&amp;"]"&amp;AB75&amp;"("&amp;AC75&amp;")"&amp;CHAR(10)&amp;C75 &amp;CHAR(9)&amp;AG75&amp;CHAR(9)&amp;F75 &amp;CHAR(9),";;Error!"),"")</f>
        <v/>
      </c>
      <c r="AU75" s="25" t="str">
        <f>IF(IFERROR(AND(AA75&gt;0,LEN(AN75)&gt;0),FALSE),SUBSTITUTE(SUBSTITUTE(SUBSTITUTE(y_archiverXML,"~PVNAME",AE75),"~PREFIX",y_Prefix),"~PERIOD",MIN(30,AA75)),"")</f>
        <v/>
      </c>
      <c r="AV75" s="11" t="str">
        <f>IF($AB75="epics",AV$1-LEN(AE75),"")</f>
        <v/>
      </c>
      <c r="AW75" s="11" t="str">
        <f>IF($AB75="epics",AW$1-LEN(AH75),"")</f>
        <v/>
      </c>
      <c r="AX75" s="11" t="str">
        <f>IF($AB75="epics",AX$1-LEN(AI75),"")</f>
        <v/>
      </c>
      <c r="AY75" s="11" t="str">
        <f>IF($AB75="epics",AY$1-LEN(I75)-LEN(" readback"),"")</f>
        <v/>
      </c>
      <c r="AZ75" s="12" t="str">
        <f>IF(LEN(F75)&gt;0,IFERROR(VALUE(RIGHT(F75,LEN(F75)-1)),F75),"zzzzz")</f>
        <v>x</v>
      </c>
      <c r="BA75" s="12" t="str">
        <f>IFERROR(VALUE(RIGHT(F75,LEN(F75)-1)),F75)</f>
        <v>x</v>
      </c>
      <c r="BB75" s="22" t="str">
        <f>y_Prefix&amp;AE75</f>
        <v>SR05ID01FST01:OFF</v>
      </c>
    </row>
    <row r="76" spans="1:54" ht="15.75" customHeight="1" x14ac:dyDescent="0.25">
      <c r="A76" s="22">
        <v>72</v>
      </c>
      <c r="B76" s="23" t="str">
        <f>IF(AND(LEN(D76)&gt;3,D76&lt;&gt;E76),"&lt;FIND TYPE=ASC&gt;"&amp;AD76&amp;"&lt;/FIND&gt;&lt;REPLACE TYPE=ASC&gt;"&amp;AE76&amp;"&lt;/REPLACE&gt;"&amp;CHAR(10)&amp;"&lt;FIND TYPE=ASC&gt;"&amp;AF76&amp;"&lt;/FIND&gt;&lt;REPLACE TYPE=ASC&gt;"&amp;AG76&amp;"&lt;/REPLACE&gt;"&amp;CHAR(10)&amp;"&lt;FIND TYPE=ASC&gt;"&amp;D76&amp;"&lt;/FIND&gt;&lt;REPLACE TYPE=ASC&gt;"&amp;E76&amp;"&lt;/REPLACE&gt;",".")</f>
        <v>.</v>
      </c>
      <c r="C76" s="30" t="str">
        <f>IF(AND(ISBLANK(P76),ISBLANK(Q76)),";","#define")</f>
        <v>;</v>
      </c>
      <c r="D76" s="29"/>
      <c r="E76" s="24" t="s">
        <v>666</v>
      </c>
      <c r="F76" s="10" t="s">
        <v>621</v>
      </c>
      <c r="G76" s="10"/>
      <c r="H76" s="10"/>
      <c r="I76" s="61"/>
      <c r="J76" s="10"/>
      <c r="K76" s="10"/>
      <c r="L76" s="10"/>
      <c r="M76" s="10"/>
      <c r="N76" s="10"/>
      <c r="O76" s="15"/>
      <c r="P76" s="49"/>
      <c r="Q76" s="49"/>
      <c r="R76" s="49"/>
      <c r="S76" s="49"/>
      <c r="T76" s="49"/>
      <c r="U76" s="49"/>
      <c r="V76" s="49"/>
      <c r="AA76" s="31">
        <v>30</v>
      </c>
      <c r="AB76" s="55" t="str">
        <f>IF(LEN(R76&amp;S76&amp;T76&amp;U76&amp;V76)&gt;0,"epics","")</f>
        <v/>
      </c>
      <c r="AC76" s="52" t="str">
        <f>IF(NOT(ISBLANK(V76)),"base",IF(AB76="epics",IF(AND(ISBLANK(P76),ISBLANK(Q76)),"nmp","map"),""))</f>
        <v/>
      </c>
      <c r="AD76" s="27" t="str">
        <f>UPPER(AD$1&amp;":"&amp;D76)</f>
        <v>:</v>
      </c>
      <c r="AE76" s="25" t="str">
        <f>UPPER(AE$1&amp;":"&amp;E76)</f>
        <v>:OFF</v>
      </c>
      <c r="AF76" s="27" t="str">
        <f>SUBSTITUTE(D76,"_","")</f>
        <v/>
      </c>
      <c r="AG76" s="25" t="str">
        <f>SUBSTITUTE(E76,"_","")&amp;IF(AND(RIGHT(P76)&lt;&gt;"s",RIGHT(Q76)&lt;&gt;"s"),"","")</f>
        <v>OFF</v>
      </c>
      <c r="AH76" s="25" t="str">
        <f>IF(ISNUMBER(Y76),Y76,"$(P)"&amp;$AE$1&amp;":"&amp;Y76)</f>
        <v>$(P):</v>
      </c>
      <c r="AI76" s="25" t="str">
        <f>IF(ISNUMBER(Z76),Z76,"$(P)"&amp;$AE$1&amp;":"&amp;Z76)</f>
        <v>$(P):</v>
      </c>
      <c r="AJ76" s="25"/>
      <c r="AK76" s="12" t="str">
        <f>IF(AC76="map",IF(G76="float",y_varMapAnalog,IF(G76="int",y_varMapLongint,IF(G76="bool",y_varMapBool,IF(G76="string",y_varMapString,IF(G76="option",y_varMapOption,"#unknown Type"))))),IF(AC76="nmp",y_nonMappedAnalog,""))</f>
        <v/>
      </c>
      <c r="AL76" s="12" t="e">
        <f>VLOOKUP(G76,y_mapProtocolLUT,3)</f>
        <v>#N/A</v>
      </c>
      <c r="AM76" s="12" t="e">
        <f>VLOOKUP(G76,y_mapProtocolLUT,2)</f>
        <v>#N/A</v>
      </c>
      <c r="AN76" s="25" t="e">
        <f>IF(LEN(AG76)&gt;0,SUBSTITUTE(SUBSTITUTE(SUBSTITUTE(AK76,"$(DTYP)",y_DTYPE),"$(SETPROTO)",AM76),"$(GETPROTO)",AL76),"")</f>
        <v>#N/A</v>
      </c>
      <c r="AO76" s="25" t="str">
        <f>IFERROR(SUBSTITUTE(SUBSTITUTE(SUBSTITUTE(SUBSTITUTE(SUBSTITUTE(SUBSTITUTE(SUBSTITUTE(SUBSTITUTE(SUBSTITUTE(AN76,"$(Q)",AE76),"$(EGU)",K76),"$(PREC)",N76),"$(VAR)",TRIM(CLEAN(y_dedicatedCS&amp;F76))),"$(GetSB)",AH76),"$(SetSB)",AI76),"$(DESC)",LEFT(I76,40)),"$(ENUMS)",AJ76),"$(DEFAULT)",H76),"")</f>
        <v/>
      </c>
      <c r="AP76" s="25" t="str">
        <f>IF(ISNUMBER(W76),SUBSTITUTE(SUBSTITUTE(SUBSTITUTE(SUBSTITUTE(SUBSTITUTE(SUBSTITUTE(SUBSTITUTE(SUBSTITUTE(y_QLabel &amp; IF(RIGHT(R76)="s",y_QELineEdit,y_QELabel),"~PVNAME",$AE76&amp;IF($AC76="map","","")),"~EGU",$K76),"~PREC",$N76),"~VAR",$F76),"~CANGET",$AH76),"~CANSET",$AI76),"~ROW",W76),"~NAME",$E76),"")</f>
        <v/>
      </c>
      <c r="AQ76" s="25" t="str">
        <f>IF(ISNUMBER(X76),SUBSTITUTE(SUBSTITUTE(SUBSTITUTE(SUBSTITUTE(SUBSTITUTE(SUBSTITUTE(SUBSTITUTE(SUBSTITUTE(y_QLabel &amp; IF(RIGHT(S76)="s",y_QELineEdit,y_QELabel),"~PVNAME",$AE76&amp;IF($AC76="map",":RBV","")),"~EGU",$K76),"~PREC",$N76),"~VAR",$F76),"~CANGET",$AH76),"~CANSET",$AI76),"~ROW",X76),"~NAME",$E76),"")</f>
        <v/>
      </c>
      <c r="AR76" s="25" t="e">
        <f>VLOOKUP(G76,y_EPICS_Formats,2,FALSE)</f>
        <v>#N/A</v>
      </c>
      <c r="AS76" s="25" t="str">
        <f>IF(AB76="epics",y_Prefix&amp;AE76&amp;" = ","")</f>
        <v/>
      </c>
      <c r="AT76" s="25" t="str">
        <f>IF(LEN(P76&amp;Q76)&gt;0,IFERROR(";"&amp;I76&amp;"["&amp;K76&amp;"]"&amp;AB76&amp;"("&amp;AC76&amp;")"&amp;CHAR(10)&amp;C76 &amp;CHAR(9)&amp;AG76&amp;CHAR(9)&amp;F76 &amp;CHAR(9),";;Error!"),"")</f>
        <v/>
      </c>
      <c r="AU76" s="25" t="str">
        <f>IF(IFERROR(AND(AA76&gt;0,LEN(AN76)&gt;0),FALSE),SUBSTITUTE(SUBSTITUTE(SUBSTITUTE(y_archiverXML,"~PVNAME",AE76),"~PREFIX",y_Prefix),"~PERIOD",MIN(30,AA76)),"")</f>
        <v/>
      </c>
      <c r="AV76" s="11" t="str">
        <f>IF($AB76="epics",AV$1-LEN(AE76),"")</f>
        <v/>
      </c>
      <c r="AW76" s="11" t="str">
        <f>IF($AB76="epics",AW$1-LEN(AH76),"")</f>
        <v/>
      </c>
      <c r="AX76" s="11" t="str">
        <f>IF($AB76="epics",AX$1-LEN(AI76),"")</f>
        <v/>
      </c>
      <c r="AY76" s="11" t="str">
        <f>IF($AB76="epics",AY$1-LEN(I76)-LEN(" readback"),"")</f>
        <v/>
      </c>
      <c r="AZ76" s="12" t="str">
        <f>IF(LEN(F76)&gt;0,IFERROR(VALUE(RIGHT(F76,LEN(F76)-1)),F76),"zzzzz")</f>
        <v>x</v>
      </c>
      <c r="BA76" s="12" t="str">
        <f>IFERROR(VALUE(RIGHT(F76,LEN(F76)-1)),F76)</f>
        <v>x</v>
      </c>
      <c r="BB76" s="22" t="str">
        <f>y_Prefix&amp;AE76</f>
        <v>SR05ID01FST01:OFF</v>
      </c>
    </row>
    <row r="77" spans="1:54" ht="15.75" customHeight="1" x14ac:dyDescent="0.25">
      <c r="A77" s="22">
        <v>73</v>
      </c>
      <c r="B77" s="23" t="str">
        <f>IF(AND(LEN(D77)&gt;3,D77&lt;&gt;E77),"&lt;FIND TYPE=ASC&gt;"&amp;AD77&amp;"&lt;/FIND&gt;&lt;REPLACE TYPE=ASC&gt;"&amp;AE77&amp;"&lt;/REPLACE&gt;"&amp;CHAR(10)&amp;"&lt;FIND TYPE=ASC&gt;"&amp;AF77&amp;"&lt;/FIND&gt;&lt;REPLACE TYPE=ASC&gt;"&amp;AG77&amp;"&lt;/REPLACE&gt;"&amp;CHAR(10)&amp;"&lt;FIND TYPE=ASC&gt;"&amp;D77&amp;"&lt;/FIND&gt;&lt;REPLACE TYPE=ASC&gt;"&amp;E77&amp;"&lt;/REPLACE&gt;",".")</f>
        <v>.</v>
      </c>
      <c r="C77" s="30" t="str">
        <f>IF(AND(ISBLANK(P77),ISBLANK(Q77)),";","#define")</f>
        <v>;</v>
      </c>
      <c r="D77" s="29"/>
      <c r="E77" s="24" t="s">
        <v>666</v>
      </c>
      <c r="F77" s="10" t="s">
        <v>621</v>
      </c>
      <c r="G77" s="10"/>
      <c r="H77" s="10"/>
      <c r="I77" s="61"/>
      <c r="J77" s="10"/>
      <c r="K77" s="10"/>
      <c r="L77" s="10"/>
      <c r="M77" s="10"/>
      <c r="N77" s="10"/>
      <c r="O77" s="15"/>
      <c r="P77" s="49"/>
      <c r="Q77" s="49"/>
      <c r="R77" s="49"/>
      <c r="S77" s="49"/>
      <c r="T77" s="49"/>
      <c r="U77" s="49"/>
      <c r="V77" s="49"/>
      <c r="AA77" s="31">
        <v>30</v>
      </c>
      <c r="AB77" s="55" t="str">
        <f>IF(LEN(R77&amp;S77&amp;T77&amp;U77&amp;V77)&gt;0,"epics","")</f>
        <v/>
      </c>
      <c r="AC77" s="52" t="str">
        <f>IF(NOT(ISBLANK(V77)),"base",IF(AB77="epics",IF(AND(ISBLANK(P77),ISBLANK(Q77)),"nmp","map"),""))</f>
        <v/>
      </c>
      <c r="AD77" s="27" t="str">
        <f>UPPER(AD$1&amp;":"&amp;D77)</f>
        <v>:</v>
      </c>
      <c r="AE77" s="25" t="str">
        <f>UPPER(AE$1&amp;":"&amp;E77)</f>
        <v>:OFF</v>
      </c>
      <c r="AF77" s="27" t="str">
        <f>SUBSTITUTE(D77,"_","")</f>
        <v/>
      </c>
      <c r="AG77" s="25" t="str">
        <f>SUBSTITUTE(E77,"_","")&amp;IF(AND(RIGHT(P77)&lt;&gt;"s",RIGHT(Q77)&lt;&gt;"s"),"","")</f>
        <v>OFF</v>
      </c>
      <c r="AH77" s="25" t="str">
        <f>IF(ISNUMBER(Y77),Y77,"$(P)"&amp;$AE$1&amp;":"&amp;Y77)</f>
        <v>$(P):</v>
      </c>
      <c r="AI77" s="25" t="str">
        <f>IF(ISNUMBER(Z77),Z77,"$(P)"&amp;$AE$1&amp;":"&amp;Z77)</f>
        <v>$(P):</v>
      </c>
      <c r="AJ77" s="25"/>
      <c r="AK77" s="12" t="str">
        <f>IF(AC77="map",IF(G77="float",y_varMapAnalog,IF(G77="int",y_varMapLongint,IF(G77="bool",y_varMapBool,IF(G77="string",y_varMapString,IF(G77="option",y_varMapOption,"#unknown Type"))))),IF(AC77="nmp",y_nonMappedAnalog,""))</f>
        <v/>
      </c>
      <c r="AL77" s="12" t="e">
        <f>VLOOKUP(G77,y_mapProtocolLUT,3)</f>
        <v>#N/A</v>
      </c>
      <c r="AM77" s="12" t="e">
        <f>VLOOKUP(G77,y_mapProtocolLUT,2)</f>
        <v>#N/A</v>
      </c>
      <c r="AN77" s="25" t="e">
        <f>IF(LEN(AG77)&gt;0,SUBSTITUTE(SUBSTITUTE(SUBSTITUTE(AK77,"$(DTYP)",y_DTYPE),"$(SETPROTO)",AM77),"$(GETPROTO)",AL77),"")</f>
        <v>#N/A</v>
      </c>
      <c r="AO77" s="25" t="str">
        <f>IFERROR(SUBSTITUTE(SUBSTITUTE(SUBSTITUTE(SUBSTITUTE(SUBSTITUTE(SUBSTITUTE(SUBSTITUTE(SUBSTITUTE(SUBSTITUTE(AN77,"$(Q)",AE77),"$(EGU)",K77),"$(PREC)",N77),"$(VAR)",TRIM(CLEAN(y_dedicatedCS&amp;F77))),"$(GetSB)",AH77),"$(SetSB)",AI77),"$(DESC)",LEFT(I77,40)),"$(ENUMS)",AJ77),"$(DEFAULT)",H77),"")</f>
        <v/>
      </c>
      <c r="AP77" s="25" t="str">
        <f>IF(ISNUMBER(W77),SUBSTITUTE(SUBSTITUTE(SUBSTITUTE(SUBSTITUTE(SUBSTITUTE(SUBSTITUTE(SUBSTITUTE(SUBSTITUTE(y_QLabel &amp; IF(RIGHT(R77)="s",y_QELineEdit,y_QELabel),"~PVNAME",$AE77&amp;IF($AC77="map","","")),"~EGU",$K77),"~PREC",$N77),"~VAR",$F77),"~CANGET",$AH77),"~CANSET",$AI77),"~ROW",W77),"~NAME",$E77),"")</f>
        <v/>
      </c>
      <c r="AQ77" s="25" t="str">
        <f>IF(ISNUMBER(X77),SUBSTITUTE(SUBSTITUTE(SUBSTITUTE(SUBSTITUTE(SUBSTITUTE(SUBSTITUTE(SUBSTITUTE(SUBSTITUTE(y_QLabel &amp; IF(RIGHT(S77)="s",y_QELineEdit,y_QELabel),"~PVNAME",$AE77&amp;IF($AC77="map",":RBV","")),"~EGU",$K77),"~PREC",$N77),"~VAR",$F77),"~CANGET",$AH77),"~CANSET",$AI77),"~ROW",X77),"~NAME",$E77),"")</f>
        <v/>
      </c>
      <c r="AR77" s="25" t="e">
        <f>VLOOKUP(G77,y_EPICS_Formats,2,FALSE)</f>
        <v>#N/A</v>
      </c>
      <c r="AS77" s="25" t="str">
        <f>IF(AB77="epics",y_Prefix&amp;AE77&amp;" = ","")</f>
        <v/>
      </c>
      <c r="AT77" s="25" t="str">
        <f>IF(LEN(P77&amp;Q77)&gt;0,IFERROR(";"&amp;I77&amp;"["&amp;K77&amp;"]"&amp;AB77&amp;"("&amp;AC77&amp;")"&amp;CHAR(10)&amp;C77 &amp;CHAR(9)&amp;AG77&amp;CHAR(9)&amp;F77 &amp;CHAR(9),";;Error!"),"")</f>
        <v/>
      </c>
      <c r="AU77" s="25" t="str">
        <f>IF(IFERROR(AND(AA77&gt;0,LEN(AN77)&gt;0),FALSE),SUBSTITUTE(SUBSTITUTE(SUBSTITUTE(y_archiverXML,"~PVNAME",AE77),"~PREFIX",y_Prefix),"~PERIOD",MIN(30,AA77)),"")</f>
        <v/>
      </c>
      <c r="AV77" s="11" t="str">
        <f>IF($AB77="epics",AV$1-LEN(AE77),"")</f>
        <v/>
      </c>
      <c r="AW77" s="11" t="str">
        <f>IF($AB77="epics",AW$1-LEN(AH77),"")</f>
        <v/>
      </c>
      <c r="AX77" s="11" t="str">
        <f>IF($AB77="epics",AX$1-LEN(AI77),"")</f>
        <v/>
      </c>
      <c r="AY77" s="11" t="str">
        <f>IF($AB77="epics",AY$1-LEN(I77)-LEN(" readback"),"")</f>
        <v/>
      </c>
      <c r="AZ77" s="12" t="str">
        <f>IF(LEN(F77)&gt;0,IFERROR(VALUE(RIGHT(F77,LEN(F77)-1)),F77),"zzzzz")</f>
        <v>x</v>
      </c>
      <c r="BA77" s="12" t="str">
        <f>IFERROR(VALUE(RIGHT(F77,LEN(F77)-1)),F77)</f>
        <v>x</v>
      </c>
      <c r="BB77" s="22" t="str">
        <f>y_Prefix&amp;AE77</f>
        <v>SR05ID01FST01:OFF</v>
      </c>
    </row>
    <row r="78" spans="1:54" s="22" customFormat="1" ht="15.75" customHeight="1" x14ac:dyDescent="0.25">
      <c r="A78" s="22">
        <v>74</v>
      </c>
      <c r="B78" s="23" t="str">
        <f>IF(AND(LEN(D78)&gt;3,D78&lt;&gt;E78),"&lt;FIND TYPE=ASC&gt;"&amp;AD78&amp;"&lt;/FIND&gt;&lt;REPLACE TYPE=ASC&gt;"&amp;AE78&amp;"&lt;/REPLACE&gt;"&amp;CHAR(10)&amp;"&lt;FIND TYPE=ASC&gt;"&amp;AF78&amp;"&lt;/FIND&gt;&lt;REPLACE TYPE=ASC&gt;"&amp;AG78&amp;"&lt;/REPLACE&gt;"&amp;CHAR(10)&amp;"&lt;FIND TYPE=ASC&gt;"&amp;D78&amp;"&lt;/FIND&gt;&lt;REPLACE TYPE=ASC&gt;"&amp;E78&amp;"&lt;/REPLACE&gt;",".")</f>
        <v>.</v>
      </c>
      <c r="C78" s="30" t="str">
        <f>IF(AND(ISBLANK(P78),ISBLANK(Q78)),";","#define")</f>
        <v>#define</v>
      </c>
      <c r="D78" s="68"/>
      <c r="E78" s="22" t="s">
        <v>667</v>
      </c>
      <c r="F78" s="10" t="s">
        <v>668</v>
      </c>
      <c r="G78" s="10"/>
      <c r="H78" s="10"/>
      <c r="I78" s="61" t="s">
        <v>624</v>
      </c>
      <c r="J78" s="10" t="s">
        <v>625</v>
      </c>
      <c r="K78" s="10"/>
      <c r="L78" s="10"/>
      <c r="M78" s="10"/>
      <c r="N78" s="10"/>
      <c r="O78" s="15"/>
      <c r="P78" s="49" t="s">
        <v>365</v>
      </c>
      <c r="Q78" s="49"/>
      <c r="R78" s="49"/>
      <c r="S78" s="49"/>
      <c r="T78" s="49"/>
      <c r="U78" s="49"/>
      <c r="V78" s="49"/>
      <c r="W78" s="98"/>
      <c r="X78" s="98"/>
      <c r="Y78" s="69"/>
      <c r="Z78" s="69"/>
      <c r="AA78" s="69"/>
      <c r="AB78" s="55" t="str">
        <f>IF(LEN(R78&amp;S78&amp;T78&amp;U78&amp;V78)&gt;0,"epics","")</f>
        <v/>
      </c>
      <c r="AC78" s="52" t="str">
        <f>IF(NOT(ISBLANK(V78)),"base",IF(AB78="epics",IF(AND(ISBLANK(P78),ISBLANK(Q78)),"nmp","map"),""))</f>
        <v/>
      </c>
      <c r="AD78" s="27" t="str">
        <f>UPPER(AD$1&amp;":"&amp;D78)</f>
        <v>:</v>
      </c>
      <c r="AE78" s="25" t="str">
        <f>UPPER(AE$1&amp;":"&amp;E78)</f>
        <v>:P_ALPHA</v>
      </c>
      <c r="AF78" s="27" t="str">
        <f>SUBSTITUTE(D78,"_","")</f>
        <v/>
      </c>
      <c r="AG78" s="25" t="str">
        <f>SUBSTITUTE(E78,"_","")&amp;IF(AND(RIGHT(P78)&lt;&gt;"s",RIGHT(Q78)&lt;&gt;"s"),"","")</f>
        <v>palpha</v>
      </c>
      <c r="AH78" s="25" t="str">
        <f>IF(ISNUMBER(Y78),Y78,"$(P)"&amp;$AE$1&amp;":"&amp;Y78)</f>
        <v>$(P):</v>
      </c>
      <c r="AI78" s="25" t="str">
        <f>IF(ISNUMBER(Z78),Z78,"$(P)"&amp;$AE$1&amp;":"&amp;Z78)</f>
        <v>$(P):</v>
      </c>
      <c r="AJ78" s="25"/>
      <c r="AK78" s="12" t="str">
        <f>IF(AC78="map",IF(G78="float",y_varMapAnalog,IF(G78="int",y_varMapLongint,IF(G78="bool",y_varMapBool,IF(G78="string",y_varMapString,IF(G78="option",y_varMapOption,"#unknown Type"))))),IF(AC78="nmp",y_nonMappedAnalog,""))</f>
        <v/>
      </c>
      <c r="AL78" s="12" t="e">
        <f>VLOOKUP(G78,y_mapProtocolLUT,3)</f>
        <v>#N/A</v>
      </c>
      <c r="AM78" s="12" t="e">
        <f>VLOOKUP(G78,y_mapProtocolLUT,2)</f>
        <v>#N/A</v>
      </c>
      <c r="AN78" s="25" t="e">
        <f>IF(LEN(AG78)&gt;0,SUBSTITUTE(SUBSTITUTE(SUBSTITUTE(AK78,"$(DTYP)",y_DTYPE),"$(SETPROTO)",AM78),"$(GETPROTO)",AL78),"")</f>
        <v>#N/A</v>
      </c>
      <c r="AO78" s="25" t="str">
        <f>IFERROR(SUBSTITUTE(SUBSTITUTE(SUBSTITUTE(SUBSTITUTE(SUBSTITUTE(SUBSTITUTE(SUBSTITUTE(SUBSTITUTE(SUBSTITUTE(AN78,"$(Q)",AE78),"$(EGU)",K78),"$(PREC)",N78),"$(VAR)",TRIM(CLEAN(y_dedicatedCS&amp;F78))),"$(GetSB)",AH78),"$(SetSB)",AI78),"$(DESC)",LEFT(I78,40)),"$(ENUMS)",AJ78),"$(DEFAULT)",H78),"")</f>
        <v/>
      </c>
      <c r="AP78" s="25" t="str">
        <f>IF(ISNUMBER(W78),SUBSTITUTE(SUBSTITUTE(SUBSTITUTE(SUBSTITUTE(SUBSTITUTE(SUBSTITUTE(SUBSTITUTE(SUBSTITUTE(y_QLabel &amp; IF(RIGHT(R78)="s",y_QELineEdit,y_QELabel),"~PVNAME",$AE78&amp;IF($AC78="map","","")),"~EGU",$K78),"~PREC",$N78),"~VAR",$F78),"~CANGET",$AH78),"~CANSET",$AI78),"~ROW",W78),"~NAME",$E78),"")</f>
        <v/>
      </c>
      <c r="AQ78" s="25" t="str">
        <f>IF(ISNUMBER(X78),SUBSTITUTE(SUBSTITUTE(SUBSTITUTE(SUBSTITUTE(SUBSTITUTE(SUBSTITUTE(SUBSTITUTE(SUBSTITUTE(y_QLabel &amp; IF(RIGHT(S78)="s",y_QELineEdit,y_QELabel),"~PVNAME",$AE78&amp;IF($AC78="map",":RBV","")),"~EGU",$K78),"~PREC",$N78),"~VAR",$F78),"~CANGET",$AH78),"~CANSET",$AI78),"~ROW",X78),"~NAME",$E78),"")</f>
        <v/>
      </c>
      <c r="AR78" s="25" t="e">
        <f>VLOOKUP(G78,y_EPICS_Formats,2,FALSE)</f>
        <v>#N/A</v>
      </c>
      <c r="AS78" s="25" t="str">
        <f>IF(AB78="epics",y_Prefix&amp;AE78&amp;" = ","")</f>
        <v/>
      </c>
      <c r="AT78" s="25" t="str">
        <f>IF(LEN(P78&amp;Q78)&gt;0,IFERROR(";"&amp;I78&amp;"["&amp;K78&amp;"]"&amp;AB78&amp;"("&amp;AC78&amp;")"&amp;CHAR(10)&amp;C78 &amp;CHAR(9)&amp;AG78&amp;CHAR(9)&amp;F78 &amp;CHAR(9),";;Error!"),"")</f>
        <v xml:space="preserve">;Pmac internal variable[]()
#define	palpha	P2067	</v>
      </c>
      <c r="AU78" s="25" t="str">
        <f>IF(IFERROR(AND(AA78&gt;0,LEN(AN78)&gt;0),FALSE),SUBSTITUTE(SUBSTITUTE(SUBSTITUTE(y_archiverXML,"~PVNAME",AE78),"~PREFIX",y_Prefix),"~PERIOD",MIN(30,AA78)),"")</f>
        <v/>
      </c>
      <c r="AV78" s="11" t="str">
        <f>IF($AB78="epics",AV$1-LEN(AE78),"")</f>
        <v/>
      </c>
      <c r="AW78" s="11" t="str">
        <f>IF($AB78="epics",AW$1-LEN(AH78),"")</f>
        <v/>
      </c>
      <c r="AX78" s="11" t="str">
        <f>IF($AB78="epics",AX$1-LEN(AI78),"")</f>
        <v/>
      </c>
      <c r="AY78" s="11" t="str">
        <f>IF($AB78="epics",AY$1-LEN(I78)-LEN(" readback"),"")</f>
        <v/>
      </c>
      <c r="AZ78" s="12">
        <f>IF(LEN(F78)&gt;0,IFERROR(VALUE(RIGHT(F78,LEN(F78)-1)),F78),"zzzzz")</f>
        <v>2067</v>
      </c>
      <c r="BA78" s="12">
        <f>IFERROR(VALUE(RIGHT(F78,LEN(F78)-1)),F78)</f>
        <v>2067</v>
      </c>
      <c r="BB78" s="22" t="str">
        <f>y_Prefix&amp;AE78</f>
        <v>SR05ID01FST01:P_ALPHA</v>
      </c>
    </row>
    <row r="79" spans="1:54" ht="15.75" customHeight="1" x14ac:dyDescent="0.25">
      <c r="A79" s="22">
        <v>75</v>
      </c>
      <c r="B79" s="23"/>
      <c r="C79" s="30" t="str">
        <f>IF(AND(ISBLANK(P79),ISBLANK(Q79)),";","#define")</f>
        <v>#define</v>
      </c>
      <c r="D79" s="29"/>
      <c r="E79" s="24" t="s">
        <v>669</v>
      </c>
      <c r="F79" s="10" t="s">
        <v>670</v>
      </c>
      <c r="G79" s="10"/>
      <c r="H79" s="10"/>
      <c r="I79" s="61" t="s">
        <v>671</v>
      </c>
      <c r="J79" s="10"/>
      <c r="K79" s="10"/>
      <c r="L79" s="10"/>
      <c r="M79" s="10"/>
      <c r="N79" s="10"/>
      <c r="O79" s="15"/>
      <c r="P79" s="48"/>
      <c r="Q79" s="49" t="s">
        <v>365</v>
      </c>
      <c r="R79" s="49"/>
      <c r="S79" s="49"/>
      <c r="T79" s="49"/>
      <c r="U79" s="49"/>
      <c r="V79" s="49"/>
      <c r="AB79" s="55" t="str">
        <f>IF(LEN(R79&amp;S79&amp;T79&amp;U79&amp;V79)&gt;0,"epics","")</f>
        <v/>
      </c>
      <c r="AC79" s="52" t="str">
        <f>IF(NOT(ISBLANK(V79)),"base",IF(AB79="epics",IF(AND(ISBLANK(P79),ISBLANK(Q79)),"nmp","map"),""))</f>
        <v/>
      </c>
      <c r="AD79" s="27" t="str">
        <f>UPPER(AD$1&amp;":"&amp;D79)</f>
        <v>:</v>
      </c>
      <c r="AE79" s="25" t="str">
        <f>UPPER(AE$1&amp;":"&amp;E79)</f>
        <v>:P_COS</v>
      </c>
      <c r="AF79" s="27" t="str">
        <f>SUBSTITUTE(D79,"_","")</f>
        <v/>
      </c>
      <c r="AG79" s="25" t="str">
        <f>SUBSTITUTE(E79,"_","")&amp;IF(AND(RIGHT(P79)&lt;&gt;"s",RIGHT(Q79)&lt;&gt;"s"),"","")</f>
        <v>pCos</v>
      </c>
      <c r="AH79" s="25" t="str">
        <f>IF(ISNUMBER(Y79),Y79,"$(P)"&amp;$AE$1&amp;":"&amp;Y79)</f>
        <v>$(P):</v>
      </c>
      <c r="AI79" s="25" t="str">
        <f>IF(ISNUMBER(Z79),Z79,"$(P)"&amp;$AE$1&amp;":"&amp;Z79)</f>
        <v>$(P):</v>
      </c>
      <c r="AJ79" s="25"/>
      <c r="AK79" s="12" t="str">
        <f>IF(AC79="map",IF(G79="float",y_varMapAnalog,IF(G79="int",y_varMapLongint,IF(G79="bool",y_varMapBool,IF(G79="string",y_varMapString,IF(G79="option",y_varMapOption,"#unknown Type"))))),IF(AC79="nmp",y_nonMappedAnalog,""))</f>
        <v/>
      </c>
      <c r="AL79" s="12" t="e">
        <f>VLOOKUP(G79,y_mapProtocolLUT,3)</f>
        <v>#N/A</v>
      </c>
      <c r="AM79" s="12" t="e">
        <f>VLOOKUP(G79,y_mapProtocolLUT,2)</f>
        <v>#N/A</v>
      </c>
      <c r="AN79" s="25" t="e">
        <f>IF(LEN(AG79)&gt;0,SUBSTITUTE(SUBSTITUTE(SUBSTITUTE(AK79,"$(DTYP)",y_DTYPE),"$(SETPROTO)",AM79),"$(GETPROTO)",AL79),"")</f>
        <v>#N/A</v>
      </c>
      <c r="AO79" s="25" t="str">
        <f>IFERROR(SUBSTITUTE(SUBSTITUTE(SUBSTITUTE(SUBSTITUTE(SUBSTITUTE(SUBSTITUTE(SUBSTITUTE(SUBSTITUTE(SUBSTITUTE(AN79,"$(Q)",AE79),"$(EGU)",K79),"$(PREC)",N79),"$(VAR)",TRIM(CLEAN(y_dedicatedCS&amp;F79))),"$(GetSB)",AH79),"$(SetSB)",AI79),"$(DESC)",LEFT(I79,40)),"$(ENUMS)",AJ79),"$(DEFAULT)",H79),"")</f>
        <v/>
      </c>
      <c r="AP79" s="25" t="str">
        <f>IF(ISNUMBER(W79),SUBSTITUTE(SUBSTITUTE(SUBSTITUTE(SUBSTITUTE(SUBSTITUTE(SUBSTITUTE(SUBSTITUTE(SUBSTITUTE(y_QLabel &amp; IF(RIGHT(R79)="s",y_QELineEdit,y_QELabel),"~PVNAME",$AE79&amp;IF($AC79="map","","")),"~EGU",$K79),"~PREC",$N79),"~VAR",$F79),"~CANGET",$AH79),"~CANSET",$AI79),"~ROW",W79),"~NAME",$E79),"")</f>
        <v/>
      </c>
      <c r="AQ79" s="25" t="str">
        <f>IF(ISNUMBER(X79),SUBSTITUTE(SUBSTITUTE(SUBSTITUTE(SUBSTITUTE(SUBSTITUTE(SUBSTITUTE(SUBSTITUTE(SUBSTITUTE(y_QLabel &amp; IF(RIGHT(S79)="s",y_QELineEdit,y_QELabel),"~PVNAME",$AE79&amp;IF($AC79="map",":RBV","")),"~EGU",$K79),"~PREC",$N79),"~VAR",$F79),"~CANGET",$AH79),"~CANSET",$AI79),"~ROW",X79),"~NAME",$E79),"")</f>
        <v/>
      </c>
      <c r="AR79" s="25" t="e">
        <f>VLOOKUP(G79,y_EPICS_Formats,2,FALSE)</f>
        <v>#N/A</v>
      </c>
      <c r="AS79" s="25" t="str">
        <f>IF(AB79="epics",y_Prefix&amp;AE79&amp;" = ","")</f>
        <v/>
      </c>
      <c r="AT79" s="25" t="str">
        <f>IF(LEN(P79&amp;Q79)&gt;0,IFERROR(";"&amp;I79&amp;"["&amp;K79&amp;"]"&amp;AB79&amp;"("&amp;AC79&amp;")"&amp;CHAR(10)&amp;C79 &amp;CHAR(9)&amp;AG79&amp;CHAR(9)&amp;F79 &amp;CHAR(9),";;Error!"),"")</f>
        <v xml:space="preserve">;CS specific Cos(angle)[]()
#define	pCos	Q402	</v>
      </c>
      <c r="AU79" s="25" t="str">
        <f>IF(IFERROR(AND(AA79&gt;0,LEN(AN79)&gt;0),FALSE),SUBSTITUTE(SUBSTITUTE(SUBSTITUTE(y_archiverXML,"~PVNAME",AE79),"~PREFIX",y_Prefix),"~PERIOD",MIN(30,AA79)),"")</f>
        <v/>
      </c>
      <c r="AV79" s="11" t="str">
        <f>IF($AB79="epics",AV$1-LEN(AE79),"")</f>
        <v/>
      </c>
      <c r="AW79" s="11" t="str">
        <f>IF($AB79="epics",AW$1-LEN(AH79),"")</f>
        <v/>
      </c>
      <c r="AX79" s="11" t="str">
        <f>IF($AB79="epics",AX$1-LEN(AI79),"")</f>
        <v/>
      </c>
      <c r="AY79" s="11" t="str">
        <f>IF($AB79="epics",AY$1-LEN(I79)-LEN(" readback"),"")</f>
        <v/>
      </c>
      <c r="AZ79" s="12">
        <f>IF(LEN(F79)&gt;0,IFERROR(VALUE(RIGHT(F79,LEN(F79)-1)),F79),"zzzzz")</f>
        <v>402</v>
      </c>
      <c r="BA79" s="12">
        <f>IFERROR(VALUE(RIGHT(F79,LEN(F79)-1)),F79)</f>
        <v>402</v>
      </c>
      <c r="BB79" s="22" t="str">
        <f>y_Prefix&amp;AE79</f>
        <v>SR05ID01FST01:P_COS</v>
      </c>
    </row>
    <row r="80" spans="1:54" ht="15.75" customHeight="1" x14ac:dyDescent="0.25">
      <c r="A80" s="22">
        <v>76</v>
      </c>
      <c r="B80" s="23"/>
      <c r="C80" s="30" t="str">
        <f>IF(AND(ISBLANK(P80),ISBLANK(Q80)),";","#define")</f>
        <v>#define</v>
      </c>
      <c r="D80" s="29"/>
      <c r="E80" s="24" t="s">
        <v>672</v>
      </c>
      <c r="F80" s="10" t="s">
        <v>673</v>
      </c>
      <c r="G80" s="10"/>
      <c r="H80" s="10"/>
      <c r="I80" s="61" t="s">
        <v>624</v>
      </c>
      <c r="J80" s="10" t="s">
        <v>625</v>
      </c>
      <c r="K80" s="10"/>
      <c r="L80" s="10"/>
      <c r="M80" s="10"/>
      <c r="N80" s="10"/>
      <c r="O80" s="15"/>
      <c r="P80" s="48" t="s">
        <v>365</v>
      </c>
      <c r="Q80" s="49"/>
      <c r="R80" s="49"/>
      <c r="S80" s="49"/>
      <c r="T80" s="49"/>
      <c r="U80" s="49"/>
      <c r="V80" s="49"/>
      <c r="AB80" s="55" t="str">
        <f>IF(LEN(R80&amp;S80&amp;T80&amp;U80&amp;V80)&gt;0,"epics","")</f>
        <v/>
      </c>
      <c r="AC80" s="52" t="str">
        <f>IF(NOT(ISBLANK(V80)),"base",IF(AB80="epics",IF(AND(ISBLANK(P80),ISBLANK(Q80)),"nmp","map"),""))</f>
        <v/>
      </c>
      <c r="AD80" s="27" t="str">
        <f>UPPER(AD$1&amp;":"&amp;D80)</f>
        <v>:</v>
      </c>
      <c r="AE80" s="25" t="str">
        <f>UPPER(AE$1&amp;":"&amp;E80)</f>
        <v>:P_DELTA</v>
      </c>
      <c r="AF80" s="27" t="str">
        <f>SUBSTITUTE(D80,"_","")</f>
        <v/>
      </c>
      <c r="AG80" s="25" t="str">
        <f>SUBSTITUTE(E80,"_","")&amp;IF(AND(RIGHT(P80)&lt;&gt;"s",RIGHT(Q80)&lt;&gt;"s"),"","")</f>
        <v>pdelta</v>
      </c>
      <c r="AH80" s="25" t="str">
        <f>IF(ISNUMBER(Y80),Y80,"$(P)"&amp;$AE$1&amp;":"&amp;Y80)</f>
        <v>$(P):</v>
      </c>
      <c r="AI80" s="25" t="str">
        <f>IF(ISNUMBER(Z80),Z80,"$(P)"&amp;$AE$1&amp;":"&amp;Z80)</f>
        <v>$(P):</v>
      </c>
      <c r="AJ80" s="25"/>
      <c r="AK80" s="12" t="str">
        <f>IF(AC80="map",IF(G80="float",y_varMapAnalog,IF(G80="int",y_varMapLongint,IF(G80="bool",y_varMapBool,IF(G80="string",y_varMapString,IF(G80="option",y_varMapOption,"#unknown Type"))))),IF(AC80="nmp",y_nonMappedAnalog,""))</f>
        <v/>
      </c>
      <c r="AL80" s="12" t="e">
        <f>VLOOKUP(G80,y_mapProtocolLUT,3)</f>
        <v>#N/A</v>
      </c>
      <c r="AM80" s="12" t="e">
        <f>VLOOKUP(G80,y_mapProtocolLUT,2)</f>
        <v>#N/A</v>
      </c>
      <c r="AN80" s="25" t="e">
        <f>IF(LEN(AG80)&gt;0,SUBSTITUTE(SUBSTITUTE(SUBSTITUTE(AK80,"$(DTYP)",y_DTYPE),"$(SETPROTO)",AM80),"$(GETPROTO)",AL80),"")</f>
        <v>#N/A</v>
      </c>
      <c r="AO80" s="25" t="str">
        <f>IFERROR(SUBSTITUTE(SUBSTITUTE(SUBSTITUTE(SUBSTITUTE(SUBSTITUTE(SUBSTITUTE(SUBSTITUTE(SUBSTITUTE(SUBSTITUTE(AN80,"$(Q)",AE80),"$(EGU)",K80),"$(PREC)",N80),"$(VAR)",TRIM(CLEAN(y_dedicatedCS&amp;F80))),"$(GetSB)",AH80),"$(SetSB)",AI80),"$(DESC)",LEFT(I80,40)),"$(ENUMS)",AJ80),"$(DEFAULT)",H80),"")</f>
        <v/>
      </c>
      <c r="AP80" s="25" t="str">
        <f>IF(ISNUMBER(W80),SUBSTITUTE(SUBSTITUTE(SUBSTITUTE(SUBSTITUTE(SUBSTITUTE(SUBSTITUTE(SUBSTITUTE(SUBSTITUTE(y_QLabel &amp; IF(RIGHT(R80)="s",y_QELineEdit,y_QELabel),"~PVNAME",$AE80&amp;IF($AC80="map","","")),"~EGU",$K80),"~PREC",$N80),"~VAR",$F80),"~CANGET",$AH80),"~CANSET",$AI80),"~ROW",W80),"~NAME",$E80),"")</f>
        <v/>
      </c>
      <c r="AQ80" s="25" t="str">
        <f>IF(ISNUMBER(X80),SUBSTITUTE(SUBSTITUTE(SUBSTITUTE(SUBSTITUTE(SUBSTITUTE(SUBSTITUTE(SUBSTITUTE(SUBSTITUTE(y_QLabel &amp; IF(RIGHT(S80)="s",y_QELineEdit,y_QELabel),"~PVNAME",$AE80&amp;IF($AC80="map",":RBV","")),"~EGU",$K80),"~PREC",$N80),"~VAR",$F80),"~CANGET",$AH80),"~CANSET",$AI80),"~ROW",X80),"~NAME",$E80),"")</f>
        <v/>
      </c>
      <c r="AR80" s="25" t="e">
        <f>VLOOKUP(G80,y_EPICS_Formats,2,FALSE)</f>
        <v>#N/A</v>
      </c>
      <c r="AS80" s="25" t="str">
        <f>IF(AB80="epics",y_Prefix&amp;AE80&amp;" = ","")</f>
        <v/>
      </c>
      <c r="AT80" s="25" t="str">
        <f>IF(LEN(P80&amp;Q80)&gt;0,IFERROR(";"&amp;I80&amp;"["&amp;K80&amp;"]"&amp;AB80&amp;"("&amp;AC80&amp;")"&amp;CHAR(10)&amp;C80 &amp;CHAR(9)&amp;AG80&amp;CHAR(9)&amp;F80 &amp;CHAR(9),";;Error!"),"")</f>
        <v xml:space="preserve">;Pmac internal variable[]()
#define	pdelta	P2072	</v>
      </c>
      <c r="AU80" s="25" t="str">
        <f>IF(IFERROR(AND(AA80&gt;0,LEN(AN80)&gt;0),FALSE),SUBSTITUTE(SUBSTITUTE(SUBSTITUTE(y_archiverXML,"~PVNAME",AE80),"~PREFIX",y_Prefix),"~PERIOD",MIN(30,AA80)),"")</f>
        <v/>
      </c>
      <c r="AV80" s="11" t="str">
        <f>IF($AB80="epics",AV$1-LEN(AE80),"")</f>
        <v/>
      </c>
      <c r="AW80" s="11" t="str">
        <f>IF($AB80="epics",AW$1-LEN(AH80),"")</f>
        <v/>
      </c>
      <c r="AX80" s="11" t="str">
        <f>IF($AB80="epics",AX$1-LEN(AI80),"")</f>
        <v/>
      </c>
      <c r="AY80" s="11" t="str">
        <f>IF($AB80="epics",AY$1-LEN(I80)-LEN(" readback"),"")</f>
        <v/>
      </c>
      <c r="AZ80" s="12">
        <f>IF(LEN(F80)&gt;0,IFERROR(VALUE(RIGHT(F80,LEN(F80)-1)),F80),"zzzzz")</f>
        <v>2072</v>
      </c>
      <c r="BA80" s="12">
        <f>IFERROR(VALUE(RIGHT(F80,LEN(F80)-1)),F80)</f>
        <v>2072</v>
      </c>
      <c r="BB80" s="22" t="str">
        <f>y_Prefix&amp;AE80</f>
        <v>SR05ID01FST01:P_DELTA</v>
      </c>
    </row>
    <row r="81" spans="1:54" ht="15.75" customHeight="1" x14ac:dyDescent="0.25">
      <c r="A81" s="22">
        <v>77</v>
      </c>
      <c r="B81" s="23"/>
      <c r="C81" s="30" t="str">
        <f>IF(AND(ISBLANK(P81),ISBLANK(Q81)),";","#define")</f>
        <v>#define</v>
      </c>
      <c r="D81" s="29"/>
      <c r="E81" s="24" t="s">
        <v>674</v>
      </c>
      <c r="F81" s="10" t="s">
        <v>675</v>
      </c>
      <c r="G81" s="10"/>
      <c r="H81" s="10"/>
      <c r="I81" s="61" t="s">
        <v>676</v>
      </c>
      <c r="J81" s="10"/>
      <c r="K81" s="10"/>
      <c r="L81" s="10"/>
      <c r="M81" s="10"/>
      <c r="N81" s="10"/>
      <c r="O81" s="15"/>
      <c r="P81" s="48" t="s">
        <v>35</v>
      </c>
      <c r="Q81" s="49" t="s">
        <v>365</v>
      </c>
      <c r="R81" s="49"/>
      <c r="S81" s="49"/>
      <c r="T81" s="49"/>
      <c r="U81" s="49"/>
      <c r="V81" s="49"/>
      <c r="AB81" s="55" t="str">
        <f>IF(LEN(R81&amp;S81&amp;T81&amp;U81&amp;V81)&gt;0,"epics","")</f>
        <v/>
      </c>
      <c r="AC81" s="52" t="str">
        <f>IF(NOT(ISBLANK(V81)),"base",IF(AB81="epics",IF(AND(ISBLANK(P81),ISBLANK(Q81)),"nmp","map"),""))</f>
        <v/>
      </c>
      <c r="AD81" s="27" t="str">
        <f>UPPER(AD$1&amp;":"&amp;D81)</f>
        <v>:</v>
      </c>
      <c r="AE81" s="25" t="str">
        <f>UPPER(AE$1&amp;":"&amp;E81)</f>
        <v>:P_E1RES</v>
      </c>
      <c r="AF81" s="27" t="str">
        <f>SUBSTITUTE(D81,"_","")</f>
        <v/>
      </c>
      <c r="AG81" s="25" t="str">
        <f>SUBSTITUTE(E81,"_","")&amp;IF(AND(RIGHT(P81)&lt;&gt;"s",RIGHT(Q81)&lt;&gt;"s"),"","")</f>
        <v>pE1Res</v>
      </c>
      <c r="AH81" s="25" t="str">
        <f>IF(ISNUMBER(Y81),Y81,"$(P)"&amp;$AE$1&amp;":"&amp;Y81)</f>
        <v>$(P):</v>
      </c>
      <c r="AI81" s="25" t="str">
        <f>IF(ISNUMBER(Z81),Z81,"$(P)"&amp;$AE$1&amp;":"&amp;Z81)</f>
        <v>$(P):</v>
      </c>
      <c r="AJ81" s="25"/>
      <c r="AK81" s="12" t="str">
        <f>IF(AC81="map",IF(G81="float",y_varMapAnalog,IF(G81="int",y_varMapLongint,IF(G81="bool",y_varMapBool,IF(G81="string",y_varMapString,IF(G81="option",y_varMapOption,"#unknown Type"))))),IF(AC81="nmp",y_nonMappedAnalog,""))</f>
        <v/>
      </c>
      <c r="AL81" s="12" t="e">
        <f>VLOOKUP(G81,y_mapProtocolLUT,3)</f>
        <v>#N/A</v>
      </c>
      <c r="AM81" s="12" t="e">
        <f>VLOOKUP(G81,y_mapProtocolLUT,2)</f>
        <v>#N/A</v>
      </c>
      <c r="AN81" s="25" t="e">
        <f>IF(LEN(AG81)&gt;0,SUBSTITUTE(SUBSTITUTE(SUBSTITUTE(AK81,"$(DTYP)",y_DTYPE),"$(SETPROTO)",AM81),"$(GETPROTO)",AL81),"")</f>
        <v>#N/A</v>
      </c>
      <c r="AO81" s="25" t="str">
        <f>IFERROR(SUBSTITUTE(SUBSTITUTE(SUBSTITUTE(SUBSTITUTE(SUBSTITUTE(SUBSTITUTE(SUBSTITUTE(SUBSTITUTE(SUBSTITUTE(AN81,"$(Q)",AE81),"$(EGU)",K81),"$(PREC)",N81),"$(VAR)",TRIM(CLEAN(y_dedicatedCS&amp;F81))),"$(GetSB)",AH81),"$(SetSB)",AI81),"$(DESC)",LEFT(I81,40)),"$(ENUMS)",AJ81),"$(DEFAULT)",H81),"")</f>
        <v/>
      </c>
      <c r="AP81" s="25" t="str">
        <f>IF(ISNUMBER(W81),SUBSTITUTE(SUBSTITUTE(SUBSTITUTE(SUBSTITUTE(SUBSTITUTE(SUBSTITUTE(SUBSTITUTE(SUBSTITUTE(y_QLabel &amp; IF(RIGHT(R81)="s",y_QELineEdit,y_QELabel),"~PVNAME",$AE81&amp;IF($AC81="map","","")),"~EGU",$K81),"~PREC",$N81),"~VAR",$F81),"~CANGET",$AH81),"~CANSET",$AI81),"~ROW",W81),"~NAME",$E81),"")</f>
        <v/>
      </c>
      <c r="AQ81" s="25" t="str">
        <f>IF(ISNUMBER(X81),SUBSTITUTE(SUBSTITUTE(SUBSTITUTE(SUBSTITUTE(SUBSTITUTE(SUBSTITUTE(SUBSTITUTE(SUBSTITUTE(y_QLabel &amp; IF(RIGHT(S81)="s",y_QELineEdit,y_QELabel),"~PVNAME",$AE81&amp;IF($AC81="map",":RBV","")),"~EGU",$K81),"~PREC",$N81),"~VAR",$F81),"~CANGET",$AH81),"~CANSET",$AI81),"~ROW",X81),"~NAME",$E81),"")</f>
        <v/>
      </c>
      <c r="AR81" s="25" t="e">
        <f>VLOOKUP(G81,y_EPICS_Formats,2,FALSE)</f>
        <v>#N/A</v>
      </c>
      <c r="AS81" s="25" t="str">
        <f>IF(AB81="epics",y_Prefix&amp;AE81&amp;" = ","")</f>
        <v/>
      </c>
      <c r="AT81" s="25" t="str">
        <f>IF(LEN(P81&amp;Q81)&gt;0,IFERROR(";"&amp;I81&amp;"["&amp;K81&amp;"]"&amp;AB81&amp;"("&amp;AC81&amp;")"&amp;CHAR(10)&amp;C81 &amp;CHAR(9)&amp;AG81&amp;CHAR(9)&amp;F81 &amp;CHAR(9),";;Error!"),"")</f>
        <v xml:space="preserve">;CS specific axis1 resolution[]()
#define	pE1Res	Q403	</v>
      </c>
      <c r="AU81" s="25" t="str">
        <f>IF(IFERROR(AND(AA81&gt;0,LEN(AN81)&gt;0),FALSE),SUBSTITUTE(SUBSTITUTE(SUBSTITUTE(y_archiverXML,"~PVNAME",AE81),"~PREFIX",y_Prefix),"~PERIOD",MIN(30,AA81)),"")</f>
        <v/>
      </c>
      <c r="AV81" s="11" t="str">
        <f>IF($AB81="epics",AV$1-LEN(AE81),"")</f>
        <v/>
      </c>
      <c r="AW81" s="11" t="str">
        <f>IF($AB81="epics",AW$1-LEN(AH81),"")</f>
        <v/>
      </c>
      <c r="AX81" s="11" t="str">
        <f>IF($AB81="epics",AX$1-LEN(AI81),"")</f>
        <v/>
      </c>
      <c r="AY81" s="11" t="str">
        <f>IF($AB81="epics",AY$1-LEN(I81)-LEN(" readback"),"")</f>
        <v/>
      </c>
      <c r="AZ81" s="12">
        <f>IF(LEN(F81)&gt;0,IFERROR(VALUE(RIGHT(F81,LEN(F81)-1)),F81),"zzzzz")</f>
        <v>403</v>
      </c>
      <c r="BA81" s="12">
        <f>IFERROR(VALUE(RIGHT(F81,LEN(F81)-1)),F81)</f>
        <v>403</v>
      </c>
      <c r="BB81" s="22" t="str">
        <f>y_Prefix&amp;AE81</f>
        <v>SR05ID01FST01:P_E1RES</v>
      </c>
    </row>
    <row r="82" spans="1:54" ht="15.75" customHeight="1" x14ac:dyDescent="0.25">
      <c r="A82" s="22">
        <v>78</v>
      </c>
      <c r="B82" s="23"/>
      <c r="C82" s="30" t="str">
        <f>IF(AND(ISBLANK(P82),ISBLANK(Q82)),";","#define")</f>
        <v>#define</v>
      </c>
      <c r="D82" s="28"/>
      <c r="E82" s="22" t="s">
        <v>677</v>
      </c>
      <c r="F82" s="10" t="s">
        <v>678</v>
      </c>
      <c r="G82" s="10"/>
      <c r="H82" s="10"/>
      <c r="I82" s="61" t="s">
        <v>679</v>
      </c>
      <c r="J82" s="10"/>
      <c r="K82" s="10"/>
      <c r="L82" s="10"/>
      <c r="M82" s="10"/>
      <c r="N82" s="10"/>
      <c r="O82" s="15"/>
      <c r="P82" s="49" t="s">
        <v>35</v>
      </c>
      <c r="Q82" s="49" t="s">
        <v>365</v>
      </c>
      <c r="R82" s="49"/>
      <c r="S82" s="49"/>
      <c r="T82" s="49"/>
      <c r="U82" s="49"/>
      <c r="V82" s="49"/>
      <c r="AB82" s="55" t="str">
        <f>IF(LEN(R82&amp;S82&amp;T82&amp;U82&amp;V82)&gt;0,"epics","")</f>
        <v/>
      </c>
      <c r="AC82" s="52" t="str">
        <f>IF(NOT(ISBLANK(V82)),"base",IF(AB82="epics",IF(AND(ISBLANK(P82),ISBLANK(Q82)),"nmp","map"),""))</f>
        <v/>
      </c>
      <c r="AD82" s="27" t="str">
        <f>UPPER(AD$1&amp;":"&amp;D82)</f>
        <v>:</v>
      </c>
      <c r="AE82" s="25" t="str">
        <f>UPPER(AE$1&amp;":"&amp;E82)</f>
        <v>:P_E2RES</v>
      </c>
      <c r="AF82" s="27" t="str">
        <f>SUBSTITUTE(D82,"_","")</f>
        <v/>
      </c>
      <c r="AG82" s="25" t="str">
        <f>SUBSTITUTE(E82,"_","")&amp;IF(AND(RIGHT(P82)&lt;&gt;"s",RIGHT(Q82)&lt;&gt;"s"),"","")</f>
        <v>pE2Res</v>
      </c>
      <c r="AH82" s="25" t="str">
        <f>IF(ISNUMBER(Y82),Y82,"$(P)"&amp;$AE$1&amp;":"&amp;Y82)</f>
        <v>$(P):</v>
      </c>
      <c r="AI82" s="25" t="str">
        <f>IF(ISNUMBER(Z82),Z82,"$(P)"&amp;$AE$1&amp;":"&amp;Z82)</f>
        <v>$(P):</v>
      </c>
      <c r="AJ82" s="25"/>
      <c r="AK82" s="12" t="str">
        <f>IF(AC82="map",IF(G82="float",y_varMapAnalog,IF(G82="int",y_varMapLongint,IF(G82="bool",y_varMapBool,IF(G82="string",y_varMapString,IF(G82="option",y_varMapOption,"#unknown Type"))))),IF(AC82="nmp",y_nonMappedAnalog,""))</f>
        <v/>
      </c>
      <c r="AL82" s="12" t="e">
        <f>VLOOKUP(G82,y_mapProtocolLUT,3)</f>
        <v>#N/A</v>
      </c>
      <c r="AM82" s="12" t="e">
        <f>VLOOKUP(G82,y_mapProtocolLUT,2)</f>
        <v>#N/A</v>
      </c>
      <c r="AN82" s="25" t="e">
        <f>IF(LEN(AG82)&gt;0,SUBSTITUTE(SUBSTITUTE(SUBSTITUTE(AK82,"$(DTYP)",y_DTYPE),"$(SETPROTO)",AM82),"$(GETPROTO)",AL82),"")</f>
        <v>#N/A</v>
      </c>
      <c r="AO82" s="25" t="str">
        <f>IFERROR(SUBSTITUTE(SUBSTITUTE(SUBSTITUTE(SUBSTITUTE(SUBSTITUTE(SUBSTITUTE(SUBSTITUTE(SUBSTITUTE(SUBSTITUTE(AN82,"$(Q)",AE82),"$(EGU)",K82),"$(PREC)",N82),"$(VAR)",TRIM(CLEAN(y_dedicatedCS&amp;F82))),"$(GetSB)",AH82),"$(SetSB)",AI82),"$(DESC)",LEFT(I82,40)),"$(ENUMS)",AJ82),"$(DEFAULT)",H82),"")</f>
        <v/>
      </c>
      <c r="AP82" s="25" t="str">
        <f>IF(ISNUMBER(W82),SUBSTITUTE(SUBSTITUTE(SUBSTITUTE(SUBSTITUTE(SUBSTITUTE(SUBSTITUTE(SUBSTITUTE(SUBSTITUTE(y_QLabel &amp; IF(RIGHT(R82)="s",y_QELineEdit,y_QELabel),"~PVNAME",$AE82&amp;IF($AC82="map","","")),"~EGU",$K82),"~PREC",$N82),"~VAR",$F82),"~CANGET",$AH82),"~CANSET",$AI82),"~ROW",W82),"~NAME",$E82),"")</f>
        <v/>
      </c>
      <c r="AQ82" s="25" t="str">
        <f>IF(ISNUMBER(X82),SUBSTITUTE(SUBSTITUTE(SUBSTITUTE(SUBSTITUTE(SUBSTITUTE(SUBSTITUTE(SUBSTITUTE(SUBSTITUTE(y_QLabel &amp; IF(RIGHT(S82)="s",y_QELineEdit,y_QELabel),"~PVNAME",$AE82&amp;IF($AC82="map",":RBV","")),"~EGU",$K82),"~PREC",$N82),"~VAR",$F82),"~CANGET",$AH82),"~CANSET",$AI82),"~ROW",X82),"~NAME",$E82),"")</f>
        <v/>
      </c>
      <c r="AR82" s="25" t="e">
        <f>VLOOKUP(G82,y_EPICS_Formats,2,FALSE)</f>
        <v>#N/A</v>
      </c>
      <c r="AS82" s="25" t="str">
        <f>IF(AB82="epics",y_Prefix&amp;AE82&amp;" = ","")</f>
        <v/>
      </c>
      <c r="AT82" s="25" t="str">
        <f>IF(LEN(P82&amp;Q82)&gt;0,IFERROR(";"&amp;I82&amp;"["&amp;K82&amp;"]"&amp;AB82&amp;"("&amp;AC82&amp;")"&amp;CHAR(10)&amp;C82 &amp;CHAR(9)&amp;AG82&amp;CHAR(9)&amp;F82 &amp;CHAR(9),";;Error!"),"")</f>
        <v xml:space="preserve">;CS specific axis2 resolution[]()
#define	pE2Res	Q404	</v>
      </c>
      <c r="AU82" s="25" t="str">
        <f>IF(IFERROR(AND(AA82&gt;0,LEN(AN82)&gt;0),FALSE),SUBSTITUTE(SUBSTITUTE(SUBSTITUTE(y_archiverXML,"~PVNAME",AE82),"~PREFIX",y_Prefix),"~PERIOD",MIN(30,AA82)),"")</f>
        <v/>
      </c>
      <c r="AV82" s="11" t="str">
        <f>IF($AB82="epics",AV$1-LEN(AE82),"")</f>
        <v/>
      </c>
      <c r="AW82" s="11" t="str">
        <f>IF($AB82="epics",AW$1-LEN(AH82),"")</f>
        <v/>
      </c>
      <c r="AX82" s="11" t="str">
        <f>IF($AB82="epics",AX$1-LEN(AI82),"")</f>
        <v/>
      </c>
      <c r="AY82" s="11" t="str">
        <f>IF($AB82="epics",AY$1-LEN(I82)-LEN(" readback"),"")</f>
        <v/>
      </c>
      <c r="AZ82" s="12">
        <f>IF(LEN(F82)&gt;0,IFERROR(VALUE(RIGHT(F82,LEN(F82)-1)),F82),"zzzzz")</f>
        <v>404</v>
      </c>
      <c r="BA82" s="12">
        <f>IFERROR(VALUE(RIGHT(F82,LEN(F82)-1)),F82)</f>
        <v>404</v>
      </c>
      <c r="BB82" s="22" t="str">
        <f>y_Prefix&amp;AE82</f>
        <v>SR05ID01FST01:P_E2RES</v>
      </c>
    </row>
    <row r="83" spans="1:54" ht="15.75" customHeight="1" x14ac:dyDescent="0.25">
      <c r="A83" s="22">
        <v>79</v>
      </c>
      <c r="B83" s="23"/>
      <c r="C83" s="30" t="str">
        <f>IF(AND(ISBLANK(P83),ISBLANK(Q83)),";","#define")</f>
        <v>#define</v>
      </c>
      <c r="D83" s="28"/>
      <c r="E83" s="22" t="s">
        <v>680</v>
      </c>
      <c r="F83" s="10" t="s">
        <v>681</v>
      </c>
      <c r="G83" s="10"/>
      <c r="H83" s="10"/>
      <c r="I83" s="61" t="s">
        <v>682</v>
      </c>
      <c r="J83" s="10"/>
      <c r="K83" s="10"/>
      <c r="L83" s="10"/>
      <c r="M83" s="10"/>
      <c r="N83" s="10"/>
      <c r="O83" s="15"/>
      <c r="P83" s="49"/>
      <c r="Q83" s="49" t="s">
        <v>365</v>
      </c>
      <c r="R83" s="49"/>
      <c r="S83" s="49"/>
      <c r="T83" s="49"/>
      <c r="U83" s="49"/>
      <c r="V83" s="49"/>
      <c r="AB83" s="55" t="str">
        <f>IF(LEN(R83&amp;S83&amp;T83&amp;U83&amp;V83)&gt;0,"epics","")</f>
        <v/>
      </c>
      <c r="AC83" s="52" t="str">
        <f>IF(NOT(ISBLANK(V83)),"base",IF(AB83="epics",IF(AND(ISBLANK(P83),ISBLANK(Q83)),"nmp","map"),""))</f>
        <v/>
      </c>
      <c r="AD83" s="27" t="str">
        <f>UPPER(AD$1&amp;":"&amp;D83)</f>
        <v>:</v>
      </c>
      <c r="AE83" s="25" t="str">
        <f>UPPER(AE$1&amp;":"&amp;E83)</f>
        <v>:P_SIN</v>
      </c>
      <c r="AF83" s="27" t="str">
        <f>SUBSTITUTE(D83,"_","")</f>
        <v/>
      </c>
      <c r="AG83" s="25" t="str">
        <f>SUBSTITUTE(E83,"_","")&amp;IF(AND(RIGHT(P83)&lt;&gt;"s",RIGHT(Q83)&lt;&gt;"s"),"","")</f>
        <v>pSin</v>
      </c>
      <c r="AH83" s="25" t="str">
        <f>IF(ISNUMBER(Y83),Y83,"$(P)"&amp;$AE$1&amp;":"&amp;Y83)</f>
        <v>$(P):</v>
      </c>
      <c r="AI83" s="25" t="str">
        <f>IF(ISNUMBER(Z83),Z83,"$(P)"&amp;$AE$1&amp;":"&amp;Z83)</f>
        <v>$(P):</v>
      </c>
      <c r="AJ83" s="25"/>
      <c r="AK83" s="12" t="str">
        <f>IF(AC83="map",IF(G83="float",y_varMapAnalog,IF(G83="int",y_varMapLongint,IF(G83="bool",y_varMapBool,IF(G83="string",y_varMapString,IF(G83="option",y_varMapOption,"#unknown Type"))))),IF(AC83="nmp",y_nonMappedAnalog,""))</f>
        <v/>
      </c>
      <c r="AL83" s="12" t="e">
        <f>VLOOKUP(G83,y_mapProtocolLUT,3)</f>
        <v>#N/A</v>
      </c>
      <c r="AM83" s="12" t="e">
        <f>VLOOKUP(G83,y_mapProtocolLUT,2)</f>
        <v>#N/A</v>
      </c>
      <c r="AN83" s="25" t="e">
        <f>IF(LEN(AG83)&gt;0,SUBSTITUTE(SUBSTITUTE(SUBSTITUTE(AK83,"$(DTYP)",y_DTYPE),"$(SETPROTO)",AM83),"$(GETPROTO)",AL83),"")</f>
        <v>#N/A</v>
      </c>
      <c r="AO83" s="25" t="str">
        <f>IFERROR(SUBSTITUTE(SUBSTITUTE(SUBSTITUTE(SUBSTITUTE(SUBSTITUTE(SUBSTITUTE(SUBSTITUTE(SUBSTITUTE(SUBSTITUTE(AN83,"$(Q)",AE83),"$(EGU)",K83),"$(PREC)",N83),"$(VAR)",TRIM(CLEAN(y_dedicatedCS&amp;F83))),"$(GetSB)",AH83),"$(SetSB)",AI83),"$(DESC)",LEFT(I83,40)),"$(ENUMS)",AJ83),"$(DEFAULT)",H83),"")</f>
        <v/>
      </c>
      <c r="AP83" s="25" t="str">
        <f>IF(ISNUMBER(W83),SUBSTITUTE(SUBSTITUTE(SUBSTITUTE(SUBSTITUTE(SUBSTITUTE(SUBSTITUTE(SUBSTITUTE(SUBSTITUTE(y_QLabel &amp; IF(RIGHT(R83)="s",y_QELineEdit,y_QELabel),"~PVNAME",$AE83&amp;IF($AC83="map","","")),"~EGU",$K83),"~PREC",$N83),"~VAR",$F83),"~CANGET",$AH83),"~CANSET",$AI83),"~ROW",W83),"~NAME",$E83),"")</f>
        <v/>
      </c>
      <c r="AQ83" s="25" t="str">
        <f>IF(ISNUMBER(X83),SUBSTITUTE(SUBSTITUTE(SUBSTITUTE(SUBSTITUTE(SUBSTITUTE(SUBSTITUTE(SUBSTITUTE(SUBSTITUTE(y_QLabel &amp; IF(RIGHT(S83)="s",y_QELineEdit,y_QELabel),"~PVNAME",$AE83&amp;IF($AC83="map",":RBV","")),"~EGU",$K83),"~PREC",$N83),"~VAR",$F83),"~CANGET",$AH83),"~CANSET",$AI83),"~ROW",X83),"~NAME",$E83),"")</f>
        <v/>
      </c>
      <c r="AR83" s="25" t="e">
        <f>VLOOKUP(G83,y_EPICS_Formats,2,FALSE)</f>
        <v>#N/A</v>
      </c>
      <c r="AS83" s="25" t="str">
        <f>IF(AB83="epics",y_Prefix&amp;AE83&amp;" = ","")</f>
        <v/>
      </c>
      <c r="AT83" s="25" t="str">
        <f>IF(LEN(P83&amp;Q83)&gt;0,IFERROR(";"&amp;I83&amp;"["&amp;K83&amp;"]"&amp;AB83&amp;"("&amp;AC83&amp;")"&amp;CHAR(10)&amp;C83 &amp;CHAR(9)&amp;AG83&amp;CHAR(9)&amp;F83 &amp;CHAR(9),";;Error!"),"")</f>
        <v xml:space="preserve">;CS specific Sin(angle)[]()
#define	pSin	Q401	</v>
      </c>
      <c r="AU83" s="25" t="str">
        <f>IF(IFERROR(AND(AA83&gt;0,LEN(AN83)&gt;0),FALSE),SUBSTITUTE(SUBSTITUTE(SUBSTITUTE(y_archiverXML,"~PVNAME",AE83),"~PREFIX",y_Prefix),"~PERIOD",MIN(30,AA83)),"")</f>
        <v/>
      </c>
      <c r="AV83" s="11" t="str">
        <f>IF($AB83="epics",AV$1-LEN(AE83),"")</f>
        <v/>
      </c>
      <c r="AW83" s="11" t="str">
        <f>IF($AB83="epics",AW$1-LEN(AH83),"")</f>
        <v/>
      </c>
      <c r="AX83" s="11" t="str">
        <f>IF($AB83="epics",AX$1-LEN(AI83),"")</f>
        <v/>
      </c>
      <c r="AY83" s="11" t="str">
        <f>IF($AB83="epics",AY$1-LEN(I83)-LEN(" readback"),"")</f>
        <v/>
      </c>
      <c r="AZ83" s="12">
        <f>IF(LEN(F83)&gt;0,IFERROR(VALUE(RIGHT(F83,LEN(F83)-1)),F83),"zzzzz")</f>
        <v>401</v>
      </c>
      <c r="BA83" s="12">
        <f>IFERROR(VALUE(RIGHT(F83,LEN(F83)-1)),F83)</f>
        <v>401</v>
      </c>
      <c r="BB83" s="22" t="str">
        <f>y_Prefix&amp;AE83</f>
        <v>SR05ID01FST01:P_SIN</v>
      </c>
    </row>
    <row r="84" spans="1:54" ht="15.75" customHeight="1" x14ac:dyDescent="0.25">
      <c r="A84" s="22">
        <v>80</v>
      </c>
      <c r="B84" s="23"/>
      <c r="C84" s="30" t="str">
        <f>IF(AND(ISBLANK(P84),ISBLANK(Q84)),";","#define")</f>
        <v>#define</v>
      </c>
      <c r="D84" s="28"/>
      <c r="E84" s="22" t="s">
        <v>683</v>
      </c>
      <c r="F84" s="10" t="s">
        <v>684</v>
      </c>
      <c r="G84" s="10"/>
      <c r="H84" s="10"/>
      <c r="I84" s="61" t="s">
        <v>624</v>
      </c>
      <c r="J84" s="10" t="s">
        <v>625</v>
      </c>
      <c r="K84" s="10"/>
      <c r="L84" s="10"/>
      <c r="M84" s="10"/>
      <c r="N84" s="10"/>
      <c r="O84" s="15"/>
      <c r="P84" s="49" t="s">
        <v>365</v>
      </c>
      <c r="Q84" s="49"/>
      <c r="R84" s="49"/>
      <c r="S84" s="49"/>
      <c r="T84" s="49"/>
      <c r="U84" s="49"/>
      <c r="V84" s="49"/>
      <c r="AB84" s="55" t="str">
        <f>IF(LEN(R84&amp;S84&amp;T84&amp;U84&amp;V84)&gt;0,"epics","")</f>
        <v/>
      </c>
      <c r="AC84" s="52" t="str">
        <f>IF(NOT(ISBLANK(V84)),"base",IF(AB84="epics",IF(AND(ISBLANK(P84),ISBLANK(Q84)),"nmp","map"),""))</f>
        <v/>
      </c>
      <c r="AD84" s="27" t="str">
        <f>UPPER(AD$1&amp;":"&amp;D84)</f>
        <v>:</v>
      </c>
      <c r="AE84" s="25" t="str">
        <f>UPPER(AE$1&amp;":"&amp;E84)</f>
        <v>:P_TAU</v>
      </c>
      <c r="AF84" s="27" t="str">
        <f>SUBSTITUTE(D84,"_","")</f>
        <v/>
      </c>
      <c r="AG84" s="25" t="str">
        <f>SUBSTITUTE(E84,"_","")&amp;IF(AND(RIGHT(P84)&lt;&gt;"s",RIGHT(Q84)&lt;&gt;"s"),"","")</f>
        <v>ptau</v>
      </c>
      <c r="AH84" s="25" t="str">
        <f>IF(ISNUMBER(Y84),Y84,"$(P)"&amp;$AE$1&amp;":"&amp;Y84)</f>
        <v>$(P):</v>
      </c>
      <c r="AI84" s="25" t="str">
        <f>IF(ISNUMBER(Z84),Z84,"$(P)"&amp;$AE$1&amp;":"&amp;Z84)</f>
        <v>$(P):</v>
      </c>
      <c r="AJ84" s="25"/>
      <c r="AK84" s="12" t="str">
        <f>IF(AC84="map",IF(G84="float",y_varMapAnalog,IF(G84="int",y_varMapLongint,IF(G84="bool",y_varMapBool,IF(G84="string",y_varMapString,IF(G84="option",y_varMapOption,"#unknown Type"))))),IF(AC84="nmp",y_nonMappedAnalog,""))</f>
        <v/>
      </c>
      <c r="AL84" s="12" t="e">
        <f>VLOOKUP(G84,y_mapProtocolLUT,3)</f>
        <v>#N/A</v>
      </c>
      <c r="AM84" s="12" t="e">
        <f>VLOOKUP(G84,y_mapProtocolLUT,2)</f>
        <v>#N/A</v>
      </c>
      <c r="AN84" s="25" t="e">
        <f>IF(LEN(AG84)&gt;0,SUBSTITUTE(SUBSTITUTE(SUBSTITUTE(AK84,"$(DTYP)",y_DTYPE),"$(SETPROTO)",AM84),"$(GETPROTO)",AL84),"")</f>
        <v>#N/A</v>
      </c>
      <c r="AO84" s="25" t="str">
        <f>IFERROR(SUBSTITUTE(SUBSTITUTE(SUBSTITUTE(SUBSTITUTE(SUBSTITUTE(SUBSTITUTE(SUBSTITUTE(SUBSTITUTE(SUBSTITUTE(AN84,"$(Q)",AE84),"$(EGU)",K84),"$(PREC)",N84),"$(VAR)",TRIM(CLEAN(y_dedicatedCS&amp;F84))),"$(GetSB)",AH84),"$(SetSB)",AI84),"$(DESC)",LEFT(I84,40)),"$(ENUMS)",AJ84),"$(DEFAULT)",H84),"")</f>
        <v/>
      </c>
      <c r="AP84" s="25" t="str">
        <f>IF(ISNUMBER(W84),SUBSTITUTE(SUBSTITUTE(SUBSTITUTE(SUBSTITUTE(SUBSTITUTE(SUBSTITUTE(SUBSTITUTE(SUBSTITUTE(y_QLabel &amp; IF(RIGHT(R84)="s",y_QELineEdit,y_QELabel),"~PVNAME",$AE84&amp;IF($AC84="map","","")),"~EGU",$K84),"~PREC",$N84),"~VAR",$F84),"~CANGET",$AH84),"~CANSET",$AI84),"~ROW",W84),"~NAME",$E84),"")</f>
        <v/>
      </c>
      <c r="AQ84" s="25" t="str">
        <f>IF(ISNUMBER(X84),SUBSTITUTE(SUBSTITUTE(SUBSTITUTE(SUBSTITUTE(SUBSTITUTE(SUBSTITUTE(SUBSTITUTE(SUBSTITUTE(y_QLabel &amp; IF(RIGHT(S84)="s",y_QELineEdit,y_QELabel),"~PVNAME",$AE84&amp;IF($AC84="map",":RBV","")),"~EGU",$K84),"~PREC",$N84),"~VAR",$F84),"~CANGET",$AH84),"~CANSET",$AI84),"~ROW",X84),"~NAME",$E84),"")</f>
        <v/>
      </c>
      <c r="AR84" s="25" t="e">
        <f>VLOOKUP(G84,y_EPICS_Formats,2,FALSE)</f>
        <v>#N/A</v>
      </c>
      <c r="AS84" s="25" t="str">
        <f>IF(AB84="epics",y_Prefix&amp;AE84&amp;" = ","")</f>
        <v/>
      </c>
      <c r="AT84" s="25" t="str">
        <f>IF(LEN(P84&amp;Q84)&gt;0,IFERROR(";"&amp;I84&amp;"["&amp;K84&amp;"]"&amp;AB84&amp;"("&amp;AC84&amp;")"&amp;CHAR(10)&amp;C84 &amp;CHAR(9)&amp;AG84&amp;CHAR(9)&amp;F84 &amp;CHAR(9),";;Error!"),"")</f>
        <v xml:space="preserve">;Pmac internal variable[]()
#define	ptau	P2073	</v>
      </c>
      <c r="AU84" s="25" t="str">
        <f>IF(IFERROR(AND(AA84&gt;0,LEN(AN84)&gt;0),FALSE),SUBSTITUTE(SUBSTITUTE(SUBSTITUTE(y_archiverXML,"~PVNAME",AE84),"~PREFIX",y_Prefix),"~PERIOD",MIN(30,AA84)),"")</f>
        <v/>
      </c>
      <c r="AV84" s="11" t="str">
        <f>IF($AB84="epics",AV$1-LEN(AE84),"")</f>
        <v/>
      </c>
      <c r="AW84" s="11" t="str">
        <f>IF($AB84="epics",AW$1-LEN(AH84),"")</f>
        <v/>
      </c>
      <c r="AX84" s="11" t="str">
        <f>IF($AB84="epics",AX$1-LEN(AI84),"")</f>
        <v/>
      </c>
      <c r="AY84" s="11" t="str">
        <f>IF($AB84="epics",AY$1-LEN(I84)-LEN(" readback"),"")</f>
        <v/>
      </c>
      <c r="AZ84" s="12">
        <f>IF(LEN(F84)&gt;0,IFERROR(VALUE(RIGHT(F84,LEN(F84)-1)),F84),"zzzzz")</f>
        <v>2073</v>
      </c>
      <c r="BA84" s="12">
        <f>IFERROR(VALUE(RIGHT(F84,LEN(F84)-1)),F84)</f>
        <v>2073</v>
      </c>
      <c r="BB84" s="22" t="str">
        <f>y_Prefix&amp;AE84</f>
        <v>SR05ID01FST01:P_TAU</v>
      </c>
    </row>
    <row r="85" spans="1:54" ht="15.75" customHeight="1" x14ac:dyDescent="0.25">
      <c r="A85" s="22">
        <v>81</v>
      </c>
      <c r="B85" s="23"/>
      <c r="C85" s="30" t="str">
        <f>IF(AND(ISBLANK(P85),ISBLANK(Q85)),";","#define")</f>
        <v>#define</v>
      </c>
      <c r="D85" s="28"/>
      <c r="E85" s="22" t="s">
        <v>685</v>
      </c>
      <c r="F85" s="10" t="s">
        <v>686</v>
      </c>
      <c r="G85" s="10"/>
      <c r="H85" s="10"/>
      <c r="I85" s="61" t="s">
        <v>624</v>
      </c>
      <c r="J85" s="10" t="s">
        <v>625</v>
      </c>
      <c r="K85" s="10"/>
      <c r="L85" s="10"/>
      <c r="M85" s="10"/>
      <c r="N85" s="10"/>
      <c r="O85" s="15"/>
      <c r="P85" s="49" t="s">
        <v>365</v>
      </c>
      <c r="Q85" s="49"/>
      <c r="R85" s="49"/>
      <c r="S85" s="49"/>
      <c r="T85" s="49"/>
      <c r="U85" s="49"/>
      <c r="V85" s="49"/>
      <c r="AB85" s="55" t="str">
        <f>IF(LEN(R85&amp;S85&amp;T85&amp;U85&amp;V85)&gt;0,"epics","")</f>
        <v/>
      </c>
      <c r="AC85" s="52" t="str">
        <f>IF(NOT(ISBLANK(V85)),"base",IF(AB85="epics",IF(AND(ISBLANK(P85),ISBLANK(Q85)),"nmp","map"),""))</f>
        <v/>
      </c>
      <c r="AD85" s="27" t="str">
        <f>UPPER(AD$1&amp;":"&amp;D85)</f>
        <v>:</v>
      </c>
      <c r="AE85" s="25" t="str">
        <f>UPPER(AE$1&amp;":"&amp;E85)</f>
        <v>:P_X0</v>
      </c>
      <c r="AF85" s="27" t="str">
        <f>SUBSTITUTE(D85,"_","")</f>
        <v/>
      </c>
      <c r="AG85" s="25" t="str">
        <f>SUBSTITUTE(E85,"_","")&amp;IF(AND(RIGHT(P85)&lt;&gt;"s",RIGHT(Q85)&lt;&gt;"s"),"","")</f>
        <v>pX0</v>
      </c>
      <c r="AH85" s="25" t="str">
        <f>IF(ISNUMBER(Y85),Y85,"$(P)"&amp;$AE$1&amp;":"&amp;Y85)</f>
        <v>$(P):</v>
      </c>
      <c r="AI85" s="25" t="str">
        <f>IF(ISNUMBER(Z85),Z85,"$(P)"&amp;$AE$1&amp;":"&amp;Z85)</f>
        <v>$(P):</v>
      </c>
      <c r="AJ85" s="25"/>
      <c r="AK85" s="12" t="str">
        <f>IF(AC85="map",IF(G85="float",y_varMapAnalog,IF(G85="int",y_varMapLongint,IF(G85="bool",y_varMapBool,IF(G85="string",y_varMapString,IF(G85="option",y_varMapOption,"#unknown Type"))))),IF(AC85="nmp",y_nonMappedAnalog,""))</f>
        <v/>
      </c>
      <c r="AL85" s="12" t="e">
        <f>VLOOKUP(G85,y_mapProtocolLUT,3)</f>
        <v>#N/A</v>
      </c>
      <c r="AM85" s="12" t="e">
        <f>VLOOKUP(G85,y_mapProtocolLUT,2)</f>
        <v>#N/A</v>
      </c>
      <c r="AN85" s="25" t="e">
        <f>IF(LEN(AG85)&gt;0,SUBSTITUTE(SUBSTITUTE(SUBSTITUTE(AK85,"$(DTYP)",y_DTYPE),"$(SETPROTO)",AM85),"$(GETPROTO)",AL85),"")</f>
        <v>#N/A</v>
      </c>
      <c r="AO85" s="25" t="str">
        <f>IFERROR(SUBSTITUTE(SUBSTITUTE(SUBSTITUTE(SUBSTITUTE(SUBSTITUTE(SUBSTITUTE(SUBSTITUTE(SUBSTITUTE(SUBSTITUTE(AN85,"$(Q)",AE85),"$(EGU)",K85),"$(PREC)",N85),"$(VAR)",TRIM(CLEAN(y_dedicatedCS&amp;F85))),"$(GetSB)",AH85),"$(SetSB)",AI85),"$(DESC)",LEFT(I85,40)),"$(ENUMS)",AJ85),"$(DEFAULT)",H85),"")</f>
        <v/>
      </c>
      <c r="AP85" s="25" t="str">
        <f>IF(ISNUMBER(W85),SUBSTITUTE(SUBSTITUTE(SUBSTITUTE(SUBSTITUTE(SUBSTITUTE(SUBSTITUTE(SUBSTITUTE(SUBSTITUTE(y_QLabel &amp; IF(RIGHT(R85)="s",y_QELineEdit,y_QELabel),"~PVNAME",$AE85&amp;IF($AC85="map","","")),"~EGU",$K85),"~PREC",$N85),"~VAR",$F85),"~CANGET",$AH85),"~CANSET",$AI85),"~ROW",W85),"~NAME",$E85),"")</f>
        <v/>
      </c>
      <c r="AQ85" s="25" t="str">
        <f>IF(ISNUMBER(X85),SUBSTITUTE(SUBSTITUTE(SUBSTITUTE(SUBSTITUTE(SUBSTITUTE(SUBSTITUTE(SUBSTITUTE(SUBSTITUTE(y_QLabel &amp; IF(RIGHT(S85)="s",y_QELineEdit,y_QELabel),"~PVNAME",$AE85&amp;IF($AC85="map",":RBV","")),"~EGU",$K85),"~PREC",$N85),"~VAR",$F85),"~CANGET",$AH85),"~CANSET",$AI85),"~ROW",X85),"~NAME",$E85),"")</f>
        <v/>
      </c>
      <c r="AR85" s="25" t="e">
        <f>VLOOKUP(G85,y_EPICS_Formats,2,FALSE)</f>
        <v>#N/A</v>
      </c>
      <c r="AS85" s="25" t="str">
        <f>IF(AB85="epics",y_Prefix&amp;AE85&amp;" = ","")</f>
        <v/>
      </c>
      <c r="AT85" s="25" t="str">
        <f>IF(LEN(P85&amp;Q85)&gt;0,IFERROR(";"&amp;I85&amp;"["&amp;K85&amp;"]"&amp;AB85&amp;"("&amp;AC85&amp;")"&amp;CHAR(10)&amp;C85 &amp;CHAR(9)&amp;AG85&amp;CHAR(9)&amp;F85 &amp;CHAR(9),";;Error!"),"")</f>
        <v xml:space="preserve">;Pmac internal variable[]()
#define	pX0	P2058	</v>
      </c>
      <c r="AU85" s="25" t="str">
        <f>IF(IFERROR(AND(AA85&gt;0,LEN(AN85)&gt;0),FALSE),SUBSTITUTE(SUBSTITUTE(SUBSTITUTE(y_archiverXML,"~PVNAME",AE85),"~PREFIX",y_Prefix),"~PERIOD",MIN(30,AA85)),"")</f>
        <v/>
      </c>
      <c r="AV85" s="11" t="str">
        <f>IF($AB85="epics",AV$1-LEN(AE85),"")</f>
        <v/>
      </c>
      <c r="AW85" s="11" t="str">
        <f>IF($AB85="epics",AW$1-LEN(AH85),"")</f>
        <v/>
      </c>
      <c r="AX85" s="11" t="str">
        <f>IF($AB85="epics",AX$1-LEN(AI85),"")</f>
        <v/>
      </c>
      <c r="AY85" s="11" t="str">
        <f>IF($AB85="epics",AY$1-LEN(I85)-LEN(" readback"),"")</f>
        <v/>
      </c>
      <c r="AZ85" s="12">
        <f>IF(LEN(F85)&gt;0,IFERROR(VALUE(RIGHT(F85,LEN(F85)-1)),F85),"zzzzz")</f>
        <v>2058</v>
      </c>
      <c r="BA85" s="12">
        <f>IFERROR(VALUE(RIGHT(F85,LEN(F85)-1)),F85)</f>
        <v>2058</v>
      </c>
      <c r="BB85" s="22" t="str">
        <f>y_Prefix&amp;AE85</f>
        <v>SR05ID01FST01:P_X0</v>
      </c>
    </row>
    <row r="86" spans="1:54" ht="15.75" customHeight="1" x14ac:dyDescent="0.25">
      <c r="A86" s="22">
        <v>82</v>
      </c>
      <c r="B86" s="23"/>
      <c r="C86" s="30" t="str">
        <f>IF(AND(ISBLANK(P86),ISBLANK(Q86)),";","#define")</f>
        <v>#define</v>
      </c>
      <c r="D86" s="28"/>
      <c r="E86" s="22" t="s">
        <v>687</v>
      </c>
      <c r="F86" s="10" t="s">
        <v>688</v>
      </c>
      <c r="G86" s="10"/>
      <c r="H86" s="10"/>
      <c r="I86" s="61" t="s">
        <v>624</v>
      </c>
      <c r="J86" s="10" t="s">
        <v>625</v>
      </c>
      <c r="K86" s="10"/>
      <c r="L86" s="10"/>
      <c r="M86" s="10"/>
      <c r="N86" s="10"/>
      <c r="O86" s="15"/>
      <c r="P86" s="49" t="s">
        <v>365</v>
      </c>
      <c r="Q86" s="49"/>
      <c r="R86" s="49"/>
      <c r="S86" s="49"/>
      <c r="T86" s="49"/>
      <c r="U86" s="49"/>
      <c r="V86" s="49"/>
      <c r="AB86" s="55" t="str">
        <f>IF(LEN(R86&amp;S86&amp;T86&amp;U86&amp;V86)&gt;0,"epics","")</f>
        <v/>
      </c>
      <c r="AC86" s="52" t="str">
        <f>IF(NOT(ISBLANK(V86)),"base",IF(AB86="epics",IF(AND(ISBLANK(P86),ISBLANK(Q86)),"nmp","map"),""))</f>
        <v/>
      </c>
      <c r="AD86" s="27" t="str">
        <f>UPPER(AD$1&amp;":"&amp;D86)</f>
        <v>:</v>
      </c>
      <c r="AE86" s="25" t="str">
        <f>UPPER(AE$1&amp;":"&amp;E86)</f>
        <v>:P_X1</v>
      </c>
      <c r="AF86" s="27" t="str">
        <f>SUBSTITUTE(D86,"_","")</f>
        <v/>
      </c>
      <c r="AG86" s="25" t="str">
        <f>SUBSTITUTE(E86,"_","")&amp;IF(AND(RIGHT(P86)&lt;&gt;"s",RIGHT(Q86)&lt;&gt;"s"),"","")</f>
        <v>pX1</v>
      </c>
      <c r="AH86" s="25" t="str">
        <f>IF(ISNUMBER(Y86),Y86,"$(P)"&amp;$AE$1&amp;":"&amp;Y86)</f>
        <v>$(P):</v>
      </c>
      <c r="AI86" s="25" t="str">
        <f>IF(ISNUMBER(Z86),Z86,"$(P)"&amp;$AE$1&amp;":"&amp;Z86)</f>
        <v>$(P):</v>
      </c>
      <c r="AJ86" s="25"/>
      <c r="AK86" s="12" t="str">
        <f>IF(AC86="map",IF(G86="float",y_varMapAnalog,IF(G86="int",y_varMapLongint,IF(G86="bool",y_varMapBool,IF(G86="string",y_varMapString,IF(G86="option",y_varMapOption,"#unknown Type"))))),IF(AC86="nmp",y_nonMappedAnalog,""))</f>
        <v/>
      </c>
      <c r="AL86" s="12" t="e">
        <f>VLOOKUP(G86,y_mapProtocolLUT,3)</f>
        <v>#N/A</v>
      </c>
      <c r="AM86" s="12" t="e">
        <f>VLOOKUP(G86,y_mapProtocolLUT,2)</f>
        <v>#N/A</v>
      </c>
      <c r="AN86" s="25" t="e">
        <f>IF(LEN(AG86)&gt;0,SUBSTITUTE(SUBSTITUTE(SUBSTITUTE(AK86,"$(DTYP)",y_DTYPE),"$(SETPROTO)",AM86),"$(GETPROTO)",AL86),"")</f>
        <v>#N/A</v>
      </c>
      <c r="AO86" s="25" t="str">
        <f>IFERROR(SUBSTITUTE(SUBSTITUTE(SUBSTITUTE(SUBSTITUTE(SUBSTITUTE(SUBSTITUTE(SUBSTITUTE(SUBSTITUTE(SUBSTITUTE(AN86,"$(Q)",AE86),"$(EGU)",K86),"$(PREC)",N86),"$(VAR)",TRIM(CLEAN(y_dedicatedCS&amp;F86))),"$(GetSB)",AH86),"$(SetSB)",AI86),"$(DESC)",LEFT(I86,40)),"$(ENUMS)",AJ86),"$(DEFAULT)",H86),"")</f>
        <v/>
      </c>
      <c r="AP86" s="25" t="str">
        <f>IF(ISNUMBER(W86),SUBSTITUTE(SUBSTITUTE(SUBSTITUTE(SUBSTITUTE(SUBSTITUTE(SUBSTITUTE(SUBSTITUTE(SUBSTITUTE(y_QLabel &amp; IF(RIGHT(R86)="s",y_QELineEdit,y_QELabel),"~PVNAME",$AE86&amp;IF($AC86="map","","")),"~EGU",$K86),"~PREC",$N86),"~VAR",$F86),"~CANGET",$AH86),"~CANSET",$AI86),"~ROW",W86),"~NAME",$E86),"")</f>
        <v/>
      </c>
      <c r="AQ86" s="25" t="str">
        <f>IF(ISNUMBER(X86),SUBSTITUTE(SUBSTITUTE(SUBSTITUTE(SUBSTITUTE(SUBSTITUTE(SUBSTITUTE(SUBSTITUTE(SUBSTITUTE(y_QLabel &amp; IF(RIGHT(S86)="s",y_QELineEdit,y_QELabel),"~PVNAME",$AE86&amp;IF($AC86="map",":RBV","")),"~EGU",$K86),"~PREC",$N86),"~VAR",$F86),"~CANGET",$AH86),"~CANSET",$AI86),"~ROW",X86),"~NAME",$E86),"")</f>
        <v/>
      </c>
      <c r="AR86" s="25" t="e">
        <f>VLOOKUP(G86,y_EPICS_Formats,2,FALSE)</f>
        <v>#N/A</v>
      </c>
      <c r="AS86" s="25" t="str">
        <f>IF(AB86="epics",y_Prefix&amp;AE86&amp;" = ","")</f>
        <v/>
      </c>
      <c r="AT86" s="25" t="str">
        <f>IF(LEN(P86&amp;Q86)&gt;0,IFERROR(";"&amp;I86&amp;"["&amp;K86&amp;"]"&amp;AB86&amp;"("&amp;AC86&amp;")"&amp;CHAR(10)&amp;C86 &amp;CHAR(9)&amp;AG86&amp;CHAR(9)&amp;F86 &amp;CHAR(9),";;Error!"),"")</f>
        <v xml:space="preserve">;Pmac internal variable[]()
#define	pX1	P2059	</v>
      </c>
      <c r="AU86" s="25" t="str">
        <f>IF(IFERROR(AND(AA86&gt;0,LEN(AN86)&gt;0),FALSE),SUBSTITUTE(SUBSTITUTE(SUBSTITUTE(y_archiverXML,"~PVNAME",AE86),"~PREFIX",y_Prefix),"~PERIOD",MIN(30,AA86)),"")</f>
        <v/>
      </c>
      <c r="AV86" s="11" t="str">
        <f>IF($AB86="epics",AV$1-LEN(AE86),"")</f>
        <v/>
      </c>
      <c r="AW86" s="11" t="str">
        <f>IF($AB86="epics",AW$1-LEN(AH86),"")</f>
        <v/>
      </c>
      <c r="AX86" s="11" t="str">
        <f>IF($AB86="epics",AX$1-LEN(AI86),"")</f>
        <v/>
      </c>
      <c r="AY86" s="11" t="str">
        <f>IF($AB86="epics",AY$1-LEN(I86)-LEN(" readback"),"")</f>
        <v/>
      </c>
      <c r="AZ86" s="12">
        <f>IF(LEN(F86)&gt;0,IFERROR(VALUE(RIGHT(F86,LEN(F86)-1)),F86),"zzzzz")</f>
        <v>2059</v>
      </c>
      <c r="BA86" s="12">
        <f>IFERROR(VALUE(RIGHT(F86,LEN(F86)-1)),F86)</f>
        <v>2059</v>
      </c>
      <c r="BB86" s="22" t="str">
        <f>y_Prefix&amp;AE86</f>
        <v>SR05ID01FST01:P_X1</v>
      </c>
    </row>
    <row r="87" spans="1:54" ht="15.75" customHeight="1" x14ac:dyDescent="0.25">
      <c r="A87" s="22">
        <v>83</v>
      </c>
      <c r="B87" s="23"/>
      <c r="C87" s="30" t="str">
        <f>IF(AND(ISBLANK(P87),ISBLANK(Q87)),";","#define")</f>
        <v>#define</v>
      </c>
      <c r="D87" s="29"/>
      <c r="E87" s="24" t="s">
        <v>689</v>
      </c>
      <c r="F87" s="10" t="s">
        <v>690</v>
      </c>
      <c r="G87" s="10"/>
      <c r="H87" s="10"/>
      <c r="I87" s="61" t="s">
        <v>624</v>
      </c>
      <c r="J87" s="10" t="s">
        <v>625</v>
      </c>
      <c r="K87" s="10"/>
      <c r="L87" s="10"/>
      <c r="M87" s="10"/>
      <c r="N87" s="10"/>
      <c r="O87" s="15"/>
      <c r="P87" s="49" t="s">
        <v>365</v>
      </c>
      <c r="Q87" s="49"/>
      <c r="R87" s="49"/>
      <c r="S87" s="49"/>
      <c r="T87" s="49"/>
      <c r="U87" s="49"/>
      <c r="V87" s="49"/>
      <c r="AB87" s="55" t="str">
        <f>IF(LEN(R87&amp;S87&amp;T87&amp;U87&amp;V87)&gt;0,"epics","")</f>
        <v/>
      </c>
      <c r="AC87" s="52" t="str">
        <f>IF(NOT(ISBLANK(V87)),"base",IF(AB87="epics",IF(AND(ISBLANK(P87),ISBLANK(Q87)),"nmp","map"),""))</f>
        <v/>
      </c>
      <c r="AD87" s="27" t="str">
        <f>UPPER(AD$1&amp;":"&amp;D87)</f>
        <v>:</v>
      </c>
      <c r="AE87" s="25" t="str">
        <f>UPPER(AE$1&amp;":"&amp;E87)</f>
        <v>:P_Y0</v>
      </c>
      <c r="AF87" s="27" t="str">
        <f>SUBSTITUTE(D87,"_","")</f>
        <v/>
      </c>
      <c r="AG87" s="25" t="str">
        <f>SUBSTITUTE(E87,"_","")&amp;IF(AND(RIGHT(P87)&lt;&gt;"s",RIGHT(Q87)&lt;&gt;"s"),"","")</f>
        <v>pY0</v>
      </c>
      <c r="AH87" s="25" t="str">
        <f>IF(ISNUMBER(Y87),Y87,"$(P)"&amp;$AE$1&amp;":"&amp;Y87)</f>
        <v>$(P):</v>
      </c>
      <c r="AI87" s="25" t="str">
        <f>IF(ISNUMBER(Z87),Z87,"$(P)"&amp;$AE$1&amp;":"&amp;Z87)</f>
        <v>$(P):</v>
      </c>
      <c r="AJ87" s="25"/>
      <c r="AK87" s="12" t="str">
        <f>IF(AC87="map",IF(G87="float",y_varMapAnalog,IF(G87="int",y_varMapLongint,IF(G87="bool",y_varMapBool,IF(G87="string",y_varMapString,IF(G87="option",y_varMapOption,"#unknown Type"))))),IF(AC87="nmp",y_nonMappedAnalog,""))</f>
        <v/>
      </c>
      <c r="AL87" s="12" t="e">
        <f>VLOOKUP(G87,y_mapProtocolLUT,3)</f>
        <v>#N/A</v>
      </c>
      <c r="AM87" s="12" t="e">
        <f>VLOOKUP(G87,y_mapProtocolLUT,2)</f>
        <v>#N/A</v>
      </c>
      <c r="AN87" s="25" t="e">
        <f>IF(LEN(AG87)&gt;0,SUBSTITUTE(SUBSTITUTE(SUBSTITUTE(AK87,"$(DTYP)",y_DTYPE),"$(SETPROTO)",AM87),"$(GETPROTO)",AL87),"")</f>
        <v>#N/A</v>
      </c>
      <c r="AO87" s="25" t="str">
        <f>IFERROR(SUBSTITUTE(SUBSTITUTE(SUBSTITUTE(SUBSTITUTE(SUBSTITUTE(SUBSTITUTE(SUBSTITUTE(SUBSTITUTE(SUBSTITUTE(AN87,"$(Q)",AE87),"$(EGU)",K87),"$(PREC)",N87),"$(VAR)",TRIM(CLEAN(y_dedicatedCS&amp;F87))),"$(GetSB)",AH87),"$(SetSB)",AI87),"$(DESC)",LEFT(I87,40)),"$(ENUMS)",AJ87),"$(DEFAULT)",H87),"")</f>
        <v/>
      </c>
      <c r="AP87" s="25" t="str">
        <f>IF(ISNUMBER(W87),SUBSTITUTE(SUBSTITUTE(SUBSTITUTE(SUBSTITUTE(SUBSTITUTE(SUBSTITUTE(SUBSTITUTE(SUBSTITUTE(y_QLabel &amp; IF(RIGHT(R87)="s",y_QELineEdit,y_QELabel),"~PVNAME",$AE87&amp;IF($AC87="map","","")),"~EGU",$K87),"~PREC",$N87),"~VAR",$F87),"~CANGET",$AH87),"~CANSET",$AI87),"~ROW",W87),"~NAME",$E87),"")</f>
        <v/>
      </c>
      <c r="AQ87" s="25" t="str">
        <f>IF(ISNUMBER(X87),SUBSTITUTE(SUBSTITUTE(SUBSTITUTE(SUBSTITUTE(SUBSTITUTE(SUBSTITUTE(SUBSTITUTE(SUBSTITUTE(y_QLabel &amp; IF(RIGHT(S87)="s",y_QELineEdit,y_QELabel),"~PVNAME",$AE87&amp;IF($AC87="map",":RBV","")),"~EGU",$K87),"~PREC",$N87),"~VAR",$F87),"~CANGET",$AH87),"~CANSET",$AI87),"~ROW",X87),"~NAME",$E87),"")</f>
        <v/>
      </c>
      <c r="AR87" s="25" t="e">
        <f>VLOOKUP(G87,y_EPICS_Formats,2,FALSE)</f>
        <v>#N/A</v>
      </c>
      <c r="AS87" s="25" t="str">
        <f>IF(AB87="epics",y_Prefix&amp;AE87&amp;" = ","")</f>
        <v/>
      </c>
      <c r="AT87" s="25" t="str">
        <f>IF(LEN(P87&amp;Q87)&gt;0,IFERROR(";"&amp;I87&amp;"["&amp;K87&amp;"]"&amp;AB87&amp;"("&amp;AC87&amp;")"&amp;CHAR(10)&amp;C87 &amp;CHAR(9)&amp;AG87&amp;CHAR(9)&amp;F87 &amp;CHAR(9),";;Error!"),"")</f>
        <v xml:space="preserve">;Pmac internal variable[]()
#define	pY0	P2068	</v>
      </c>
      <c r="AU87" s="25" t="str">
        <f>IF(IFERROR(AND(AA87&gt;0,LEN(AN87)&gt;0),FALSE),SUBSTITUTE(SUBSTITUTE(SUBSTITUTE(y_archiverXML,"~PVNAME",AE87),"~PREFIX",y_Prefix),"~PERIOD",MIN(30,AA87)),"")</f>
        <v/>
      </c>
      <c r="AV87" s="11" t="str">
        <f>IF($AB87="epics",AV$1-LEN(AE87),"")</f>
        <v/>
      </c>
      <c r="AW87" s="11" t="str">
        <f>IF($AB87="epics",AW$1-LEN(AH87),"")</f>
        <v/>
      </c>
      <c r="AX87" s="11" t="str">
        <f>IF($AB87="epics",AX$1-LEN(AI87),"")</f>
        <v/>
      </c>
      <c r="AY87" s="11" t="str">
        <f>IF($AB87="epics",AY$1-LEN(I87)-LEN(" readback"),"")</f>
        <v/>
      </c>
      <c r="AZ87" s="12">
        <f>IF(LEN(F87)&gt;0,IFERROR(VALUE(RIGHT(F87,LEN(F87)-1)),F87),"zzzzz")</f>
        <v>2068</v>
      </c>
      <c r="BA87" s="12">
        <f>IFERROR(VALUE(RIGHT(F87,LEN(F87)-1)),F87)</f>
        <v>2068</v>
      </c>
      <c r="BB87" s="22" t="str">
        <f>y_Prefix&amp;AE87</f>
        <v>SR05ID01FST01:P_Y0</v>
      </c>
    </row>
    <row r="88" spans="1:54" ht="15.75" customHeight="1" x14ac:dyDescent="0.25">
      <c r="A88" s="22">
        <v>84</v>
      </c>
      <c r="B88" s="23"/>
      <c r="C88" s="30" t="str">
        <f>IF(AND(ISBLANK(P88),ISBLANK(Q88)),";","#define")</f>
        <v>#define</v>
      </c>
      <c r="D88" s="29"/>
      <c r="E88" s="26" t="s">
        <v>691</v>
      </c>
      <c r="F88" s="10" t="s">
        <v>692</v>
      </c>
      <c r="G88" s="10"/>
      <c r="H88" s="10"/>
      <c r="I88" s="61" t="s">
        <v>624</v>
      </c>
      <c r="J88" s="10" t="s">
        <v>625</v>
      </c>
      <c r="K88" s="10"/>
      <c r="L88" s="10"/>
      <c r="M88" s="10"/>
      <c r="N88" s="10"/>
      <c r="O88" s="15"/>
      <c r="P88" s="49" t="s">
        <v>365</v>
      </c>
      <c r="Q88" s="49"/>
      <c r="R88" s="49"/>
      <c r="S88" s="49"/>
      <c r="T88" s="49"/>
      <c r="U88" s="49"/>
      <c r="V88" s="49"/>
      <c r="AB88" s="55" t="str">
        <f>IF(LEN(R88&amp;S88&amp;T88&amp;U88&amp;V88)&gt;0,"epics","")</f>
        <v/>
      </c>
      <c r="AC88" s="52" t="str">
        <f>IF(NOT(ISBLANK(V88)),"base",IF(AB88="epics",IF(AND(ISBLANK(P88),ISBLANK(Q88)),"nmp","map"),""))</f>
        <v/>
      </c>
      <c r="AD88" s="27" t="str">
        <f>UPPER(AD$1&amp;":"&amp;D88)</f>
        <v>:</v>
      </c>
      <c r="AE88" s="25" t="str">
        <f>UPPER(AE$1&amp;":"&amp;E88)</f>
        <v>:P_Y1</v>
      </c>
      <c r="AF88" s="27" t="str">
        <f>SUBSTITUTE(D88,"_","")</f>
        <v/>
      </c>
      <c r="AG88" s="25" t="str">
        <f>SUBSTITUTE(E88,"_","")&amp;IF(AND(RIGHT(P88)&lt;&gt;"s",RIGHT(Q88)&lt;&gt;"s"),"","")</f>
        <v>pY1</v>
      </c>
      <c r="AH88" s="25" t="str">
        <f>IF(ISNUMBER(Y88),Y88,"$(P)"&amp;$AE$1&amp;":"&amp;Y88)</f>
        <v>$(P):</v>
      </c>
      <c r="AI88" s="25" t="str">
        <f>IF(ISNUMBER(Z88),Z88,"$(P)"&amp;$AE$1&amp;":"&amp;Z88)</f>
        <v>$(P):</v>
      </c>
      <c r="AJ88" s="25"/>
      <c r="AK88" s="12" t="str">
        <f>IF(AC88="map",IF(G88="float",y_varMapAnalog,IF(G88="int",y_varMapLongint,IF(G88="bool",y_varMapBool,IF(G88="string",y_varMapString,IF(G88="option",y_varMapOption,"#unknown Type"))))),IF(AC88="nmp",y_nonMappedAnalog,""))</f>
        <v/>
      </c>
      <c r="AL88" s="12" t="e">
        <f>VLOOKUP(G88,y_mapProtocolLUT,3)</f>
        <v>#N/A</v>
      </c>
      <c r="AM88" s="12" t="e">
        <f>VLOOKUP(G88,y_mapProtocolLUT,2)</f>
        <v>#N/A</v>
      </c>
      <c r="AN88" s="25" t="e">
        <f>IF(LEN(AG88)&gt;0,SUBSTITUTE(SUBSTITUTE(SUBSTITUTE(AK88,"$(DTYP)",y_DTYPE),"$(SETPROTO)",AM88),"$(GETPROTO)",AL88),"")</f>
        <v>#N/A</v>
      </c>
      <c r="AO88" s="25" t="str">
        <f>IFERROR(SUBSTITUTE(SUBSTITUTE(SUBSTITUTE(SUBSTITUTE(SUBSTITUTE(SUBSTITUTE(SUBSTITUTE(SUBSTITUTE(SUBSTITUTE(AN88,"$(Q)",AE88),"$(EGU)",K88),"$(PREC)",N88),"$(VAR)",TRIM(CLEAN(y_dedicatedCS&amp;F88))),"$(GetSB)",AH88),"$(SetSB)",AI88),"$(DESC)",LEFT(I88,40)),"$(ENUMS)",AJ88),"$(DEFAULT)",H88),"")</f>
        <v/>
      </c>
      <c r="AP88" s="25" t="str">
        <f>IF(ISNUMBER(W88),SUBSTITUTE(SUBSTITUTE(SUBSTITUTE(SUBSTITUTE(SUBSTITUTE(SUBSTITUTE(SUBSTITUTE(SUBSTITUTE(y_QLabel &amp; IF(RIGHT(R88)="s",y_QELineEdit,y_QELabel),"~PVNAME",$AE88&amp;IF($AC88="map","","")),"~EGU",$K88),"~PREC",$N88),"~VAR",$F88),"~CANGET",$AH88),"~CANSET",$AI88),"~ROW",W88),"~NAME",$E88),"")</f>
        <v/>
      </c>
      <c r="AQ88" s="25" t="str">
        <f>IF(ISNUMBER(X88),SUBSTITUTE(SUBSTITUTE(SUBSTITUTE(SUBSTITUTE(SUBSTITUTE(SUBSTITUTE(SUBSTITUTE(SUBSTITUTE(y_QLabel &amp; IF(RIGHT(S88)="s",y_QELineEdit,y_QELabel),"~PVNAME",$AE88&amp;IF($AC88="map",":RBV","")),"~EGU",$K88),"~PREC",$N88),"~VAR",$F88),"~CANGET",$AH88),"~CANSET",$AI88),"~ROW",X88),"~NAME",$E88),"")</f>
        <v/>
      </c>
      <c r="AR88" s="25" t="e">
        <f>VLOOKUP(G88,y_EPICS_Formats,2,FALSE)</f>
        <v>#N/A</v>
      </c>
      <c r="AS88" s="25" t="str">
        <f>IF(AB88="epics",y_Prefix&amp;AE88&amp;" = ","")</f>
        <v/>
      </c>
      <c r="AT88" s="25" t="str">
        <f>IF(LEN(P88&amp;Q88)&gt;0,IFERROR(";"&amp;I88&amp;"["&amp;K88&amp;"]"&amp;AB88&amp;"("&amp;AC88&amp;")"&amp;CHAR(10)&amp;C88 &amp;CHAR(9)&amp;AG88&amp;CHAR(9)&amp;F88 &amp;CHAR(9),";;Error!"),"")</f>
        <v xml:space="preserve">;Pmac internal variable[]()
#define	pY1	P2069	</v>
      </c>
      <c r="AU88" s="25" t="str">
        <f>IF(IFERROR(AND(AA88&gt;0,LEN(AN88)&gt;0),FALSE),SUBSTITUTE(SUBSTITUTE(SUBSTITUTE(y_archiverXML,"~PVNAME",AE88),"~PREFIX",y_Prefix),"~PERIOD",MIN(30,AA88)),"")</f>
        <v/>
      </c>
      <c r="AV88" s="11" t="str">
        <f>IF($AB88="epics",AV$1-LEN(AE88),"")</f>
        <v/>
      </c>
      <c r="AW88" s="11" t="str">
        <f>IF($AB88="epics",AW$1-LEN(AH88),"")</f>
        <v/>
      </c>
      <c r="AX88" s="11" t="str">
        <f>IF($AB88="epics",AX$1-LEN(AI88),"")</f>
        <v/>
      </c>
      <c r="AY88" s="11" t="str">
        <f>IF($AB88="epics",AY$1-LEN(I88)-LEN(" readback"),"")</f>
        <v/>
      </c>
      <c r="AZ88" s="12">
        <f>IF(LEN(F88)&gt;0,IFERROR(VALUE(RIGHT(F88,LEN(F88)-1)),F88),"zzzzz")</f>
        <v>2069</v>
      </c>
      <c r="BA88" s="12">
        <f>IFERROR(VALUE(RIGHT(F88,LEN(F88)-1)),F88)</f>
        <v>2069</v>
      </c>
      <c r="BB88" s="22" t="str">
        <f>y_Prefix&amp;AE88</f>
        <v>SR05ID01FST01:P_Y1</v>
      </c>
    </row>
    <row r="89" spans="1:54" ht="15.75" customHeight="1" x14ac:dyDescent="0.25">
      <c r="A89" s="22">
        <v>85</v>
      </c>
      <c r="B89" s="23"/>
      <c r="C89" s="30" t="str">
        <f>IF(AND(ISBLANK(P89),ISBLANK(Q89)),";","#define")</f>
        <v>;</v>
      </c>
      <c r="D89" s="29"/>
      <c r="E89" s="24" t="s">
        <v>775</v>
      </c>
      <c r="F89" s="10" t="s">
        <v>621</v>
      </c>
      <c r="G89" s="10"/>
      <c r="H89" s="10"/>
      <c r="I89" s="61" t="s">
        <v>791</v>
      </c>
      <c r="J89" s="10" t="s">
        <v>693</v>
      </c>
      <c r="K89" s="10"/>
      <c r="L89" s="10"/>
      <c r="M89" s="10"/>
      <c r="N89" s="10"/>
      <c r="O89" s="15"/>
      <c r="P89" s="49"/>
      <c r="Q89" s="49"/>
      <c r="R89" s="49"/>
      <c r="S89" s="49"/>
      <c r="T89" s="49"/>
      <c r="U89" s="49"/>
      <c r="V89" s="49" t="s">
        <v>365</v>
      </c>
      <c r="AB89" s="55" t="str">
        <f>IF(LEN(R89&amp;S89&amp;T89&amp;U89&amp;V89)&gt;0,"epics","")</f>
        <v>epics</v>
      </c>
      <c r="AC89" s="52" t="str">
        <f>IF(NOT(ISBLANK(V89)),"base",IF(AB89="epics",IF(AND(ISBLANK(P89),ISBLANK(Q89)),"nmp","map"),""))</f>
        <v>base</v>
      </c>
      <c r="AD89" s="27" t="str">
        <f>UPPER(AD$1&amp;":"&amp;D89)</f>
        <v>:</v>
      </c>
      <c r="AE89" s="25" t="str">
        <f>UPPER(AE$1&amp;":"&amp;E89)</f>
        <v>:EN_ALWAYS</v>
      </c>
      <c r="AF89" s="27" t="str">
        <f>SUBSTITUTE(D89,"_","")</f>
        <v/>
      </c>
      <c r="AG89" s="25" t="str">
        <f>SUBSTITUTE(E89,"_","")&amp;IF(AND(RIGHT(P89)&lt;&gt;"s",RIGHT(Q89)&lt;&gt;"s"),"","")</f>
        <v>enAlways</v>
      </c>
      <c r="AH89" s="25" t="str">
        <f>IF(ISNUMBER(Y89),Y89,"$(P)"&amp;$AE$1&amp;":"&amp;Y89)</f>
        <v>$(P):</v>
      </c>
      <c r="AI89" s="25" t="str">
        <f>IF(ISNUMBER(Z89),Z89,"$(P)"&amp;$AE$1&amp;":"&amp;Z89)</f>
        <v>$(P):</v>
      </c>
      <c r="AJ89" s="25"/>
      <c r="AK89" s="12" t="str">
        <f>IF(AC89="map",IF(G89="float",y_varMapAnalog,IF(G89="int",y_varMapLongint,IF(G89="bool",y_varMapBool,IF(G89="string",y_varMapString,IF(G89="option",y_varMapOption,"#unknown Type"))))),IF(AC89="nmp",y_nonMappedAnalog,""))</f>
        <v/>
      </c>
      <c r="AL89" s="12" t="e">
        <f>VLOOKUP(G89,y_mapProtocolLUT,3)</f>
        <v>#N/A</v>
      </c>
      <c r="AM89" s="12" t="e">
        <f>VLOOKUP(G89,y_mapProtocolLUT,2)</f>
        <v>#N/A</v>
      </c>
      <c r="AN89" s="25" t="e">
        <f>IF(LEN(AG89)&gt;0,SUBSTITUTE(SUBSTITUTE(SUBSTITUTE(AK89,"$(DTYP)",y_DTYPE),"$(SETPROTO)",AM89),"$(GETPROTO)",AL89),"")</f>
        <v>#N/A</v>
      </c>
      <c r="AO89" s="25" t="str">
        <f>IFERROR(SUBSTITUTE(SUBSTITUTE(SUBSTITUTE(SUBSTITUTE(SUBSTITUTE(SUBSTITUTE(SUBSTITUTE(SUBSTITUTE(SUBSTITUTE(AN89,"$(Q)",AE89),"$(EGU)",K89),"$(PREC)",N89),"$(VAR)",TRIM(CLEAN(y_dedicatedCS&amp;F89))),"$(GetSB)",AH89),"$(SetSB)",AI89),"$(DESC)",LEFT(I89,40)),"$(ENUMS)",AJ89),"$(DEFAULT)",H89),"")</f>
        <v/>
      </c>
      <c r="AP89" s="25" t="str">
        <f>IF(ISNUMBER(W89),SUBSTITUTE(SUBSTITUTE(SUBSTITUTE(SUBSTITUTE(SUBSTITUTE(SUBSTITUTE(SUBSTITUTE(SUBSTITUTE(y_QLabel &amp; IF(RIGHT(R89)="s",y_QELineEdit,y_QELabel),"~PVNAME",$AE89&amp;IF($AC89="map","","")),"~EGU",$K89),"~PREC",$N89),"~VAR",$F89),"~CANGET",$AH89),"~CANSET",$AI89),"~ROW",W89),"~NAME",$E89),"")</f>
        <v/>
      </c>
      <c r="AQ89" s="25" t="str">
        <f>IF(ISNUMBER(X89),SUBSTITUTE(SUBSTITUTE(SUBSTITUTE(SUBSTITUTE(SUBSTITUTE(SUBSTITUTE(SUBSTITUTE(SUBSTITUTE(y_QLabel &amp; IF(RIGHT(S89)="s",y_QELineEdit,y_QELabel),"~PVNAME",$AE89&amp;IF($AC89="map",":RBV","")),"~EGU",$K89),"~PREC",$N89),"~VAR",$F89),"~CANGET",$AH89),"~CANSET",$AI89),"~ROW",X89),"~NAME",$E89),"")</f>
        <v/>
      </c>
      <c r="AR89" s="25" t="e">
        <f>VLOOKUP(G89,y_EPICS_Formats,2,FALSE)</f>
        <v>#N/A</v>
      </c>
      <c r="AS89" s="25" t="str">
        <f>IF(AB89="epics",y_Prefix&amp;AE89&amp;" = ","")</f>
        <v xml:space="preserve">SR05ID01FST01:EN_ALWAYS = </v>
      </c>
      <c r="AT89" s="25" t="str">
        <f>IF(LEN(P89&amp;Q89)&gt;0,IFERROR(";"&amp;I89&amp;"["&amp;K89&amp;"]"&amp;AB89&amp;"("&amp;AC89&amp;")"&amp;CHAR(10)&amp;C89 &amp;CHAR(9)&amp;AG89&amp;CHAR(9)&amp;F89 &amp;CHAR(9),";;Error!"),"")</f>
        <v/>
      </c>
      <c r="AU89" s="25" t="str">
        <f>IF(IFERROR(AND(AA89&gt;0,LEN(AN89)&gt;0),FALSE),SUBSTITUTE(SUBSTITUTE(SUBSTITUTE(y_archiverXML,"~PVNAME",AE89),"~PREFIX",y_Prefix),"~PERIOD",MIN(30,AA89)),"")</f>
        <v/>
      </c>
      <c r="AV89" s="11">
        <f>IF($AB89="epics",AV$1-LEN(AE89),"")</f>
        <v>9</v>
      </c>
      <c r="AW89" s="11">
        <f>IF($AB89="epics",AW$1-LEN(AH89),"")</f>
        <v>19</v>
      </c>
      <c r="AX89" s="11">
        <f>IF($AB89="epics",AX$1-LEN(AI89),"")</f>
        <v>19</v>
      </c>
      <c r="AY89" s="11">
        <f>IF($AB89="epics",AY$1-LEN(I89)-LEN(" readback"),"")</f>
        <v>11</v>
      </c>
      <c r="AZ89" s="12" t="str">
        <f>IF(LEN(F89)&gt;0,IFERROR(VALUE(RIGHT(F89,LEN(F89)-1)),F89),"zzzzz")</f>
        <v>x</v>
      </c>
      <c r="BA89" s="12" t="str">
        <f>IFERROR(VALUE(RIGHT(F89,LEN(F89)-1)),F89)</f>
        <v>x</v>
      </c>
      <c r="BB89" s="22" t="str">
        <f>y_Prefix&amp;AE89</f>
        <v>SR05ID01FST01:EN_ALWAYS</v>
      </c>
    </row>
    <row r="90" spans="1:54" ht="15.75" customHeight="1" x14ac:dyDescent="0.25">
      <c r="A90" s="22">
        <v>86</v>
      </c>
      <c r="B90" s="23"/>
      <c r="C90" s="30" t="str">
        <f>IF(AND(ISBLANK(P90),ISBLANK(Q90)),";","#define")</f>
        <v>#define</v>
      </c>
      <c r="D90" s="9"/>
      <c r="E90" s="24" t="s">
        <v>694</v>
      </c>
      <c r="F90" s="10">
        <v>0</v>
      </c>
      <c r="G90" s="10"/>
      <c r="H90" s="10">
        <v>0</v>
      </c>
      <c r="I90" s="61"/>
      <c r="J90" s="10" t="s">
        <v>625</v>
      </c>
      <c r="K90" s="10"/>
      <c r="L90" s="10"/>
      <c r="M90" s="10"/>
      <c r="N90" s="10"/>
      <c r="O90" s="15"/>
      <c r="P90" s="49" t="s">
        <v>365</v>
      </c>
      <c r="Q90" s="49"/>
      <c r="R90" s="49"/>
      <c r="S90" s="49"/>
      <c r="T90" s="49"/>
      <c r="U90" s="49"/>
      <c r="V90" s="49"/>
      <c r="AB90" s="55" t="str">
        <f>IF(LEN(R90&amp;S90&amp;T90&amp;U90&amp;V90)&gt;0,"epics","")</f>
        <v/>
      </c>
      <c r="AC90" s="52" t="str">
        <f>IF(NOT(ISBLANK(V90)),"base",IF(AB90="epics",IF(AND(ISBLANK(P90),ISBLANK(Q90)),"nmp","map"),""))</f>
        <v/>
      </c>
      <c r="AD90" s="27" t="str">
        <f>UPPER(AD$1&amp;":"&amp;D90)</f>
        <v>:</v>
      </c>
      <c r="AE90" s="25" t="str">
        <f>UPPER(AE$1&amp;":"&amp;E90)</f>
        <v>:ST_BLANK</v>
      </c>
      <c r="AF90" s="27" t="str">
        <f>SUBSTITUTE(D90,"_","")</f>
        <v/>
      </c>
      <c r="AG90" s="25" t="str">
        <f>SUBSTITUTE(E90,"_","")&amp;IF(AND(RIGHT(P90)&lt;&gt;"s",RIGHT(Q90)&lt;&gt;"s"),"","")</f>
        <v>stBlank</v>
      </c>
      <c r="AH90" s="25" t="str">
        <f>IF(ISNUMBER(Y90),Y90,"$(P)"&amp;$AE$1&amp;":"&amp;Y90)</f>
        <v>$(P):</v>
      </c>
      <c r="AI90" s="25" t="str">
        <f>IF(ISNUMBER(Z90),Z90,"$(P)"&amp;$AE$1&amp;":"&amp;Z90)</f>
        <v>$(P):</v>
      </c>
      <c r="AJ90" s="25"/>
      <c r="AK90" s="12" t="str">
        <f>IF(AC90="map",IF(G90="float",y_varMapAnalog,IF(G90="int",y_varMapLongint,IF(G90="bool",y_varMapBool,IF(G90="string",y_varMapString,IF(G90="option",y_varMapOption,"#unknown Type"))))),IF(AC90="nmp",y_nonMappedAnalog,""))</f>
        <v/>
      </c>
      <c r="AL90" s="12" t="e">
        <f>VLOOKUP(G90,y_mapProtocolLUT,3)</f>
        <v>#N/A</v>
      </c>
      <c r="AM90" s="12" t="e">
        <f>VLOOKUP(G90,y_mapProtocolLUT,2)</f>
        <v>#N/A</v>
      </c>
      <c r="AN90" s="25" t="e">
        <f>IF(LEN(AG90)&gt;0,SUBSTITUTE(SUBSTITUTE(SUBSTITUTE(AK90,"$(DTYP)",y_DTYPE),"$(SETPROTO)",AM90),"$(GETPROTO)",AL90),"")</f>
        <v>#N/A</v>
      </c>
      <c r="AO90" s="25" t="str">
        <f>IFERROR(SUBSTITUTE(SUBSTITUTE(SUBSTITUTE(SUBSTITUTE(SUBSTITUTE(SUBSTITUTE(SUBSTITUTE(SUBSTITUTE(SUBSTITUTE(AN90,"$(Q)",AE90),"$(EGU)",K90),"$(PREC)",N90),"$(VAR)",TRIM(CLEAN(y_dedicatedCS&amp;F90))),"$(GetSB)",AH90),"$(SetSB)",AI90),"$(DESC)",LEFT(I90,40)),"$(ENUMS)",AJ90),"$(DEFAULT)",H90),"")</f>
        <v/>
      </c>
      <c r="AP90" s="25" t="str">
        <f>IF(ISNUMBER(W90),SUBSTITUTE(SUBSTITUTE(SUBSTITUTE(SUBSTITUTE(SUBSTITUTE(SUBSTITUTE(SUBSTITUTE(SUBSTITUTE(y_QLabel &amp; IF(RIGHT(R90)="s",y_QELineEdit,y_QELabel),"~PVNAME",$AE90&amp;IF($AC90="map","","")),"~EGU",$K90),"~PREC",$N90),"~VAR",$F90),"~CANGET",$AH90),"~CANSET",$AI90),"~ROW",W90),"~NAME",$E90),"")</f>
        <v/>
      </c>
      <c r="AQ90" s="25" t="str">
        <f>IF(ISNUMBER(X90),SUBSTITUTE(SUBSTITUTE(SUBSTITUTE(SUBSTITUTE(SUBSTITUTE(SUBSTITUTE(SUBSTITUTE(SUBSTITUTE(y_QLabel &amp; IF(RIGHT(S90)="s",y_QELineEdit,y_QELabel),"~PVNAME",$AE90&amp;IF($AC90="map",":RBV","")),"~EGU",$K90),"~PREC",$N90),"~VAR",$F90),"~CANGET",$AH90),"~CANSET",$AI90),"~ROW",X90),"~NAME",$E90),"")</f>
        <v/>
      </c>
      <c r="AR90" s="25" t="e">
        <f>VLOOKUP(G90,y_EPICS_Formats,2,FALSE)</f>
        <v>#N/A</v>
      </c>
      <c r="AS90" s="25" t="str">
        <f>IF(AB90="epics",y_Prefix&amp;AE90&amp;" = ","")</f>
        <v/>
      </c>
      <c r="AT90" s="25" t="str">
        <f>IF(LEN(P90&amp;Q90)&gt;0,IFERROR(";"&amp;I90&amp;"["&amp;K90&amp;"]"&amp;AB90&amp;"("&amp;AC90&amp;")"&amp;CHAR(10)&amp;C90 &amp;CHAR(9)&amp;AG90&amp;CHAR(9)&amp;F90 &amp;CHAR(9),";;Error!"),"")</f>
        <v xml:space="preserve">;[]()
#define	stBlank	0	</v>
      </c>
      <c r="AU90" s="25" t="str">
        <f>IF(IFERROR(AND(AA90&gt;0,LEN(AN90)&gt;0),FALSE),SUBSTITUTE(SUBSTITUTE(SUBSTITUTE(y_archiverXML,"~PVNAME",AE90),"~PREFIX",y_Prefix),"~PERIOD",MIN(30,AA90)),"")</f>
        <v/>
      </c>
      <c r="AV90" s="11" t="str">
        <f>IF($AB90="epics",AV$1-LEN(AE90),"")</f>
        <v/>
      </c>
      <c r="AW90" s="11" t="str">
        <f>IF($AB90="epics",AW$1-LEN(AH90),"")</f>
        <v/>
      </c>
      <c r="AX90" s="11" t="str">
        <f>IF($AB90="epics",AX$1-LEN(AI90),"")</f>
        <v/>
      </c>
      <c r="AY90" s="11" t="str">
        <f>IF($AB90="epics",AY$1-LEN(I90)-LEN(" readback"),"")</f>
        <v/>
      </c>
      <c r="AZ90" s="12">
        <f>IF(LEN(F90)&gt;0,IFERROR(VALUE(RIGHT(F90,LEN(F90)-1)),F90),"zzzzz")</f>
        <v>0</v>
      </c>
      <c r="BA90" s="12">
        <f>IFERROR(VALUE(RIGHT(F90,LEN(F90)-1)),F90)</f>
        <v>0</v>
      </c>
      <c r="BB90" s="22" t="str">
        <f>y_Prefix&amp;AE90</f>
        <v>SR05ID01FST01:ST_BLANK</v>
      </c>
    </row>
    <row r="91" spans="1:54" ht="15.75" customHeight="1" x14ac:dyDescent="0.25">
      <c r="A91" s="22">
        <v>87</v>
      </c>
      <c r="B91" s="23"/>
      <c r="C91" s="30" t="str">
        <f>IF(AND(ISBLANK(P91),ISBLANK(Q91)),";","#define")</f>
        <v>#define</v>
      </c>
      <c r="D91" s="9"/>
      <c r="E91" s="24" t="s">
        <v>773</v>
      </c>
      <c r="F91" s="10">
        <v>3</v>
      </c>
      <c r="G91" s="10"/>
      <c r="H91" s="10">
        <v>3</v>
      </c>
      <c r="I91" s="61" t="s">
        <v>774</v>
      </c>
      <c r="J91" s="10" t="s">
        <v>625</v>
      </c>
      <c r="K91" s="10"/>
      <c r="L91" s="10"/>
      <c r="M91" s="10"/>
      <c r="N91" s="10"/>
      <c r="O91" s="15"/>
      <c r="P91" s="49" t="s">
        <v>365</v>
      </c>
      <c r="Q91" s="49"/>
      <c r="R91" s="49"/>
      <c r="S91" s="49"/>
      <c r="T91" s="49"/>
      <c r="U91" s="49"/>
      <c r="V91" s="49"/>
      <c r="AB91" s="55" t="str">
        <f>IF(LEN(R91&amp;S91&amp;T91&amp;U91&amp;V91)&gt;0,"epics","")</f>
        <v/>
      </c>
      <c r="AC91" s="52" t="str">
        <f>IF(NOT(ISBLANK(V91)),"base",IF(AB91="epics",IF(AND(ISBLANK(P91),ISBLANK(Q91)),"nmp","map"),""))</f>
        <v/>
      </c>
      <c r="AD91" s="27" t="str">
        <f>UPPER(AD$1&amp;":"&amp;D91)</f>
        <v>:</v>
      </c>
      <c r="AE91" s="25" t="str">
        <f>UPPER(AE$1&amp;":"&amp;E91)</f>
        <v>:ST_COMPILED</v>
      </c>
      <c r="AF91" s="27" t="str">
        <f>SUBSTITUTE(D91,"_","")</f>
        <v/>
      </c>
      <c r="AG91" s="25" t="str">
        <f>SUBSTITUTE(E91,"_","")&amp;IF(AND(RIGHT(P91)&lt;&gt;"s",RIGHT(Q91)&lt;&gt;"s"),"","")</f>
        <v>stCompiled</v>
      </c>
      <c r="AH91" s="25" t="str">
        <f>IF(ISNUMBER(Y91),Y91,"$(P)"&amp;$AE$1&amp;":"&amp;Y91)</f>
        <v>$(P):</v>
      </c>
      <c r="AI91" s="25" t="str">
        <f>IF(ISNUMBER(Z91),Z91,"$(P)"&amp;$AE$1&amp;":"&amp;Z91)</f>
        <v>$(P):</v>
      </c>
      <c r="AJ91" s="25"/>
      <c r="AK91" s="12" t="str">
        <f>IF(AC91="map",IF(G91="float",y_varMapAnalog,IF(G91="int",y_varMapLongint,IF(G91="bool",y_varMapBool,IF(G91="string",y_varMapString,IF(G91="option",y_varMapOption,"#unknown Type"))))),IF(AC91="nmp",y_nonMappedAnalog,""))</f>
        <v/>
      </c>
      <c r="AL91" s="12" t="e">
        <f>VLOOKUP(G91,y_mapProtocolLUT,3)</f>
        <v>#N/A</v>
      </c>
      <c r="AM91" s="12" t="e">
        <f>VLOOKUP(G91,y_mapProtocolLUT,2)</f>
        <v>#N/A</v>
      </c>
      <c r="AN91" s="25" t="e">
        <f>IF(LEN(AG91)&gt;0,SUBSTITUTE(SUBSTITUTE(SUBSTITUTE(AK91,"$(DTYP)",y_DTYPE),"$(SETPROTO)",AM91),"$(GETPROTO)",AL91),"")</f>
        <v>#N/A</v>
      </c>
      <c r="AO91" s="25" t="str">
        <f>IFERROR(SUBSTITUTE(SUBSTITUTE(SUBSTITUTE(SUBSTITUTE(SUBSTITUTE(SUBSTITUTE(SUBSTITUTE(SUBSTITUTE(SUBSTITUTE(AN91,"$(Q)",AE91),"$(EGU)",K91),"$(PREC)",N91),"$(VAR)",TRIM(CLEAN(y_dedicatedCS&amp;F91))),"$(GetSB)",AH91),"$(SetSB)",AI91),"$(DESC)",LEFT(I91,40)),"$(ENUMS)",AJ91),"$(DEFAULT)",H91),"")</f>
        <v/>
      </c>
      <c r="AP91" s="25" t="str">
        <f>IF(ISNUMBER(W91),SUBSTITUTE(SUBSTITUTE(SUBSTITUTE(SUBSTITUTE(SUBSTITUTE(SUBSTITUTE(SUBSTITUTE(SUBSTITUTE(y_QLabel &amp; IF(RIGHT(R91)="s",y_QELineEdit,y_QELabel),"~PVNAME",$AE91&amp;IF($AC91="map","","")),"~EGU",$K91),"~PREC",$N91),"~VAR",$F91),"~CANGET",$AH91),"~CANSET",$AI91),"~ROW",W91),"~NAME",$E91),"")</f>
        <v/>
      </c>
      <c r="AQ91" s="25" t="str">
        <f>IF(ISNUMBER(X91),SUBSTITUTE(SUBSTITUTE(SUBSTITUTE(SUBSTITUTE(SUBSTITUTE(SUBSTITUTE(SUBSTITUTE(SUBSTITUTE(y_QLabel &amp; IF(RIGHT(S91)="s",y_QELineEdit,y_QELabel),"~PVNAME",$AE91&amp;IF($AC91="map",":RBV","")),"~EGU",$K91),"~PREC",$N91),"~VAR",$F91),"~CANGET",$AH91),"~CANSET",$AI91),"~ROW",X91),"~NAME",$E91),"")</f>
        <v/>
      </c>
      <c r="AR91" s="25" t="e">
        <f>VLOOKUP(G91,y_EPICS_Formats,2,FALSE)</f>
        <v>#N/A</v>
      </c>
      <c r="AS91" s="25" t="str">
        <f>IF(AB91="epics",y_Prefix&amp;AE91&amp;" = ","")</f>
        <v/>
      </c>
      <c r="AT91" s="25" t="str">
        <f>IF(LEN(P91&amp;Q91)&gt;0,IFERROR(";"&amp;I91&amp;"["&amp;K91&amp;"]"&amp;AB91&amp;"("&amp;AC91&amp;")"&amp;CHAR(10)&amp;C91 &amp;CHAR(9)&amp;AG91&amp;CHAR(9)&amp;F91 &amp;CHAR(9),";;Error!"),"")</f>
        <v xml:space="preserve">;Rascan trajectiory compiled and verified[]()
#define	stCompiled	3	</v>
      </c>
      <c r="AU91" s="25" t="str">
        <f>IF(IFERROR(AND(AA91&gt;0,LEN(AN91)&gt;0),FALSE),SUBSTITUTE(SUBSTITUTE(SUBSTITUTE(y_archiverXML,"~PVNAME",AE91),"~PREFIX",y_Prefix),"~PERIOD",MIN(30,AA91)),"")</f>
        <v/>
      </c>
      <c r="AV91" s="11" t="str">
        <f>IF($AB91="epics",AV$1-LEN(AE91),"")</f>
        <v/>
      </c>
      <c r="AW91" s="11" t="str">
        <f>IF($AB91="epics",AW$1-LEN(AH91),"")</f>
        <v/>
      </c>
      <c r="AX91" s="11" t="str">
        <f>IF($AB91="epics",AX$1-LEN(AI91),"")</f>
        <v/>
      </c>
      <c r="AY91" s="11" t="str">
        <f>IF($AB91="epics",AY$1-LEN(I91)-LEN(" readback"),"")</f>
        <v/>
      </c>
      <c r="AZ91" s="12">
        <f>IF(LEN(F91)&gt;0,IFERROR(VALUE(RIGHT(F91,LEN(F91)-1)),F91),"zzzzz")</f>
        <v>3</v>
      </c>
      <c r="BA91" s="12">
        <f>IFERROR(VALUE(RIGHT(F91,LEN(F91)-1)),F91)</f>
        <v>3</v>
      </c>
      <c r="BB91" s="22" t="str">
        <f>y_Prefix&amp;AE91</f>
        <v>SR05ID01FST01:ST_COMPILED</v>
      </c>
    </row>
    <row r="92" spans="1:54" ht="15.75" customHeight="1" x14ac:dyDescent="0.25">
      <c r="A92" s="22">
        <v>88</v>
      </c>
      <c r="B92" s="23"/>
      <c r="C92" s="30" t="str">
        <f>IF(AND(ISBLANK(P92),ISBLANK(Q92)),";","#define")</f>
        <v>;</v>
      </c>
      <c r="D92" s="29"/>
      <c r="E92" s="24" t="s">
        <v>783</v>
      </c>
      <c r="F92" s="10" t="s">
        <v>621</v>
      </c>
      <c r="G92" s="10"/>
      <c r="H92" s="10"/>
      <c r="I92" s="61" t="s">
        <v>793</v>
      </c>
      <c r="J92" s="10" t="s">
        <v>693</v>
      </c>
      <c r="K92" s="10"/>
      <c r="L92" s="10"/>
      <c r="M92" s="10"/>
      <c r="N92" s="10"/>
      <c r="O92" s="15"/>
      <c r="P92" s="49"/>
      <c r="Q92" s="49"/>
      <c r="R92" s="49"/>
      <c r="S92" s="49"/>
      <c r="T92" s="49"/>
      <c r="U92" s="49"/>
      <c r="V92" s="49" t="s">
        <v>365</v>
      </c>
      <c r="X92" s="98">
        <v>13</v>
      </c>
      <c r="AB92" s="55" t="str">
        <f>IF(LEN(R92&amp;S92&amp;T92&amp;U92&amp;V92)&gt;0,"epics","")</f>
        <v>epics</v>
      </c>
      <c r="AC92" s="52" t="str">
        <f>IF(NOT(ISBLANK(V92)),"base",IF(AB92="epics",IF(AND(ISBLANK(P92),ISBLANK(Q92)),"nmp","map"),""))</f>
        <v>base</v>
      </c>
      <c r="AD92" s="27" t="str">
        <f>UPPER(AD$1&amp;":"&amp;D92)</f>
        <v>:</v>
      </c>
      <c r="AE92" s="25" t="str">
        <f>UPPER(AE$1&amp;":"&amp;E92)</f>
        <v>:EN_CSSETUP</v>
      </c>
      <c r="AF92" s="27" t="str">
        <f>SUBSTITUTE(D92,"_","")</f>
        <v/>
      </c>
      <c r="AG92" s="25" t="str">
        <f>SUBSTITUTE(E92,"_","")&amp;IF(AND(RIGHT(P92)&lt;&gt;"s",RIGHT(Q92)&lt;&gt;"s"),"","")</f>
        <v>enCSSetup</v>
      </c>
      <c r="AH92" s="25" t="str">
        <f>IF(ISNUMBER(Y92),Y92,"$(P)"&amp;$AE$1&amp;":"&amp;Y92)</f>
        <v>$(P):</v>
      </c>
      <c r="AI92" s="25" t="str">
        <f>IF(ISNUMBER(Z92),Z92,"$(P)"&amp;$AE$1&amp;":"&amp;Z92)</f>
        <v>$(P):</v>
      </c>
      <c r="AJ92" s="25"/>
      <c r="AK92" s="12" t="str">
        <f>IF(AC92="map",IF(G92="float",y_varMapAnalog,IF(G92="int",y_varMapLongint,IF(G92="bool",y_varMapBool,IF(G92="string",y_varMapString,IF(G92="option",y_varMapOption,"#unknown Type"))))),IF(AC92="nmp",y_nonMappedAnalog,""))</f>
        <v/>
      </c>
      <c r="AL92" s="12" t="e">
        <f>VLOOKUP(G92,y_mapProtocolLUT,3)</f>
        <v>#N/A</v>
      </c>
      <c r="AM92" s="12" t="e">
        <f>VLOOKUP(G92,y_mapProtocolLUT,2)</f>
        <v>#N/A</v>
      </c>
      <c r="AN92" s="25" t="e">
        <f>IF(LEN(AG92)&gt;0,SUBSTITUTE(SUBSTITUTE(SUBSTITUTE(AK92,"$(DTYP)",y_DTYPE),"$(SETPROTO)",AM92),"$(GETPROTO)",AL92),"")</f>
        <v>#N/A</v>
      </c>
      <c r="AO92" s="25" t="str">
        <f>IFERROR(SUBSTITUTE(SUBSTITUTE(SUBSTITUTE(SUBSTITUTE(SUBSTITUTE(SUBSTITUTE(SUBSTITUTE(SUBSTITUTE(SUBSTITUTE(AN92,"$(Q)",AE92),"$(EGU)",K92),"$(PREC)",N92),"$(VAR)",TRIM(CLEAN(y_dedicatedCS&amp;F92))),"$(GetSB)",AH92),"$(SetSB)",AI92),"$(DESC)",LEFT(I92,40)),"$(ENUMS)",AJ92),"$(DEFAULT)",H92),"")</f>
        <v/>
      </c>
      <c r="AP92" s="25" t="str">
        <f>IF(ISNUMBER(W92),SUBSTITUTE(SUBSTITUTE(SUBSTITUTE(SUBSTITUTE(SUBSTITUTE(SUBSTITUTE(SUBSTITUTE(SUBSTITUTE(y_QLabel &amp; IF(RIGHT(R92)="s",y_QELineEdit,y_QELabel),"~PVNAME",$AE92&amp;IF($AC92="map","","")),"~EGU",$K92),"~PREC",$N92),"~VAR",$F92),"~CANGET",$AH92),"~CANSET",$AI92),"~ROW",W92),"~NAME",$E92),"")</f>
        <v/>
      </c>
      <c r="AQ92" s="25" t="str">
        <f>IF(ISNUMBER(X92),SUBSTITUTE(SUBSTITUTE(SUBSTITUTE(SUBSTITUTE(SUBSTITUTE(SUBSTITUTE(SUBSTITUTE(SUBSTITUTE(y_QLabel &amp; IF(RIGHT(S92)="s",y_QELineEdit,y_QELabel),"~PVNAME",$AE92&amp;IF($AC92="map",":RBV","")),"~EGU",$K92),"~PREC",$N92),"~VAR",$F92),"~CANGET",$AH92),"~CANSET",$AI92),"~ROW",X92),"~NAME",$E92),"")</f>
        <v xml:space="preserve">&lt;item row="13" column="0"&gt;
         &lt;widget class="QLabel" name="L_en_CSSetup"&gt;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&lt;string&gt;en_CSSetup&lt;/string&gt;
          &lt;/property&gt;
          &lt;property name="margin"&gt;
           &lt;number&gt;3&lt;/number&gt;
          &lt;/property&gt;
         &lt;/widget&gt;
        &lt;/item&gt;
&lt;item row="13" column="1"&gt;
         &lt;widget class="QELabel" name="QL_en_CSSetup"&gt;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&lt;string&gt;$(P)$(R):EN_CSSETUP&lt;/string&gt;
          &lt;/property&gt;
         &lt;/widget&gt;
   &lt;/item&gt;
</v>
      </c>
      <c r="AR92" s="25" t="e">
        <f>VLOOKUP(G92,y_EPICS_Formats,2,FALSE)</f>
        <v>#N/A</v>
      </c>
      <c r="AS92" s="25" t="str">
        <f>IF(AB92="epics",y_Prefix&amp;AE92&amp;" = ","")</f>
        <v xml:space="preserve">SR05ID01FST01:EN_CSSETUP = </v>
      </c>
      <c r="AT92" s="25" t="str">
        <f>IF(LEN(P92&amp;Q92)&gt;0,IFERROR(";"&amp;I92&amp;"["&amp;K92&amp;"]"&amp;AB92&amp;"("&amp;AC92&amp;")"&amp;CHAR(10)&amp;C92 &amp;CHAR(9)&amp;AG92&amp;CHAR(9)&amp;F92 &amp;CHAR(9),";;Error!"),"")</f>
        <v/>
      </c>
      <c r="AU92" s="25" t="str">
        <f>IF(IFERROR(AND(AA92&gt;0,LEN(AN92)&gt;0),FALSE),SUBSTITUTE(SUBSTITUTE(SUBSTITUTE(y_archiverXML,"~PVNAME",AE92),"~PREFIX",y_Prefix),"~PERIOD",MIN(30,AA92)),"")</f>
        <v/>
      </c>
      <c r="AV92" s="11">
        <f>IF($AB92="epics",AV$1-LEN(AE92),"")</f>
        <v>8</v>
      </c>
      <c r="AW92" s="11">
        <f>IF($AB92="epics",AW$1-LEN(AH92),"")</f>
        <v>19</v>
      </c>
      <c r="AX92" s="11">
        <f>IF($AB92="epics",AX$1-LEN(AI92),"")</f>
        <v>19</v>
      </c>
      <c r="AY92" s="11">
        <f>IF($AB92="epics",AY$1-LEN(I92)-LEN(" readback"),"")</f>
        <v>15</v>
      </c>
      <c r="AZ92" s="12" t="str">
        <f>IF(LEN(F92)&gt;0,IFERROR(VALUE(RIGHT(F92,LEN(F92)-1)),F92),"zzzzz")</f>
        <v>x</v>
      </c>
      <c r="BA92" s="12" t="str">
        <f>IFERROR(VALUE(RIGHT(F92,LEN(F92)-1)),F92)</f>
        <v>x</v>
      </c>
      <c r="BB92" s="22" t="str">
        <f>y_Prefix&amp;AE92</f>
        <v>SR05ID01FST01:EN_CSSETUP</v>
      </c>
    </row>
    <row r="93" spans="1:54" s="22" customFormat="1" ht="15.75" customHeight="1" x14ac:dyDescent="0.25">
      <c r="A93" s="22">
        <v>88.1</v>
      </c>
      <c r="B93" s="23"/>
      <c r="C93" s="30" t="str">
        <f>IF(AND(ISBLANK(P93),ISBLANK(Q93)),";","#define")</f>
        <v>;</v>
      </c>
      <c r="D93" s="29"/>
      <c r="E93" s="24" t="s">
        <v>777</v>
      </c>
      <c r="F93" s="10" t="s">
        <v>621</v>
      </c>
      <c r="G93" s="10"/>
      <c r="H93" s="10"/>
      <c r="I93" s="61" t="s">
        <v>772</v>
      </c>
      <c r="J93" s="10" t="s">
        <v>693</v>
      </c>
      <c r="K93" s="10"/>
      <c r="L93" s="10"/>
      <c r="M93" s="10"/>
      <c r="N93" s="10"/>
      <c r="O93" s="15"/>
      <c r="P93" s="49"/>
      <c r="Q93" s="49"/>
      <c r="R93" s="49"/>
      <c r="S93" s="49"/>
      <c r="T93" s="49"/>
      <c r="U93" s="49"/>
      <c r="V93" s="49" t="s">
        <v>365</v>
      </c>
      <c r="W93" s="98"/>
      <c r="X93" s="98">
        <v>14</v>
      </c>
      <c r="Y93" s="31"/>
      <c r="Z93" s="31"/>
      <c r="AA93" s="31"/>
      <c r="AB93" s="55" t="str">
        <f>IF(LEN(R93&amp;S93&amp;T93&amp;U93&amp;V93)&gt;0,"epics","")</f>
        <v>epics</v>
      </c>
      <c r="AC93" s="52" t="str">
        <f>IF(NOT(ISBLANK(V93)),"base",IF(AB93="epics",IF(AND(ISBLANK(P93),ISBLANK(Q93)),"nmp","map"),""))</f>
        <v>base</v>
      </c>
      <c r="AD93" s="27" t="str">
        <f>UPPER(AD$1&amp;":"&amp;D93)</f>
        <v>:</v>
      </c>
      <c r="AE93" s="25" t="str">
        <f>UPPER(AE$1&amp;":"&amp;E93)</f>
        <v>:EN_DISARMED</v>
      </c>
      <c r="AF93" s="27" t="str">
        <f>SUBSTITUTE(D93,"_","")</f>
        <v/>
      </c>
      <c r="AG93" s="25" t="str">
        <f>SUBSTITUTE(E93,"_","")&amp;IF(AND(RIGHT(P93)&lt;&gt;"s",RIGHT(Q93)&lt;&gt;"s"),"","")</f>
        <v>enDisarmed</v>
      </c>
      <c r="AH93" s="25" t="str">
        <f>IF(ISNUMBER(Y93),Y93,"$(P)"&amp;$AE$1&amp;":"&amp;Y93)</f>
        <v>$(P):</v>
      </c>
      <c r="AI93" s="25" t="str">
        <f>IF(ISNUMBER(Z93),Z93,"$(P)"&amp;$AE$1&amp;":"&amp;Z93)</f>
        <v>$(P):</v>
      </c>
      <c r="AJ93" s="25"/>
      <c r="AK93" s="12" t="str">
        <f>IF(AC93="map",IF(G93="float",y_varMapAnalog,IF(G93="int",y_varMapLongint,IF(G93="bool",y_varMapBool,IF(G93="string",y_varMapString,IF(G93="option",y_varMapOption,"#unknown Type"))))),IF(AC93="nmp",y_nonMappedAnalog,""))</f>
        <v/>
      </c>
      <c r="AL93" s="12" t="e">
        <f>VLOOKUP(G93,y_mapProtocolLUT,3)</f>
        <v>#N/A</v>
      </c>
      <c r="AM93" s="12" t="e">
        <f>VLOOKUP(G93,y_mapProtocolLUT,2)</f>
        <v>#N/A</v>
      </c>
      <c r="AN93" s="25" t="e">
        <f>IF(LEN(AG93)&gt;0,SUBSTITUTE(SUBSTITUTE(SUBSTITUTE(AK93,"$(DTYP)",y_DTYPE),"$(SETPROTO)",AM93),"$(GETPROTO)",AL93),"")</f>
        <v>#N/A</v>
      </c>
      <c r="AO93" s="25" t="str">
        <f>IFERROR(SUBSTITUTE(SUBSTITUTE(SUBSTITUTE(SUBSTITUTE(SUBSTITUTE(SUBSTITUTE(SUBSTITUTE(SUBSTITUTE(SUBSTITUTE(AN93,"$(Q)",AE93),"$(EGU)",K93),"$(PREC)",N93),"$(VAR)",TRIM(CLEAN(y_dedicatedCS&amp;F93))),"$(GetSB)",AH93),"$(SetSB)",AI93),"$(DESC)",LEFT(I93,40)),"$(ENUMS)",AJ93),"$(DEFAULT)",H93),"")</f>
        <v/>
      </c>
      <c r="AP93" s="25" t="str">
        <f>IF(ISNUMBER(W93),SUBSTITUTE(SUBSTITUTE(SUBSTITUTE(SUBSTITUTE(SUBSTITUTE(SUBSTITUTE(SUBSTITUTE(SUBSTITUTE(y_QLabel &amp; IF(RIGHT(R93)="s",y_QELineEdit,y_QELabel),"~PVNAME",$AE93&amp;IF($AC93="map","","")),"~EGU",$K93),"~PREC",$N93),"~VAR",$F93),"~CANGET",$AH93),"~CANSET",$AI93),"~ROW",W93),"~NAME",$E93),"")</f>
        <v/>
      </c>
      <c r="AQ93" s="25" t="str">
        <f>IF(ISNUMBER(X93),SUBSTITUTE(SUBSTITUTE(SUBSTITUTE(SUBSTITUTE(SUBSTITUTE(SUBSTITUTE(SUBSTITUTE(SUBSTITUTE(y_QLabel &amp; IF(RIGHT(S93)="s",y_QELineEdit,y_QELabel),"~PVNAME",$AE93&amp;IF($AC93="map",":RBV","")),"~EGU",$K93),"~PREC",$N93),"~VAR",$F93),"~CANGET",$AH93),"~CANSET",$AI93),"~ROW",X93),"~NAME",$E93),"")</f>
        <v xml:space="preserve">&lt;item row="14" column="0"&gt;
         &lt;widget class="QLabel" name="L_en_Disarmed"&gt;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&lt;string&gt;en_Disarmed&lt;/string&gt;
          &lt;/property&gt;
          &lt;property name="margin"&gt;
           &lt;number&gt;3&lt;/number&gt;
          &lt;/property&gt;
         &lt;/widget&gt;
        &lt;/item&gt;
&lt;item row="14" column="1"&gt;
         &lt;widget class="QELabel" name="QL_en_Disarmed"&gt;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&lt;string&gt;$(P)$(R):EN_DISARMED&lt;/string&gt;
          &lt;/property&gt;
         &lt;/widget&gt;
   &lt;/item&gt;
</v>
      </c>
      <c r="AR93" s="25" t="e">
        <f>VLOOKUP(G93,y_EPICS_Formats,2,FALSE)</f>
        <v>#N/A</v>
      </c>
      <c r="AS93" s="25" t="str">
        <f>IF(AB93="epics",y_Prefix&amp;AE93&amp;" = ","")</f>
        <v xml:space="preserve">SR05ID01FST01:EN_DISARMED = </v>
      </c>
      <c r="AT93" s="25" t="str">
        <f>IF(LEN(P93&amp;Q93)&gt;0,IFERROR(";"&amp;I93&amp;"["&amp;K93&amp;"]"&amp;AB93&amp;"("&amp;AC93&amp;")"&amp;CHAR(10)&amp;C93 &amp;CHAR(9)&amp;AG93&amp;CHAR(9)&amp;F93 &amp;CHAR(9),";;Error!"),"")</f>
        <v/>
      </c>
      <c r="AU93" s="25" t="str">
        <f>IF(IFERROR(AND(AA93&gt;0,LEN(AN93)&gt;0),FALSE),SUBSTITUTE(SUBSTITUTE(SUBSTITUTE(y_archiverXML,"~PVNAME",AE93),"~PREFIX",y_Prefix),"~PERIOD",MIN(30,AA93)),"")</f>
        <v/>
      </c>
      <c r="AV93" s="11">
        <f>IF($AB93="epics",AV$1-LEN(AE93),"")</f>
        <v>7</v>
      </c>
      <c r="AW93" s="11">
        <f>IF($AB93="epics",AW$1-LEN(AH93),"")</f>
        <v>19</v>
      </c>
      <c r="AX93" s="11">
        <f>IF($AB93="epics",AX$1-LEN(AI93),"")</f>
        <v>19</v>
      </c>
      <c r="AY93" s="11">
        <f>IF($AB93="epics",AY$1-LEN(I93)-LEN(" readback"),"")</f>
        <v>0</v>
      </c>
      <c r="AZ93" s="12" t="str">
        <f>IF(LEN(F93)&gt;0,IFERROR(VALUE(RIGHT(F93,LEN(F93)-1)),F93),"zzzzz")</f>
        <v>x</v>
      </c>
      <c r="BA93" s="12" t="str">
        <f>IFERROR(VALUE(RIGHT(F93,LEN(F93)-1)),F93)</f>
        <v>x</v>
      </c>
      <c r="BB93" s="22" t="str">
        <f>y_Prefix&amp;AE93</f>
        <v>SR05ID01FST01:EN_DISARMED</v>
      </c>
    </row>
    <row r="94" spans="1:54" ht="15.75" customHeight="1" x14ac:dyDescent="0.25">
      <c r="A94" s="22">
        <v>89</v>
      </c>
      <c r="B94" s="23"/>
      <c r="C94" s="30" t="str">
        <f>IF(AND(ISBLANK(P94),ISBLANK(Q94)),";","#define")</f>
        <v>;</v>
      </c>
      <c r="D94" s="9"/>
      <c r="E94" s="24" t="s">
        <v>778</v>
      </c>
      <c r="F94" s="10" t="s">
        <v>621</v>
      </c>
      <c r="G94" s="10"/>
      <c r="H94" s="10"/>
      <c r="I94" s="61" t="s">
        <v>794</v>
      </c>
      <c r="J94" s="10" t="s">
        <v>693</v>
      </c>
      <c r="K94" s="10"/>
      <c r="L94" s="10"/>
      <c r="M94" s="10"/>
      <c r="N94" s="10"/>
      <c r="O94" s="15"/>
      <c r="P94" s="49"/>
      <c r="Q94" s="49"/>
      <c r="R94" s="49"/>
      <c r="S94" s="49"/>
      <c r="T94" s="49"/>
      <c r="U94" s="49"/>
      <c r="V94" s="49" t="s">
        <v>365</v>
      </c>
      <c r="X94" s="98">
        <v>15</v>
      </c>
      <c r="AB94" s="55" t="str">
        <f>IF(LEN(R94&amp;S94&amp;T94&amp;U94&amp;V94)&gt;0,"epics","")</f>
        <v>epics</v>
      </c>
      <c r="AC94" s="52" t="str">
        <f>IF(NOT(ISBLANK(V94)),"base",IF(AB94="epics",IF(AND(ISBLANK(P94),ISBLANK(Q94)),"nmp","map"),""))</f>
        <v>base</v>
      </c>
      <c r="AD94" s="27" t="str">
        <f>UPPER(AD$1&amp;":"&amp;D94)</f>
        <v>:</v>
      </c>
      <c r="AE94" s="25" t="str">
        <f>UPPER(AE$1&amp;":"&amp;E94)</f>
        <v>:EN_GLOBAL</v>
      </c>
      <c r="AF94" s="27" t="str">
        <f>SUBSTITUTE(D94,"_","")</f>
        <v/>
      </c>
      <c r="AG94" s="25" t="str">
        <f>SUBSTITUTE(E94,"_","")&amp;IF(AND(RIGHT(P94)&lt;&gt;"s",RIGHT(Q94)&lt;&gt;"s"),"","")</f>
        <v>enGlobal</v>
      </c>
      <c r="AH94" s="25" t="str">
        <f>IF(ISNUMBER(Y94),Y94,"$(P)"&amp;$AE$1&amp;":"&amp;Y94)</f>
        <v>$(P):</v>
      </c>
      <c r="AI94" s="25" t="str">
        <f>IF(ISNUMBER(Z94),Z94,"$(P)"&amp;$AE$1&amp;":"&amp;Z94)</f>
        <v>$(P):</v>
      </c>
      <c r="AJ94" s="25"/>
      <c r="AK94" s="12" t="str">
        <f>IF(AC94="map",IF(G94="float",y_varMapAnalog,IF(G94="int",y_varMapLongint,IF(G94="bool",y_varMapBool,IF(G94="string",y_varMapString,IF(G94="option",y_varMapOption,"#unknown Type"))))),IF(AC94="nmp",y_nonMappedAnalog,""))</f>
        <v/>
      </c>
      <c r="AL94" s="12" t="e">
        <f>VLOOKUP(G94,y_mapProtocolLUT,3)</f>
        <v>#N/A</v>
      </c>
      <c r="AM94" s="12" t="e">
        <f>VLOOKUP(G94,y_mapProtocolLUT,2)</f>
        <v>#N/A</v>
      </c>
      <c r="AN94" s="25" t="e">
        <f>IF(LEN(AG94)&gt;0,SUBSTITUTE(SUBSTITUTE(SUBSTITUTE(AK94,"$(DTYP)",y_DTYPE),"$(SETPROTO)",AM94),"$(GETPROTO)",AL94),"")</f>
        <v>#N/A</v>
      </c>
      <c r="AO94" s="25" t="str">
        <f>IFERROR(SUBSTITUTE(SUBSTITUTE(SUBSTITUTE(SUBSTITUTE(SUBSTITUTE(SUBSTITUTE(SUBSTITUTE(SUBSTITUTE(SUBSTITUTE(AN94,"$(Q)",AE94),"$(EGU)",K94),"$(PREC)",N94),"$(VAR)",TRIM(CLEAN(y_dedicatedCS&amp;F94))),"$(GetSB)",AH94),"$(SetSB)",AI94),"$(DESC)",LEFT(I94,40)),"$(ENUMS)",AJ94),"$(DEFAULT)",H94),"")</f>
        <v/>
      </c>
      <c r="AP94" s="25" t="str">
        <f>IF(ISNUMBER(W94),SUBSTITUTE(SUBSTITUTE(SUBSTITUTE(SUBSTITUTE(SUBSTITUTE(SUBSTITUTE(SUBSTITUTE(SUBSTITUTE(y_QLabel &amp; IF(RIGHT(R94)="s",y_QELineEdit,y_QELabel),"~PVNAME",$AE94&amp;IF($AC94="map","","")),"~EGU",$K94),"~PREC",$N94),"~VAR",$F94),"~CANGET",$AH94),"~CANSET",$AI94),"~ROW",W94),"~NAME",$E94),"")</f>
        <v/>
      </c>
      <c r="AQ94" s="25" t="str">
        <f>IF(ISNUMBER(X94),SUBSTITUTE(SUBSTITUTE(SUBSTITUTE(SUBSTITUTE(SUBSTITUTE(SUBSTITUTE(SUBSTITUTE(SUBSTITUTE(y_QLabel &amp; IF(RIGHT(S94)="s",y_QELineEdit,y_QELabel),"~PVNAME",$AE94&amp;IF($AC94="map",":RBV","")),"~EGU",$K94),"~PREC",$N94),"~VAR",$F94),"~CANGET",$AH94),"~CANSET",$AI94),"~ROW",X94),"~NAME",$E94),"")</f>
        <v xml:space="preserve">&lt;item row="15" column="0"&gt;
         &lt;widget class="QLabel" name="L_en_Global"&gt;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&lt;string&gt;en_Global&lt;/string&gt;
          &lt;/property&gt;
          &lt;property name="margin"&gt;
           &lt;number&gt;3&lt;/number&gt;
          &lt;/property&gt;
         &lt;/widget&gt;
        &lt;/item&gt;
&lt;item row="15" column="1"&gt;
         &lt;widget class="QELabel" name="QL_en_Global"&gt;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&lt;string&gt;$(P)$(R):EN_GLOBAL&lt;/string&gt;
          &lt;/property&gt;
         &lt;/widget&gt;
   &lt;/item&gt;
</v>
      </c>
      <c r="AR94" s="25" t="e">
        <f>VLOOKUP(G94,y_EPICS_Formats,2,FALSE)</f>
        <v>#N/A</v>
      </c>
      <c r="AS94" s="25" t="str">
        <f>IF(AB94="epics",y_Prefix&amp;AE94&amp;" = ","")</f>
        <v xml:space="preserve">SR05ID01FST01:EN_GLOBAL = </v>
      </c>
      <c r="AT94" s="25" t="str">
        <f>IF(LEN(P94&amp;Q94)&gt;0,IFERROR(";"&amp;I94&amp;"["&amp;K94&amp;"]"&amp;AB94&amp;"("&amp;AC94&amp;")"&amp;CHAR(10)&amp;C94 &amp;CHAR(9)&amp;AG94&amp;CHAR(9)&amp;F94 &amp;CHAR(9),";;Error!"),"")</f>
        <v/>
      </c>
      <c r="AU94" s="25" t="str">
        <f>IF(IFERROR(AND(AA94&gt;0,LEN(AN94)&gt;0),FALSE),SUBSTITUTE(SUBSTITUTE(SUBSTITUTE(y_archiverXML,"~PVNAME",AE94),"~PREFIX",y_Prefix),"~PERIOD",MIN(30,AA94)),"")</f>
        <v/>
      </c>
      <c r="AV94" s="11">
        <f>IF($AB94="epics",AV$1-LEN(AE94),"")</f>
        <v>9</v>
      </c>
      <c r="AW94" s="11">
        <f>IF($AB94="epics",AW$1-LEN(AH94),"")</f>
        <v>19</v>
      </c>
      <c r="AX94" s="11">
        <f>IF($AB94="epics",AX$1-LEN(AI94),"")</f>
        <v>19</v>
      </c>
      <c r="AY94" s="11">
        <f>IF($AB94="epics",AY$1-LEN(I94)-LEN(" readback"),"")</f>
        <v>5</v>
      </c>
      <c r="AZ94" s="12" t="str">
        <f>IF(LEN(F94)&gt;0,IFERROR(VALUE(RIGHT(F94,LEN(F94)-1)),F94),"zzzzz")</f>
        <v>x</v>
      </c>
      <c r="BA94" s="12" t="str">
        <f>IFERROR(VALUE(RIGHT(F94,LEN(F94)-1)),F94)</f>
        <v>x</v>
      </c>
      <c r="BB94" s="22" t="str">
        <f>y_Prefix&amp;AE94</f>
        <v>SR05ID01FST01:EN_GLOBAL</v>
      </c>
    </row>
    <row r="95" spans="1:54" ht="15.75" customHeight="1" x14ac:dyDescent="0.25">
      <c r="A95" s="22">
        <v>90</v>
      </c>
      <c r="B95" s="23"/>
      <c r="C95" s="30" t="str">
        <f>IF(AND(ISBLANK(P95),ISBLANK(Q95)),";","#define")</f>
        <v>;</v>
      </c>
      <c r="D95" s="9"/>
      <c r="E95" s="24" t="s">
        <v>779</v>
      </c>
      <c r="F95" s="10" t="s">
        <v>621</v>
      </c>
      <c r="G95" s="10"/>
      <c r="H95" s="10"/>
      <c r="I95" s="61" t="s">
        <v>795</v>
      </c>
      <c r="J95" s="10" t="s">
        <v>693</v>
      </c>
      <c r="K95" s="10"/>
      <c r="L95" s="10"/>
      <c r="M95" s="10"/>
      <c r="N95" s="10"/>
      <c r="O95" s="15"/>
      <c r="P95" s="49"/>
      <c r="Q95" s="49"/>
      <c r="R95" s="49"/>
      <c r="S95" s="49"/>
      <c r="T95" s="49"/>
      <c r="U95" s="49"/>
      <c r="V95" s="49" t="s">
        <v>365</v>
      </c>
      <c r="X95" s="98">
        <v>16</v>
      </c>
      <c r="AB95" s="55" t="str">
        <f>IF(LEN(R95&amp;S95&amp;T95&amp;U95&amp;V95)&gt;0,"epics","")</f>
        <v>epics</v>
      </c>
      <c r="AC95" s="52" t="str">
        <f>IF(NOT(ISBLANK(V95)),"base",IF(AB95="epics",IF(AND(ISBLANK(P95),ISBLANK(Q95)),"nmp","map"),""))</f>
        <v>base</v>
      </c>
      <c r="AD95" s="27" t="str">
        <f>UPPER(AD$1&amp;":"&amp;D95)</f>
        <v>:</v>
      </c>
      <c r="AE95" s="25" t="str">
        <f>UPPER(AE$1&amp;":"&amp;E95)</f>
        <v>:EN_INPROG</v>
      </c>
      <c r="AF95" s="27" t="str">
        <f>SUBSTITUTE(D95,"_","")</f>
        <v/>
      </c>
      <c r="AG95" s="25" t="str">
        <f>SUBSTITUTE(E95,"_","")&amp;IF(AND(RIGHT(P95)&lt;&gt;"s",RIGHT(Q95)&lt;&gt;"s"),"","")</f>
        <v>enInProg</v>
      </c>
      <c r="AH95" s="25" t="str">
        <f>IF(ISNUMBER(Y95),Y95,"$(P)"&amp;$AE$1&amp;":"&amp;Y95)</f>
        <v>$(P):</v>
      </c>
      <c r="AI95" s="25" t="str">
        <f>IF(ISNUMBER(Z95),Z95,"$(P)"&amp;$AE$1&amp;":"&amp;Z95)</f>
        <v>$(P):</v>
      </c>
      <c r="AJ95" s="25"/>
      <c r="AK95" s="12" t="str">
        <f>IF(AC95="map",IF(G95="float",y_varMapAnalog,IF(G95="int",y_varMapLongint,IF(G95="bool",y_varMapBool,IF(G95="string",y_varMapString,IF(G95="option",y_varMapOption,"#unknown Type"))))),IF(AC95="nmp",y_nonMappedAnalog,""))</f>
        <v/>
      </c>
      <c r="AL95" s="12" t="e">
        <f>VLOOKUP(G95,y_mapProtocolLUT,3)</f>
        <v>#N/A</v>
      </c>
      <c r="AM95" s="12" t="e">
        <f>VLOOKUP(G95,y_mapProtocolLUT,2)</f>
        <v>#N/A</v>
      </c>
      <c r="AN95" s="25" t="e">
        <f>IF(LEN(AG95)&gt;0,SUBSTITUTE(SUBSTITUTE(SUBSTITUTE(AK95,"$(DTYP)",y_DTYPE),"$(SETPROTO)",AM95),"$(GETPROTO)",AL95),"")</f>
        <v>#N/A</v>
      </c>
      <c r="AO95" s="25" t="str">
        <f>IFERROR(SUBSTITUTE(SUBSTITUTE(SUBSTITUTE(SUBSTITUTE(SUBSTITUTE(SUBSTITUTE(SUBSTITUTE(SUBSTITUTE(SUBSTITUTE(AN95,"$(Q)",AE95),"$(EGU)",K95),"$(PREC)",N95),"$(VAR)",TRIM(CLEAN(y_dedicatedCS&amp;F95))),"$(GetSB)",AH95),"$(SetSB)",AI95),"$(DESC)",LEFT(I95,40)),"$(ENUMS)",AJ95),"$(DEFAULT)",H95),"")</f>
        <v/>
      </c>
      <c r="AP95" s="25" t="str">
        <f>IF(ISNUMBER(W95),SUBSTITUTE(SUBSTITUTE(SUBSTITUTE(SUBSTITUTE(SUBSTITUTE(SUBSTITUTE(SUBSTITUTE(SUBSTITUTE(y_QLabel &amp; IF(RIGHT(R95)="s",y_QELineEdit,y_QELabel),"~PVNAME",$AE95&amp;IF($AC95="map","","")),"~EGU",$K95),"~PREC",$N95),"~VAR",$F95),"~CANGET",$AH95),"~CANSET",$AI95),"~ROW",W95),"~NAME",$E95),"")</f>
        <v/>
      </c>
      <c r="AQ95" s="25" t="str">
        <f>IF(ISNUMBER(X95),SUBSTITUTE(SUBSTITUTE(SUBSTITUTE(SUBSTITUTE(SUBSTITUTE(SUBSTITUTE(SUBSTITUTE(SUBSTITUTE(y_QLabel &amp; IF(RIGHT(S95)="s",y_QELineEdit,y_QELabel),"~PVNAME",$AE95&amp;IF($AC95="map",":RBV","")),"~EGU",$K95),"~PREC",$N95),"~VAR",$F95),"~CANGET",$AH95),"~CANSET",$AI95),"~ROW",X95),"~NAME",$E95),"")</f>
        <v xml:space="preserve">&lt;item row="16" column="0"&gt;
         &lt;widget class="QLabel" name="L_en_InProg"&gt;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&lt;string&gt;en_InProg&lt;/string&gt;
          &lt;/property&gt;
          &lt;property name="margin"&gt;
           &lt;number&gt;3&lt;/number&gt;
          &lt;/property&gt;
         &lt;/widget&gt;
        &lt;/item&gt;
&lt;item row="16" column="1"&gt;
         &lt;widget class="QELabel" name="QL_en_InProg"&gt;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&lt;string&gt;$(P)$(R):EN_INPROG&lt;/string&gt;
          &lt;/property&gt;
         &lt;/widget&gt;
   &lt;/item&gt;
</v>
      </c>
      <c r="AR95" s="25" t="e">
        <f>VLOOKUP(G95,y_EPICS_Formats,2,FALSE)</f>
        <v>#N/A</v>
      </c>
      <c r="AS95" s="25" t="str">
        <f>IF(AB95="epics",y_Prefix&amp;AE95&amp;" = ","")</f>
        <v xml:space="preserve">SR05ID01FST01:EN_INPROG = </v>
      </c>
      <c r="AT95" s="25" t="str">
        <f>IF(LEN(P95&amp;Q95)&gt;0,IFERROR(";"&amp;I95&amp;"["&amp;K95&amp;"]"&amp;AB95&amp;"("&amp;AC95&amp;")"&amp;CHAR(10)&amp;C95 &amp;CHAR(9)&amp;AG95&amp;CHAR(9)&amp;F95 &amp;CHAR(9),";;Error!"),"")</f>
        <v/>
      </c>
      <c r="AU95" s="25" t="str">
        <f>IF(IFERROR(AND(AA95&gt;0,LEN(AN95)&gt;0),FALSE),SUBSTITUTE(SUBSTITUTE(SUBSTITUTE(y_archiverXML,"~PVNAME",AE95),"~PREFIX",y_Prefix),"~PERIOD",MIN(30,AA95)),"")</f>
        <v/>
      </c>
      <c r="AV95" s="11">
        <f>IF($AB95="epics",AV$1-LEN(AE95),"")</f>
        <v>9</v>
      </c>
      <c r="AW95" s="11">
        <f>IF($AB95="epics",AW$1-LEN(AH95),"")</f>
        <v>19</v>
      </c>
      <c r="AX95" s="11">
        <f>IF($AB95="epics",AX$1-LEN(AI95),"")</f>
        <v>19</v>
      </c>
      <c r="AY95" s="11">
        <f>IF($AB95="epics",AY$1-LEN(I95)-LEN(" readback"),"")</f>
        <v>14</v>
      </c>
      <c r="AZ95" s="12" t="str">
        <f>IF(LEN(F95)&gt;0,IFERROR(VALUE(RIGHT(F95,LEN(F95)-1)),F95),"zzzzz")</f>
        <v>x</v>
      </c>
      <c r="BA95" s="12" t="str">
        <f>IFERROR(VALUE(RIGHT(F95,LEN(F95)-1)),F95)</f>
        <v>x</v>
      </c>
      <c r="BB95" s="22" t="str">
        <f>y_Prefix&amp;AE95</f>
        <v>SR05ID01FST01:EN_INPROG</v>
      </c>
    </row>
    <row r="96" spans="1:54" ht="15.75" customHeight="1" x14ac:dyDescent="0.25">
      <c r="A96" s="22">
        <v>91</v>
      </c>
      <c r="B96" s="23"/>
      <c r="C96" s="30" t="str">
        <f>IF(AND(ISBLANK(P96),ISBLANK(Q96)),";","#define")</f>
        <v>;</v>
      </c>
      <c r="D96" s="28"/>
      <c r="E96" s="22" t="s">
        <v>780</v>
      </c>
      <c r="F96" s="10" t="s">
        <v>621</v>
      </c>
      <c r="G96" s="10"/>
      <c r="H96" s="10"/>
      <c r="I96" s="61" t="s">
        <v>798</v>
      </c>
      <c r="J96" s="10" t="s">
        <v>693</v>
      </c>
      <c r="K96" s="10"/>
      <c r="L96" s="10"/>
      <c r="M96" s="10"/>
      <c r="N96" s="10"/>
      <c r="O96" s="15"/>
      <c r="P96" s="49"/>
      <c r="Q96" s="49"/>
      <c r="R96" s="49"/>
      <c r="S96" s="49"/>
      <c r="T96" s="49"/>
      <c r="U96" s="49"/>
      <c r="V96" s="49" t="s">
        <v>365</v>
      </c>
      <c r="X96" s="98">
        <v>17</v>
      </c>
      <c r="AB96" s="55" t="str">
        <f>IF(LEN(R96&amp;S96&amp;T96&amp;U96&amp;V96)&gt;0,"epics","")</f>
        <v>epics</v>
      </c>
      <c r="AC96" s="52" t="str">
        <f>IF(NOT(ISBLANK(V96)),"base",IF(AB96="epics",IF(AND(ISBLANK(P96),ISBLANK(Q96)),"nmp","map"),""))</f>
        <v>base</v>
      </c>
      <c r="AD96" s="27" t="str">
        <f>UPPER(AD$1&amp;":"&amp;D96)</f>
        <v>:</v>
      </c>
      <c r="AE96" s="25" t="str">
        <f>UPPER(AE$1&amp;":"&amp;E96)</f>
        <v>:EN_MONITOR</v>
      </c>
      <c r="AF96" s="27" t="str">
        <f>SUBSTITUTE(D96,"_","")</f>
        <v/>
      </c>
      <c r="AG96" s="25" t="str">
        <f>SUBSTITUTE(E96,"_","")&amp;IF(AND(RIGHT(P96)&lt;&gt;"s",RIGHT(Q96)&lt;&gt;"s"),"","")</f>
        <v>enMonitor</v>
      </c>
      <c r="AH96" s="25" t="str">
        <f>IF(ISNUMBER(Y96),Y96,"$(P)"&amp;$AE$1&amp;":"&amp;Y96)</f>
        <v>$(P):</v>
      </c>
      <c r="AI96" s="25" t="str">
        <f>IF(ISNUMBER(Z96),Z96,"$(P)"&amp;$AE$1&amp;":"&amp;Z96)</f>
        <v>$(P):</v>
      </c>
      <c r="AJ96" s="25"/>
      <c r="AK96" s="12" t="str">
        <f>IF(AC96="map",IF(G96="float",y_varMapAnalog,IF(G96="int",y_varMapLongint,IF(G96="bool",y_varMapBool,IF(G96="string",y_varMapString,IF(G96="option",y_varMapOption,"#unknown Type"))))),IF(AC96="nmp",y_nonMappedAnalog,""))</f>
        <v/>
      </c>
      <c r="AL96" s="12" t="e">
        <f>VLOOKUP(G96,y_mapProtocolLUT,3)</f>
        <v>#N/A</v>
      </c>
      <c r="AM96" s="12" t="e">
        <f>VLOOKUP(G96,y_mapProtocolLUT,2)</f>
        <v>#N/A</v>
      </c>
      <c r="AN96" s="25" t="e">
        <f>IF(LEN(AG96)&gt;0,SUBSTITUTE(SUBSTITUTE(SUBSTITUTE(AK96,"$(DTYP)",y_DTYPE),"$(SETPROTO)",AM96),"$(GETPROTO)",AL96),"")</f>
        <v>#N/A</v>
      </c>
      <c r="AO96" s="25" t="str">
        <f>IFERROR(SUBSTITUTE(SUBSTITUTE(SUBSTITUTE(SUBSTITUTE(SUBSTITUTE(SUBSTITUTE(SUBSTITUTE(SUBSTITUTE(SUBSTITUTE(AN96,"$(Q)",AE96),"$(EGU)",K96),"$(PREC)",N96),"$(VAR)",TRIM(CLEAN(y_dedicatedCS&amp;F96))),"$(GetSB)",AH96),"$(SetSB)",AI96),"$(DESC)",LEFT(I96,40)),"$(ENUMS)",AJ96),"$(DEFAULT)",H96),"")</f>
        <v/>
      </c>
      <c r="AP96" s="25" t="str">
        <f>IF(ISNUMBER(W96),SUBSTITUTE(SUBSTITUTE(SUBSTITUTE(SUBSTITUTE(SUBSTITUTE(SUBSTITUTE(SUBSTITUTE(SUBSTITUTE(y_QLabel &amp; IF(RIGHT(R96)="s",y_QELineEdit,y_QELabel),"~PVNAME",$AE96&amp;IF($AC96="map","","")),"~EGU",$K96),"~PREC",$N96),"~VAR",$F96),"~CANGET",$AH96),"~CANSET",$AI96),"~ROW",W96),"~NAME",$E96),"")</f>
        <v/>
      </c>
      <c r="AQ96" s="25" t="str">
        <f>IF(ISNUMBER(X96),SUBSTITUTE(SUBSTITUTE(SUBSTITUTE(SUBSTITUTE(SUBSTITUTE(SUBSTITUTE(SUBSTITUTE(SUBSTITUTE(y_QLabel &amp; IF(RIGHT(S96)="s",y_QELineEdit,y_QELabel),"~PVNAME",$AE96&amp;IF($AC96="map",":RBV","")),"~EGU",$K96),"~PREC",$N96),"~VAR",$F96),"~CANGET",$AH96),"~CANSET",$AI96),"~ROW",X96),"~NAME",$E96),"")</f>
        <v xml:space="preserve">&lt;item row="17" column="0"&gt;
         &lt;widget class="QLabel" name="L_en_Monitor"&gt;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&lt;string&gt;en_Monitor&lt;/string&gt;
          &lt;/property&gt;
          &lt;property name="margin"&gt;
           &lt;number&gt;3&lt;/number&gt;
          &lt;/property&gt;
         &lt;/widget&gt;
        &lt;/item&gt;
&lt;item row="17" column="1"&gt;
         &lt;widget class="QELabel" name="QL_en_Monitor"&gt;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&lt;string&gt;$(P)$(R):EN_MONITOR&lt;/string&gt;
          &lt;/property&gt;
         &lt;/widget&gt;
   &lt;/item&gt;
</v>
      </c>
      <c r="AR96" s="25" t="e">
        <f>VLOOKUP(G96,y_EPICS_Formats,2,FALSE)</f>
        <v>#N/A</v>
      </c>
      <c r="AS96" s="25" t="str">
        <f>IF(AB96="epics",y_Prefix&amp;AE96&amp;" = ","")</f>
        <v xml:space="preserve">SR05ID01FST01:EN_MONITOR = </v>
      </c>
      <c r="AT96" s="25" t="str">
        <f>IF(LEN(P96&amp;Q96)&gt;0,IFERROR(";"&amp;I96&amp;"["&amp;K96&amp;"]"&amp;AB96&amp;"("&amp;AC96&amp;")"&amp;CHAR(10)&amp;C96 &amp;CHAR(9)&amp;AG96&amp;CHAR(9)&amp;F96 &amp;CHAR(9),";;Error!"),"")</f>
        <v/>
      </c>
      <c r="AU96" s="25" t="str">
        <f>IF(IFERROR(AND(AA96&gt;0,LEN(AN96)&gt;0),FALSE),SUBSTITUTE(SUBSTITUTE(SUBSTITUTE(y_archiverXML,"~PVNAME",AE96),"~PREFIX",y_Prefix),"~PERIOD",MIN(30,AA96)),"")</f>
        <v/>
      </c>
      <c r="AV96" s="11">
        <f>IF($AB96="epics",AV$1-LEN(AE96),"")</f>
        <v>8</v>
      </c>
      <c r="AW96" s="11">
        <f>IF($AB96="epics",AW$1-LEN(AH96),"")</f>
        <v>19</v>
      </c>
      <c r="AX96" s="11">
        <f>IF($AB96="epics",AX$1-LEN(AI96),"")</f>
        <v>19</v>
      </c>
      <c r="AY96" s="11">
        <f>IF($AB96="epics",AY$1-LEN(I96)-LEN(" readback"),"")</f>
        <v>0</v>
      </c>
      <c r="AZ96" s="12" t="str">
        <f>IF(LEN(F96)&gt;0,IFERROR(VALUE(RIGHT(F96,LEN(F96)-1)),F96),"zzzzz")</f>
        <v>x</v>
      </c>
      <c r="BA96" s="12" t="str">
        <f>IFERROR(VALUE(RIGHT(F96,LEN(F96)-1)),F96)</f>
        <v>x</v>
      </c>
      <c r="BB96" s="22" t="str">
        <f>y_Prefix&amp;AE96</f>
        <v>SR05ID01FST01:EN_MONITOR</v>
      </c>
    </row>
    <row r="97" spans="1:54" ht="15.75" customHeight="1" x14ac:dyDescent="0.25">
      <c r="A97" s="22">
        <v>92</v>
      </c>
      <c r="B97" s="23"/>
      <c r="C97" s="30" t="str">
        <f>IF(AND(ISBLANK(P97),ISBLANK(Q97)),";","#define")</f>
        <v>;</v>
      </c>
      <c r="D97" s="28"/>
      <c r="E97" s="22" t="s">
        <v>781</v>
      </c>
      <c r="F97" s="10" t="s">
        <v>621</v>
      </c>
      <c r="G97" s="10"/>
      <c r="H97" s="10"/>
      <c r="I97" s="62" t="s">
        <v>796</v>
      </c>
      <c r="J97" s="17" t="s">
        <v>693</v>
      </c>
      <c r="K97" s="10"/>
      <c r="L97" s="10"/>
      <c r="M97" s="10"/>
      <c r="N97" s="10"/>
      <c r="O97" s="15"/>
      <c r="P97" s="49"/>
      <c r="Q97" s="49"/>
      <c r="R97" s="49"/>
      <c r="S97" s="49"/>
      <c r="T97" s="49"/>
      <c r="U97" s="49"/>
      <c r="V97" s="49" t="s">
        <v>365</v>
      </c>
      <c r="AB97" s="55" t="str">
        <f>IF(LEN(R97&amp;S97&amp;T97&amp;U97&amp;V97)&gt;0,"epics","")</f>
        <v>epics</v>
      </c>
      <c r="AC97" s="52" t="str">
        <f>IF(NOT(ISBLANK(V97)),"base",IF(AB97="epics",IF(AND(ISBLANK(P97),ISBLANK(Q97)),"nmp","map"),""))</f>
        <v>base</v>
      </c>
      <c r="AD97" s="27" t="str">
        <f>UPPER(AD$1&amp;":"&amp;D97)</f>
        <v>:</v>
      </c>
      <c r="AE97" s="25" t="str">
        <f>UPPER(AE$1&amp;":"&amp;E97)</f>
        <v>:EN_NEVER</v>
      </c>
      <c r="AF97" s="27" t="str">
        <f>SUBSTITUTE(D97,"_","")</f>
        <v/>
      </c>
      <c r="AG97" s="25" t="str">
        <f>SUBSTITUTE(E97,"_","")&amp;IF(AND(RIGHT(P97)&lt;&gt;"s",RIGHT(Q97)&lt;&gt;"s"),"","")</f>
        <v>enNever</v>
      </c>
      <c r="AH97" s="25" t="str">
        <f>IF(ISNUMBER(Y97),Y97,"$(P)"&amp;$AE$1&amp;":"&amp;Y97)</f>
        <v>$(P):</v>
      </c>
      <c r="AI97" s="25" t="str">
        <f>IF(ISNUMBER(Z97),Z97,"$(P)"&amp;$AE$1&amp;":"&amp;Z97)</f>
        <v>$(P):</v>
      </c>
      <c r="AJ97" s="25"/>
      <c r="AK97" s="12" t="str">
        <f>IF(AC97="map",IF(G97="float",y_varMapAnalog,IF(G97="int",y_varMapLongint,IF(G97="bool",y_varMapBool,IF(G97="string",y_varMapString,IF(G97="option",y_varMapOption,"#unknown Type"))))),IF(AC97="nmp",y_nonMappedAnalog,""))</f>
        <v/>
      </c>
      <c r="AL97" s="12" t="e">
        <f>VLOOKUP(G97,y_mapProtocolLUT,3)</f>
        <v>#N/A</v>
      </c>
      <c r="AM97" s="12" t="e">
        <f>VLOOKUP(G97,y_mapProtocolLUT,2)</f>
        <v>#N/A</v>
      </c>
      <c r="AN97" s="25" t="e">
        <f>IF(LEN(AG97)&gt;0,SUBSTITUTE(SUBSTITUTE(SUBSTITUTE(AK97,"$(DTYP)",y_DTYPE),"$(SETPROTO)",AM97),"$(GETPROTO)",AL97),"")</f>
        <v>#N/A</v>
      </c>
      <c r="AO97" s="25" t="str">
        <f>IFERROR(SUBSTITUTE(SUBSTITUTE(SUBSTITUTE(SUBSTITUTE(SUBSTITUTE(SUBSTITUTE(SUBSTITUTE(SUBSTITUTE(SUBSTITUTE(AN97,"$(Q)",AE97),"$(EGU)",K97),"$(PREC)",N97),"$(VAR)",TRIM(CLEAN(y_dedicatedCS&amp;F97))),"$(GetSB)",AH97),"$(SetSB)",AI97),"$(DESC)",LEFT(I97,40)),"$(ENUMS)",AJ97),"$(DEFAULT)",H97),"")</f>
        <v/>
      </c>
      <c r="AP97" s="25" t="str">
        <f>IF(ISNUMBER(W97),SUBSTITUTE(SUBSTITUTE(SUBSTITUTE(SUBSTITUTE(SUBSTITUTE(SUBSTITUTE(SUBSTITUTE(SUBSTITUTE(y_QLabel &amp; IF(RIGHT(R97)="s",y_QELineEdit,y_QELabel),"~PVNAME",$AE97&amp;IF($AC97="map","","")),"~EGU",$K97),"~PREC",$N97),"~VAR",$F97),"~CANGET",$AH97),"~CANSET",$AI97),"~ROW",W97),"~NAME",$E97),"")</f>
        <v/>
      </c>
      <c r="AQ97" s="25" t="str">
        <f>IF(ISNUMBER(X97),SUBSTITUTE(SUBSTITUTE(SUBSTITUTE(SUBSTITUTE(SUBSTITUTE(SUBSTITUTE(SUBSTITUTE(SUBSTITUTE(y_QLabel &amp; IF(RIGHT(S97)="s",y_QELineEdit,y_QELabel),"~PVNAME",$AE97&amp;IF($AC97="map",":RBV","")),"~EGU",$K97),"~PREC",$N97),"~VAR",$F97),"~CANGET",$AH97),"~CANSET",$AI97),"~ROW",X97),"~NAME",$E97),"")</f>
        <v/>
      </c>
      <c r="AR97" s="25" t="e">
        <f>VLOOKUP(G97,y_EPICS_Formats,2,FALSE)</f>
        <v>#N/A</v>
      </c>
      <c r="AS97" s="25" t="str">
        <f>IF(AB97="epics",y_Prefix&amp;AE97&amp;" = ","")</f>
        <v xml:space="preserve">SR05ID01FST01:EN_NEVER = </v>
      </c>
      <c r="AT97" s="25" t="str">
        <f>IF(LEN(P97&amp;Q97)&gt;0,IFERROR(";"&amp;I97&amp;"["&amp;K97&amp;"]"&amp;AB97&amp;"("&amp;AC97&amp;")"&amp;CHAR(10)&amp;C97 &amp;CHAR(9)&amp;AG97&amp;CHAR(9)&amp;F97 &amp;CHAR(9),";;Error!"),"")</f>
        <v/>
      </c>
      <c r="AU97" s="25" t="str">
        <f>IF(IFERROR(AND(AA97&gt;0,LEN(AN97)&gt;0),FALSE),SUBSTITUTE(SUBSTITUTE(SUBSTITUTE(y_archiverXML,"~PVNAME",AE97),"~PREFIX",y_Prefix),"~PERIOD",MIN(30,AA97)),"")</f>
        <v/>
      </c>
      <c r="AV97" s="11">
        <f>IF($AB97="epics",AV$1-LEN(AE97),"")</f>
        <v>10</v>
      </c>
      <c r="AW97" s="11">
        <f>IF($AB97="epics",AW$1-LEN(AH97),"")</f>
        <v>19</v>
      </c>
      <c r="AX97" s="11">
        <f>IF($AB97="epics",AX$1-LEN(AI97),"")</f>
        <v>19</v>
      </c>
      <c r="AY97" s="11">
        <f>IF($AB97="epics",AY$1-LEN(I97)-LEN(" readback"),"")</f>
        <v>18</v>
      </c>
      <c r="AZ97" s="12" t="str">
        <f>IF(LEN(F97)&gt;0,IFERROR(VALUE(RIGHT(F97,LEN(F97)-1)),F97),"zzzzz")</f>
        <v>x</v>
      </c>
      <c r="BA97" s="12" t="str">
        <f>IFERROR(VALUE(RIGHT(F97,LEN(F97)-1)),F97)</f>
        <v>x</v>
      </c>
      <c r="BB97" s="22" t="str">
        <f>y_Prefix&amp;AE97</f>
        <v>SR05ID01FST01:EN_NEVER</v>
      </c>
    </row>
    <row r="98" spans="1:54" ht="15.75" customHeight="1" x14ac:dyDescent="0.25">
      <c r="A98" s="22">
        <v>93</v>
      </c>
      <c r="B98" s="23"/>
      <c r="C98" s="30" t="str">
        <f>IF(AND(ISBLANK(P98),ISBLANK(Q98)),";","#define")</f>
        <v>#define</v>
      </c>
      <c r="D98" s="29"/>
      <c r="E98" s="26" t="s">
        <v>695</v>
      </c>
      <c r="F98" s="10">
        <v>4</v>
      </c>
      <c r="G98" s="10"/>
      <c r="H98" s="10">
        <v>4</v>
      </c>
      <c r="I98" s="62" t="s">
        <v>696</v>
      </c>
      <c r="J98" s="17" t="s">
        <v>625</v>
      </c>
      <c r="K98" s="10"/>
      <c r="L98" s="10"/>
      <c r="M98" s="10"/>
      <c r="N98" s="10"/>
      <c r="O98" s="15"/>
      <c r="P98" s="49" t="s">
        <v>365</v>
      </c>
      <c r="Q98" s="49"/>
      <c r="R98" s="49"/>
      <c r="S98" s="49"/>
      <c r="T98" s="49"/>
      <c r="U98" s="49"/>
      <c r="V98" s="49"/>
      <c r="AB98" s="55" t="str">
        <f>IF(LEN(R98&amp;S98&amp;T98&amp;U98&amp;V98)&gt;0,"epics","")</f>
        <v/>
      </c>
      <c r="AC98" s="52" t="str">
        <f>IF(NOT(ISBLANK(V98)),"base",IF(AB98="epics",IF(AND(ISBLANK(P98),ISBLANK(Q98)),"nmp","map"),""))</f>
        <v/>
      </c>
      <c r="AD98" s="27" t="str">
        <f>UPPER(AD$1&amp;":"&amp;D98)</f>
        <v>:</v>
      </c>
      <c r="AE98" s="25" t="str">
        <f>UPPER(AE$1&amp;":"&amp;E98)</f>
        <v>:ST_READY</v>
      </c>
      <c r="AF98" s="27" t="str">
        <f>SUBSTITUTE(D98,"_","")</f>
        <v/>
      </c>
      <c r="AG98" s="25" t="str">
        <f>SUBSTITUTE(E98,"_","")&amp;IF(AND(RIGHT(P98)&lt;&gt;"s",RIGHT(Q98)&lt;&gt;"s"),"","")</f>
        <v>stReady</v>
      </c>
      <c r="AH98" s="25" t="str">
        <f>IF(ISNUMBER(Y98),Y98,"$(P)"&amp;$AE$1&amp;":"&amp;Y98)</f>
        <v>$(P):</v>
      </c>
      <c r="AI98" s="25" t="str">
        <f>IF(ISNUMBER(Z98),Z98,"$(P)"&amp;$AE$1&amp;":"&amp;Z98)</f>
        <v>$(P):</v>
      </c>
      <c r="AJ98" s="25"/>
      <c r="AK98" s="12" t="str">
        <f>IF(AC98="map",IF(G98="float",y_varMapAnalog,IF(G98="int",y_varMapLongint,IF(G98="bool",y_varMapBool,IF(G98="string",y_varMapString,IF(G98="option",y_varMapOption,"#unknown Type"))))),IF(AC98="nmp",y_nonMappedAnalog,""))</f>
        <v/>
      </c>
      <c r="AL98" s="12" t="e">
        <f>VLOOKUP(G98,y_mapProtocolLUT,3)</f>
        <v>#N/A</v>
      </c>
      <c r="AM98" s="12" t="e">
        <f>VLOOKUP(G98,y_mapProtocolLUT,2)</f>
        <v>#N/A</v>
      </c>
      <c r="AN98" s="25" t="e">
        <f>IF(LEN(AG98)&gt;0,SUBSTITUTE(SUBSTITUTE(SUBSTITUTE(AK98,"$(DTYP)",y_DTYPE),"$(SETPROTO)",AM98),"$(GETPROTO)",AL98),"")</f>
        <v>#N/A</v>
      </c>
      <c r="AO98" s="25" t="str">
        <f>IFERROR(SUBSTITUTE(SUBSTITUTE(SUBSTITUTE(SUBSTITUTE(SUBSTITUTE(SUBSTITUTE(SUBSTITUTE(SUBSTITUTE(SUBSTITUTE(AN98,"$(Q)",AE98),"$(EGU)",K98),"$(PREC)",N98),"$(VAR)",TRIM(CLEAN(y_dedicatedCS&amp;F98))),"$(GetSB)",AH98),"$(SetSB)",AI98),"$(DESC)",LEFT(I98,40)),"$(ENUMS)",AJ98),"$(DEFAULT)",H98),"")</f>
        <v/>
      </c>
      <c r="AP98" s="25" t="str">
        <f>IF(ISNUMBER(W98),SUBSTITUTE(SUBSTITUTE(SUBSTITUTE(SUBSTITUTE(SUBSTITUTE(SUBSTITUTE(SUBSTITUTE(SUBSTITUTE(y_QLabel &amp; IF(RIGHT(R98)="s",y_QELineEdit,y_QELabel),"~PVNAME",$AE98&amp;IF($AC98="map","","")),"~EGU",$K98),"~PREC",$N98),"~VAR",$F98),"~CANGET",$AH98),"~CANSET",$AI98),"~ROW",W98),"~NAME",$E98),"")</f>
        <v/>
      </c>
      <c r="AQ98" s="25" t="str">
        <f>IF(ISNUMBER(X98),SUBSTITUTE(SUBSTITUTE(SUBSTITUTE(SUBSTITUTE(SUBSTITUTE(SUBSTITUTE(SUBSTITUTE(SUBSTITUTE(y_QLabel &amp; IF(RIGHT(S98)="s",y_QELineEdit,y_QELabel),"~PVNAME",$AE98&amp;IF($AC98="map",":RBV","")),"~EGU",$K98),"~PREC",$N98),"~VAR",$F98),"~CANGET",$AH98),"~CANSET",$AI98),"~ROW",X98),"~NAME",$E98),"")</f>
        <v/>
      </c>
      <c r="AR98" s="25" t="e">
        <f>VLOOKUP(G98,y_EPICS_Formats,2,FALSE)</f>
        <v>#N/A</v>
      </c>
      <c r="AS98" s="25" t="str">
        <f>IF(AB98="epics",y_Prefix&amp;AE98&amp;" = ","")</f>
        <v/>
      </c>
      <c r="AT98" s="25" t="str">
        <f>IF(LEN(P98&amp;Q98)&gt;0,IFERROR(";"&amp;I98&amp;"["&amp;K98&amp;"]"&amp;AB98&amp;"("&amp;AC98&amp;")"&amp;CHAR(10)&amp;C98 &amp;CHAR(9)&amp;AG98&amp;CHAR(9)&amp;F98 &amp;CHAR(9),";;Error!"),"")</f>
        <v xml:space="preserve">;Setup is being verified[]()
#define	stReady	4	</v>
      </c>
      <c r="AU98" s="25" t="str">
        <f>IF(IFERROR(AND(AA98&gt;0,LEN(AN98)&gt;0),FALSE),SUBSTITUTE(SUBSTITUTE(SUBSTITUTE(y_archiverXML,"~PVNAME",AE98),"~PREFIX",y_Prefix),"~PERIOD",MIN(30,AA98)),"")</f>
        <v/>
      </c>
      <c r="AV98" s="11" t="str">
        <f>IF($AB98="epics",AV$1-LEN(AE98),"")</f>
        <v/>
      </c>
      <c r="AW98" s="11" t="str">
        <f>IF($AB98="epics",AW$1-LEN(AH98),"")</f>
        <v/>
      </c>
      <c r="AX98" s="11" t="str">
        <f>IF($AB98="epics",AX$1-LEN(AI98),"")</f>
        <v/>
      </c>
      <c r="AY98" s="11" t="str">
        <f>IF($AB98="epics",AY$1-LEN(I98)-LEN(" readback"),"")</f>
        <v/>
      </c>
      <c r="AZ98" s="12">
        <f>IF(LEN(F98)&gt;0,IFERROR(VALUE(RIGHT(F98,LEN(F98)-1)),F98),"zzzzz")</f>
        <v>4</v>
      </c>
      <c r="BA98" s="12">
        <f>IFERROR(VALUE(RIGHT(F98,LEN(F98)-1)),F98)</f>
        <v>4</v>
      </c>
      <c r="BB98" s="22" t="str">
        <f>y_Prefix&amp;AE98</f>
        <v>SR05ID01FST01:ST_READY</v>
      </c>
    </row>
    <row r="99" spans="1:54" ht="15.75" customHeight="1" x14ac:dyDescent="0.25">
      <c r="A99" s="22">
        <v>94</v>
      </c>
      <c r="B99" s="23"/>
      <c r="C99" s="30" t="str">
        <f>IF(AND(ISBLANK(P99),ISBLANK(Q99)),";","#define")</f>
        <v>#define</v>
      </c>
      <c r="D99" s="28"/>
      <c r="E99" s="22" t="s">
        <v>697</v>
      </c>
      <c r="F99" s="10">
        <v>8</v>
      </c>
      <c r="G99" s="10"/>
      <c r="H99" s="10">
        <v>8</v>
      </c>
      <c r="I99" s="61" t="s">
        <v>698</v>
      </c>
      <c r="J99" s="10" t="s">
        <v>625</v>
      </c>
      <c r="K99" s="10"/>
      <c r="L99" s="10"/>
      <c r="M99" s="10"/>
      <c r="N99" s="10"/>
      <c r="O99" s="15"/>
      <c r="P99" s="49" t="s">
        <v>365</v>
      </c>
      <c r="Q99" s="49"/>
      <c r="R99" s="49"/>
      <c r="S99" s="49"/>
      <c r="T99" s="49"/>
      <c r="U99" s="49"/>
      <c r="V99" s="49"/>
      <c r="AB99" s="55" t="str">
        <f>IF(LEN(R99&amp;S99&amp;T99&amp;U99&amp;V99)&gt;0,"epics","")</f>
        <v/>
      </c>
      <c r="AC99" s="52" t="str">
        <f>IF(NOT(ISBLANK(V99)),"base",IF(AB99="epics",IF(AND(ISBLANK(P99),ISBLANK(Q99)),"nmp","map"),""))</f>
        <v/>
      </c>
      <c r="AD99" s="27" t="str">
        <f>UPPER(AD$1&amp;":"&amp;D99)</f>
        <v>:</v>
      </c>
      <c r="AE99" s="25" t="str">
        <f>UPPER(AE$1&amp;":"&amp;E99)</f>
        <v>:ST_RESERVED</v>
      </c>
      <c r="AF99" s="27" t="str">
        <f>SUBSTITUTE(D99,"_","")</f>
        <v/>
      </c>
      <c r="AG99" s="25" t="str">
        <f>SUBSTITUTE(E99,"_","")&amp;IF(AND(RIGHT(P99)&lt;&gt;"s",RIGHT(Q99)&lt;&gt;"s"),"","")</f>
        <v>stReserved</v>
      </c>
      <c r="AH99" s="25" t="str">
        <f>IF(ISNUMBER(Y99),Y99,"$(P)"&amp;$AE$1&amp;":"&amp;Y99)</f>
        <v>$(P):</v>
      </c>
      <c r="AI99" s="25" t="str">
        <f>IF(ISNUMBER(Z99),Z99,"$(P)"&amp;$AE$1&amp;":"&amp;Z99)</f>
        <v>$(P):</v>
      </c>
      <c r="AJ99" s="25"/>
      <c r="AK99" s="12" t="str">
        <f>IF(AC99="map",IF(G99="float",y_varMapAnalog,IF(G99="int",y_varMapLongint,IF(G99="bool",y_varMapBool,IF(G99="string",y_varMapString,IF(G99="option",y_varMapOption,"#unknown Type"))))),IF(AC99="nmp",y_nonMappedAnalog,""))</f>
        <v/>
      </c>
      <c r="AL99" s="12" t="e">
        <f>VLOOKUP(G99,y_mapProtocolLUT,3)</f>
        <v>#N/A</v>
      </c>
      <c r="AM99" s="12" t="e">
        <f>VLOOKUP(G99,y_mapProtocolLUT,2)</f>
        <v>#N/A</v>
      </c>
      <c r="AN99" s="25" t="e">
        <f>IF(LEN(AG99)&gt;0,SUBSTITUTE(SUBSTITUTE(SUBSTITUTE(AK99,"$(DTYP)",y_DTYPE),"$(SETPROTO)",AM99),"$(GETPROTO)",AL99),"")</f>
        <v>#N/A</v>
      </c>
      <c r="AO99" s="25" t="str">
        <f>IFERROR(SUBSTITUTE(SUBSTITUTE(SUBSTITUTE(SUBSTITUTE(SUBSTITUTE(SUBSTITUTE(SUBSTITUTE(SUBSTITUTE(SUBSTITUTE(AN99,"$(Q)",AE99),"$(EGU)",K99),"$(PREC)",N99),"$(VAR)",TRIM(CLEAN(y_dedicatedCS&amp;F99))),"$(GetSB)",AH99),"$(SetSB)",AI99),"$(DESC)",LEFT(I99,40)),"$(ENUMS)",AJ99),"$(DEFAULT)",H99),"")</f>
        <v/>
      </c>
      <c r="AP99" s="25" t="str">
        <f>IF(ISNUMBER(W99),SUBSTITUTE(SUBSTITUTE(SUBSTITUTE(SUBSTITUTE(SUBSTITUTE(SUBSTITUTE(SUBSTITUTE(SUBSTITUTE(y_QLabel &amp; IF(RIGHT(R99)="s",y_QELineEdit,y_QELabel),"~PVNAME",$AE99&amp;IF($AC99="map","","")),"~EGU",$K99),"~PREC",$N99),"~VAR",$F99),"~CANGET",$AH99),"~CANSET",$AI99),"~ROW",W99),"~NAME",$E99),"")</f>
        <v/>
      </c>
      <c r="AQ99" s="25" t="str">
        <f>IF(ISNUMBER(X99),SUBSTITUTE(SUBSTITUTE(SUBSTITUTE(SUBSTITUTE(SUBSTITUTE(SUBSTITUTE(SUBSTITUTE(SUBSTITUTE(y_QLabel &amp; IF(RIGHT(S99)="s",y_QELineEdit,y_QELabel),"~PVNAME",$AE99&amp;IF($AC99="map",":RBV","")),"~EGU",$K99),"~PREC",$N99),"~VAR",$F99),"~CANGET",$AH99),"~CANSET",$AI99),"~ROW",X99),"~NAME",$E99),"")</f>
        <v/>
      </c>
      <c r="AR99" s="25" t="e">
        <f>VLOOKUP(G99,y_EPICS_Formats,2,FALSE)</f>
        <v>#N/A</v>
      </c>
      <c r="AS99" s="25" t="str">
        <f>IF(AB99="epics",y_Prefix&amp;AE99&amp;" = ","")</f>
        <v/>
      </c>
      <c r="AT99" s="25" t="str">
        <f>IF(LEN(P99&amp;Q99)&gt;0,IFERROR(";"&amp;I99&amp;"["&amp;K99&amp;"]"&amp;AB99&amp;"("&amp;AC99&amp;")"&amp;CHAR(10)&amp;C99 &amp;CHAR(9)&amp;AG99&amp;CHAR(9)&amp;F99 &amp;CHAR(9),";;Error!"),"")</f>
        <v xml:space="preserve">;rscn program terminated via CTRL[]()
#define	stReserved	8	</v>
      </c>
      <c r="AU99" s="25" t="str">
        <f>IF(IFERROR(AND(AA99&gt;0,LEN(AN99)&gt;0),FALSE),SUBSTITUTE(SUBSTITUTE(SUBSTITUTE(y_archiverXML,"~PVNAME",AE99),"~PREFIX",y_Prefix),"~PERIOD",MIN(30,AA99)),"")</f>
        <v/>
      </c>
      <c r="AV99" s="11" t="str">
        <f>IF($AB99="epics",AV$1-LEN(AE99),"")</f>
        <v/>
      </c>
      <c r="AW99" s="11" t="str">
        <f>IF($AB99="epics",AW$1-LEN(AH99),"")</f>
        <v/>
      </c>
      <c r="AX99" s="11" t="str">
        <f>IF($AB99="epics",AX$1-LEN(AI99),"")</f>
        <v/>
      </c>
      <c r="AY99" s="11" t="str">
        <f>IF($AB99="epics",AY$1-LEN(I99)-LEN(" readback"),"")</f>
        <v/>
      </c>
      <c r="AZ99" s="12">
        <f>IF(LEN(F99)&gt;0,IFERROR(VALUE(RIGHT(F99,LEN(F99)-1)),F99),"zzzzz")</f>
        <v>8</v>
      </c>
      <c r="BA99" s="12">
        <f>IFERROR(VALUE(RIGHT(F99,LEN(F99)-1)),F99)</f>
        <v>8</v>
      </c>
      <c r="BB99" s="22" t="str">
        <f>y_Prefix&amp;AE99</f>
        <v>SR05ID01FST01:ST_RESERVED</v>
      </c>
    </row>
    <row r="100" spans="1:54" ht="15.75" customHeight="1" x14ac:dyDescent="0.25">
      <c r="A100" s="22">
        <v>95</v>
      </c>
      <c r="B100" s="23"/>
      <c r="C100" s="30" t="str">
        <f>IF(AND(ISBLANK(P100),ISBLANK(Q100)),";","#define")</f>
        <v>#define</v>
      </c>
      <c r="D100" s="29"/>
      <c r="E100" s="24" t="s">
        <v>699</v>
      </c>
      <c r="F100" s="10">
        <v>9</v>
      </c>
      <c r="G100" s="10"/>
      <c r="H100" s="10">
        <v>9</v>
      </c>
      <c r="I100" s="61"/>
      <c r="J100" s="10" t="s">
        <v>625</v>
      </c>
      <c r="K100" s="10"/>
      <c r="L100" s="10"/>
      <c r="M100" s="10"/>
      <c r="N100" s="10"/>
      <c r="O100" s="15"/>
      <c r="P100" s="49" t="s">
        <v>365</v>
      </c>
      <c r="Q100" s="49"/>
      <c r="R100" s="49"/>
      <c r="S100" s="49"/>
      <c r="T100" s="49"/>
      <c r="U100" s="49"/>
      <c r="V100" s="49"/>
      <c r="AB100" s="55" t="str">
        <f>IF(LEN(R100&amp;S100&amp;T100&amp;U100&amp;V100)&gt;0,"epics","")</f>
        <v/>
      </c>
      <c r="AC100" s="52" t="str">
        <f>IF(NOT(ISBLANK(V100)),"base",IF(AB100="epics",IF(AND(ISBLANK(P100),ISBLANK(Q100)),"nmp","map"),""))</f>
        <v/>
      </c>
      <c r="AD100" s="27" t="str">
        <f>UPPER(AD$1&amp;":"&amp;D100)</f>
        <v>:</v>
      </c>
      <c r="AE100" s="25" t="str">
        <f>UPPER(AE$1&amp;":"&amp;E100)</f>
        <v>:ST_RESETTING</v>
      </c>
      <c r="AF100" s="27" t="str">
        <f>SUBSTITUTE(D100,"_","")</f>
        <v/>
      </c>
      <c r="AG100" s="25" t="str">
        <f>SUBSTITUTE(E100,"_","")&amp;IF(AND(RIGHT(P100)&lt;&gt;"s",RIGHT(Q100)&lt;&gt;"s"),"","")</f>
        <v>stResetting</v>
      </c>
      <c r="AH100" s="25" t="str">
        <f>IF(ISNUMBER(Y100),Y100,"$(P)"&amp;$AE$1&amp;":"&amp;Y100)</f>
        <v>$(P):</v>
      </c>
      <c r="AI100" s="25" t="str">
        <f>IF(ISNUMBER(Z100),Z100,"$(P)"&amp;$AE$1&amp;":"&amp;Z100)</f>
        <v>$(P):</v>
      </c>
      <c r="AJ100" s="25"/>
      <c r="AK100" s="12" t="str">
        <f>IF(AC100="map",IF(G100="float",y_varMapAnalog,IF(G100="int",y_varMapLongint,IF(G100="bool",y_varMapBool,IF(G100="string",y_varMapString,IF(G100="option",y_varMapOption,"#unknown Type"))))),IF(AC100="nmp",y_nonMappedAnalog,""))</f>
        <v/>
      </c>
      <c r="AL100" s="12" t="e">
        <f>VLOOKUP(G100,y_mapProtocolLUT,3)</f>
        <v>#N/A</v>
      </c>
      <c r="AM100" s="12" t="e">
        <f>VLOOKUP(G100,y_mapProtocolLUT,2)</f>
        <v>#N/A</v>
      </c>
      <c r="AN100" s="25" t="e">
        <f>IF(LEN(AG100)&gt;0,SUBSTITUTE(SUBSTITUTE(SUBSTITUTE(AK100,"$(DTYP)",y_DTYPE),"$(SETPROTO)",AM100),"$(GETPROTO)",AL100),"")</f>
        <v>#N/A</v>
      </c>
      <c r="AO100" s="25" t="str">
        <f>IFERROR(SUBSTITUTE(SUBSTITUTE(SUBSTITUTE(SUBSTITUTE(SUBSTITUTE(SUBSTITUTE(SUBSTITUTE(SUBSTITUTE(SUBSTITUTE(AN100,"$(Q)",AE100),"$(EGU)",K100),"$(PREC)",N100),"$(VAR)",TRIM(CLEAN(y_dedicatedCS&amp;F100))),"$(GetSB)",AH100),"$(SetSB)",AI100),"$(DESC)",LEFT(I100,40)),"$(ENUMS)",AJ100),"$(DEFAULT)",H100),"")</f>
        <v/>
      </c>
      <c r="AP100" s="25" t="str">
        <f>IF(ISNUMBER(W100),SUBSTITUTE(SUBSTITUTE(SUBSTITUTE(SUBSTITUTE(SUBSTITUTE(SUBSTITUTE(SUBSTITUTE(SUBSTITUTE(y_QLabel &amp; IF(RIGHT(R100)="s",y_QELineEdit,y_QELabel),"~PVNAME",$AE100&amp;IF($AC100="map","","")),"~EGU",$K100),"~PREC",$N100),"~VAR",$F100),"~CANGET",$AH100),"~CANSET",$AI100),"~ROW",W100),"~NAME",$E100),"")</f>
        <v/>
      </c>
      <c r="AQ100" s="25" t="str">
        <f>IF(ISNUMBER(X100),SUBSTITUTE(SUBSTITUTE(SUBSTITUTE(SUBSTITUTE(SUBSTITUTE(SUBSTITUTE(SUBSTITUTE(SUBSTITUTE(y_QLabel &amp; IF(RIGHT(S100)="s",y_QELineEdit,y_QELabel),"~PVNAME",$AE100&amp;IF($AC100="map",":RBV","")),"~EGU",$K100),"~PREC",$N100),"~VAR",$F100),"~CANGET",$AH100),"~CANSET",$AI100),"~ROW",X100),"~NAME",$E100),"")</f>
        <v/>
      </c>
      <c r="AR100" s="25" t="e">
        <f>VLOOKUP(G100,y_EPICS_Formats,2,FALSE)</f>
        <v>#N/A</v>
      </c>
      <c r="AS100" s="25" t="str">
        <f>IF(AB100="epics",y_Prefix&amp;AE100&amp;" = ","")</f>
        <v/>
      </c>
      <c r="AT100" s="25" t="str">
        <f>IF(LEN(P100&amp;Q100)&gt;0,IFERROR(";"&amp;I100&amp;"["&amp;K100&amp;"]"&amp;AB100&amp;"("&amp;AC100&amp;")"&amp;CHAR(10)&amp;C100 &amp;CHAR(9)&amp;AG100&amp;CHAR(9)&amp;F100 &amp;CHAR(9),";;Error!"),"")</f>
        <v xml:space="preserve">;[]()
#define	stResetting	9	</v>
      </c>
      <c r="AU100" s="25" t="str">
        <f>IF(IFERROR(AND(AA100&gt;0,LEN(AN100)&gt;0),FALSE),SUBSTITUTE(SUBSTITUTE(SUBSTITUTE(y_archiverXML,"~PVNAME",AE100),"~PREFIX",y_Prefix),"~PERIOD",MIN(30,AA100)),"")</f>
        <v/>
      </c>
      <c r="AV100" s="11" t="str">
        <f>IF($AB100="epics",AV$1-LEN(AE100),"")</f>
        <v/>
      </c>
      <c r="AW100" s="11" t="str">
        <f>IF($AB100="epics",AW$1-LEN(AH100),"")</f>
        <v/>
      </c>
      <c r="AX100" s="11" t="str">
        <f>IF($AB100="epics",AX$1-LEN(AI100),"")</f>
        <v/>
      </c>
      <c r="AY100" s="11" t="str">
        <f>IF($AB100="epics",AY$1-LEN(I100)-LEN(" readback"),"")</f>
        <v/>
      </c>
      <c r="AZ100" s="12">
        <f>IF(LEN(F100)&gt;0,IFERROR(VALUE(RIGHT(F100,LEN(F100)-1)),F100),"zzzzz")</f>
        <v>9</v>
      </c>
      <c r="BA100" s="12">
        <f>IFERROR(VALUE(RIGHT(F100,LEN(F100)-1)),F100)</f>
        <v>9</v>
      </c>
      <c r="BB100" s="22" t="str">
        <f>y_Prefix&amp;AE100</f>
        <v>SR05ID01FST01:ST_RESETTING</v>
      </c>
    </row>
    <row r="101" spans="1:54" ht="15.75" customHeight="1" x14ac:dyDescent="0.25">
      <c r="A101" s="22">
        <v>96</v>
      </c>
      <c r="B101" s="23"/>
      <c r="C101" s="30" t="str">
        <f>IF(AND(ISBLANK(P101),ISBLANK(Q101)),";","#define")</f>
        <v>#define</v>
      </c>
      <c r="D101" s="29"/>
      <c r="E101" s="24" t="s">
        <v>700</v>
      </c>
      <c r="F101" s="10">
        <v>7</v>
      </c>
      <c r="G101" s="10"/>
      <c r="H101" s="10">
        <v>7</v>
      </c>
      <c r="I101" s="61" t="s">
        <v>701</v>
      </c>
      <c r="J101" s="10" t="s">
        <v>625</v>
      </c>
      <c r="K101" s="10"/>
      <c r="L101" s="10"/>
      <c r="M101" s="10"/>
      <c r="N101" s="10"/>
      <c r="O101" s="15"/>
      <c r="P101" s="49" t="s">
        <v>365</v>
      </c>
      <c r="Q101" s="49"/>
      <c r="R101" s="49"/>
      <c r="S101" s="49"/>
      <c r="T101" s="49"/>
      <c r="U101" s="49"/>
      <c r="V101" s="49"/>
      <c r="AB101" s="55" t="str">
        <f>IF(LEN(R101&amp;S101&amp;T101&amp;U101&amp;V101)&gt;0,"epics","")</f>
        <v/>
      </c>
      <c r="AC101" s="52" t="str">
        <f>IF(NOT(ISBLANK(V101)),"base",IF(AB101="epics",IF(AND(ISBLANK(P101),ISBLANK(Q101)),"nmp","map"),""))</f>
        <v/>
      </c>
      <c r="AD101" s="27" t="str">
        <f>UPPER(AD$1&amp;":"&amp;D101)</f>
        <v>:</v>
      </c>
      <c r="AE101" s="25" t="str">
        <f>UPPER(AE$1&amp;":"&amp;E101)</f>
        <v>:ST_RUNNING</v>
      </c>
      <c r="AF101" s="27" t="str">
        <f>SUBSTITUTE(D101,"_","")</f>
        <v/>
      </c>
      <c r="AG101" s="25" t="str">
        <f>SUBSTITUTE(E101,"_","")&amp;IF(AND(RIGHT(P101)&lt;&gt;"s",RIGHT(Q101)&lt;&gt;"s"),"","")</f>
        <v>stRunning</v>
      </c>
      <c r="AH101" s="25" t="str">
        <f>IF(ISNUMBER(Y101),Y101,"$(P)"&amp;$AE$1&amp;":"&amp;Y101)</f>
        <v>$(P):</v>
      </c>
      <c r="AI101" s="25" t="str">
        <f>IF(ISNUMBER(Z101),Z101,"$(P)"&amp;$AE$1&amp;":"&amp;Z101)</f>
        <v>$(P):</v>
      </c>
      <c r="AJ101" s="25"/>
      <c r="AK101" s="12" t="str">
        <f>IF(AC101="map",IF(G101="float",y_varMapAnalog,IF(G101="int",y_varMapLongint,IF(G101="bool",y_varMapBool,IF(G101="string",y_varMapString,IF(G101="option",y_varMapOption,"#unknown Type"))))),IF(AC101="nmp",y_nonMappedAnalog,""))</f>
        <v/>
      </c>
      <c r="AL101" s="12" t="e">
        <f>VLOOKUP(G101,y_mapProtocolLUT,3)</f>
        <v>#N/A</v>
      </c>
      <c r="AM101" s="12" t="e">
        <f>VLOOKUP(G101,y_mapProtocolLUT,2)</f>
        <v>#N/A</v>
      </c>
      <c r="AN101" s="25" t="e">
        <f>IF(LEN(AG101)&gt;0,SUBSTITUTE(SUBSTITUTE(SUBSTITUTE(AK101,"$(DTYP)",y_DTYPE),"$(SETPROTO)",AM101),"$(GETPROTO)",AL101),"")</f>
        <v>#N/A</v>
      </c>
      <c r="AO101" s="25" t="str">
        <f>IFERROR(SUBSTITUTE(SUBSTITUTE(SUBSTITUTE(SUBSTITUTE(SUBSTITUTE(SUBSTITUTE(SUBSTITUTE(SUBSTITUTE(SUBSTITUTE(AN101,"$(Q)",AE101),"$(EGU)",K101),"$(PREC)",N101),"$(VAR)",TRIM(CLEAN(y_dedicatedCS&amp;F101))),"$(GetSB)",AH101),"$(SetSB)",AI101),"$(DESC)",LEFT(I101,40)),"$(ENUMS)",AJ101),"$(DEFAULT)",H101),"")</f>
        <v/>
      </c>
      <c r="AP101" s="25" t="str">
        <f>IF(ISNUMBER(W101),SUBSTITUTE(SUBSTITUTE(SUBSTITUTE(SUBSTITUTE(SUBSTITUTE(SUBSTITUTE(SUBSTITUTE(SUBSTITUTE(y_QLabel &amp; IF(RIGHT(R101)="s",y_QELineEdit,y_QELabel),"~PVNAME",$AE101&amp;IF($AC101="map","","")),"~EGU",$K101),"~PREC",$N101),"~VAR",$F101),"~CANGET",$AH101),"~CANSET",$AI101),"~ROW",W101),"~NAME",$E101),"")</f>
        <v/>
      </c>
      <c r="AQ101" s="25" t="str">
        <f>IF(ISNUMBER(X101),SUBSTITUTE(SUBSTITUTE(SUBSTITUTE(SUBSTITUTE(SUBSTITUTE(SUBSTITUTE(SUBSTITUTE(SUBSTITUTE(y_QLabel &amp; IF(RIGHT(S101)="s",y_QELineEdit,y_QELabel),"~PVNAME",$AE101&amp;IF($AC101="map",":RBV","")),"~EGU",$K101),"~PREC",$N101),"~VAR",$F101),"~CANGET",$AH101),"~CANSET",$AI101),"~ROW",X101),"~NAME",$E101),"")</f>
        <v/>
      </c>
      <c r="AR101" s="25" t="e">
        <f>VLOOKUP(G101,y_EPICS_Formats,2,FALSE)</f>
        <v>#N/A</v>
      </c>
      <c r="AS101" s="25" t="str">
        <f>IF(AB101="epics",y_Prefix&amp;AE101&amp;" = ","")</f>
        <v/>
      </c>
      <c r="AT101" s="25" t="str">
        <f>IF(LEN(P101&amp;Q101)&gt;0,IFERROR(";"&amp;I101&amp;"["&amp;K101&amp;"]"&amp;AB101&amp;"("&amp;AC101&amp;")"&amp;CHAR(10)&amp;C101 &amp;CHAR(9)&amp;AG101&amp;CHAR(9)&amp;F101 &amp;CHAR(9),";;Error!"),"")</f>
        <v xml:space="preserve">;Running scan[]()
#define	stRunning	7	</v>
      </c>
      <c r="AU101" s="25" t="str">
        <f>IF(IFERROR(AND(AA101&gt;0,LEN(AN101)&gt;0),FALSE),SUBSTITUTE(SUBSTITUTE(SUBSTITUTE(y_archiverXML,"~PVNAME",AE101),"~PREFIX",y_Prefix),"~PERIOD",MIN(30,AA101)),"")</f>
        <v/>
      </c>
      <c r="AV101" s="11" t="str">
        <f>IF($AB101="epics",AV$1-LEN(AE101),"")</f>
        <v/>
      </c>
      <c r="AW101" s="11" t="str">
        <f>IF($AB101="epics",AW$1-LEN(AH101),"")</f>
        <v/>
      </c>
      <c r="AX101" s="11" t="str">
        <f>IF($AB101="epics",AX$1-LEN(AI101),"")</f>
        <v/>
      </c>
      <c r="AY101" s="11" t="str">
        <f>IF($AB101="epics",AY$1-LEN(I101)-LEN(" readback"),"")</f>
        <v/>
      </c>
      <c r="AZ101" s="12">
        <f>IF(LEN(F101)&gt;0,IFERROR(VALUE(RIGHT(F101,LEN(F101)-1)),F101),"zzzzz")</f>
        <v>7</v>
      </c>
      <c r="BA101" s="12">
        <f>IFERROR(VALUE(RIGHT(F101,LEN(F101)-1)),F101)</f>
        <v>7</v>
      </c>
      <c r="BB101" s="22" t="str">
        <f>y_Prefix&amp;AE101</f>
        <v>SR05ID01FST01:ST_RUNNING</v>
      </c>
    </row>
    <row r="102" spans="1:54" ht="15.75" customHeight="1" x14ac:dyDescent="0.25">
      <c r="A102" s="22">
        <v>97</v>
      </c>
      <c r="B102" s="23"/>
      <c r="C102" s="30" t="str">
        <f>IF(AND(ISBLANK(P102),ISBLANK(Q102)),";","#define")</f>
        <v>#define</v>
      </c>
      <c r="D102" s="9"/>
      <c r="E102" s="26" t="s">
        <v>702</v>
      </c>
      <c r="F102" s="10">
        <v>6</v>
      </c>
      <c r="G102" s="10"/>
      <c r="H102" s="10">
        <v>6</v>
      </c>
      <c r="I102" s="61" t="s">
        <v>703</v>
      </c>
      <c r="J102" s="10" t="s">
        <v>625</v>
      </c>
      <c r="K102" s="10"/>
      <c r="L102" s="10"/>
      <c r="M102" s="10"/>
      <c r="N102" s="10"/>
      <c r="O102" s="15"/>
      <c r="P102" s="49" t="s">
        <v>365</v>
      </c>
      <c r="Q102" s="49"/>
      <c r="R102" s="49"/>
      <c r="S102" s="49"/>
      <c r="T102" s="49"/>
      <c r="U102" s="49"/>
      <c r="V102" s="49"/>
      <c r="Y102" s="69"/>
      <c r="Z102" s="69"/>
      <c r="AA102" s="69"/>
      <c r="AB102" s="55" t="str">
        <f>IF(LEN(R102&amp;S102&amp;T102&amp;U102&amp;V102)&gt;0,"epics","")</f>
        <v/>
      </c>
      <c r="AC102" s="52" t="str">
        <f>IF(NOT(ISBLANK(V102)),"base",IF(AB102="epics",IF(AND(ISBLANK(P102),ISBLANK(Q102)),"nmp","map"),""))</f>
        <v/>
      </c>
      <c r="AD102" s="27" t="str">
        <f>UPPER(AD$1&amp;":"&amp;D102)</f>
        <v>:</v>
      </c>
      <c r="AE102" s="25" t="str">
        <f>UPPER(AE$1&amp;":"&amp;E102)</f>
        <v>:ST_SET</v>
      </c>
      <c r="AF102" s="27" t="str">
        <f>SUBSTITUTE(D102,"_","")</f>
        <v/>
      </c>
      <c r="AG102" s="25" t="str">
        <f>SUBSTITUTE(E102,"_","")&amp;IF(AND(RIGHT(P102)&lt;&gt;"s",RIGHT(Q102)&lt;&gt;"s"),"","")</f>
        <v>stSet</v>
      </c>
      <c r="AH102" s="25" t="str">
        <f>IF(ISNUMBER(Y102),Y102,"$(P)"&amp;$AE$1&amp;":"&amp;Y102)</f>
        <v>$(P):</v>
      </c>
      <c r="AI102" s="25" t="str">
        <f>IF(ISNUMBER(Z102),Z102,"$(P)"&amp;$AE$1&amp;":"&amp;Z102)</f>
        <v>$(P):</v>
      </c>
      <c r="AJ102" s="25"/>
      <c r="AK102" s="12" t="str">
        <f>IF(AC102="map",IF(G102="float",y_varMapAnalog,IF(G102="int",y_varMapLongint,IF(G102="bool",y_varMapBool,IF(G102="string",y_varMapString,IF(G102="option",y_varMapOption,"#unknown Type"))))),IF(AC102="nmp",y_nonMappedAnalog,""))</f>
        <v/>
      </c>
      <c r="AL102" s="12" t="e">
        <f>VLOOKUP(G102,y_mapProtocolLUT,3)</f>
        <v>#N/A</v>
      </c>
      <c r="AM102" s="12" t="e">
        <f>VLOOKUP(G102,y_mapProtocolLUT,2)</f>
        <v>#N/A</v>
      </c>
      <c r="AN102" s="25" t="e">
        <f>IF(LEN(AG102)&gt;0,SUBSTITUTE(SUBSTITUTE(SUBSTITUTE(AK102,"$(DTYP)",y_DTYPE),"$(SETPROTO)",AM102),"$(GETPROTO)",AL102),"")</f>
        <v>#N/A</v>
      </c>
      <c r="AO102" s="25" t="str">
        <f>IFERROR(SUBSTITUTE(SUBSTITUTE(SUBSTITUTE(SUBSTITUTE(SUBSTITUTE(SUBSTITUTE(SUBSTITUTE(SUBSTITUTE(SUBSTITUTE(AN102,"$(Q)",AE102),"$(EGU)",K102),"$(PREC)",N102),"$(VAR)",TRIM(CLEAN(y_dedicatedCS&amp;F102))),"$(GetSB)",AH102),"$(SetSB)",AI102),"$(DESC)",LEFT(I102,40)),"$(ENUMS)",AJ102),"$(DEFAULT)",H102),"")</f>
        <v/>
      </c>
      <c r="AP102" s="25" t="str">
        <f>IF(ISNUMBER(W102),SUBSTITUTE(SUBSTITUTE(SUBSTITUTE(SUBSTITUTE(SUBSTITUTE(SUBSTITUTE(SUBSTITUTE(SUBSTITUTE(y_QLabel &amp; IF(RIGHT(R102)="s",y_QELineEdit,y_QELabel),"~PVNAME",$AE102&amp;IF($AC102="map","","")),"~EGU",$K102),"~PREC",$N102),"~VAR",$F102),"~CANGET",$AH102),"~CANSET",$AI102),"~ROW",W102),"~NAME",$E102),"")</f>
        <v/>
      </c>
      <c r="AQ102" s="25" t="str">
        <f>IF(ISNUMBER(X102),SUBSTITUTE(SUBSTITUTE(SUBSTITUTE(SUBSTITUTE(SUBSTITUTE(SUBSTITUTE(SUBSTITUTE(SUBSTITUTE(y_QLabel &amp; IF(RIGHT(S102)="s",y_QELineEdit,y_QELabel),"~PVNAME",$AE102&amp;IF($AC102="map",":RBV","")),"~EGU",$K102),"~PREC",$N102),"~VAR",$F102),"~CANGET",$AH102),"~CANSET",$AI102),"~ROW",X102),"~NAME",$E102),"")</f>
        <v/>
      </c>
      <c r="AR102" s="25" t="e">
        <f>VLOOKUP(G102,y_EPICS_Formats,2,FALSE)</f>
        <v>#N/A</v>
      </c>
      <c r="AS102" s="25" t="str">
        <f>IF(AB102="epics",y_Prefix&amp;AE102&amp;" = ","")</f>
        <v/>
      </c>
      <c r="AT102" s="25" t="str">
        <f>IF(LEN(P102&amp;Q102)&gt;0,IFERROR(";"&amp;I102&amp;"["&amp;K102&amp;"]"&amp;AB102&amp;"("&amp;AC102&amp;")"&amp;CHAR(10)&amp;C102 &amp;CHAR(9)&amp;AG102&amp;CHAR(9)&amp;F102 &amp;CHAR(9),";;Error!"),"")</f>
        <v xml:space="preserve">;Compiled and moved into position to start scan[]()
#define	stSet	6	</v>
      </c>
      <c r="AU102" s="25" t="str">
        <f>IF(IFERROR(AND(AA102&gt;0,LEN(AN102)&gt;0),FALSE),SUBSTITUTE(SUBSTITUTE(SUBSTITUTE(y_archiverXML,"~PVNAME",AE102),"~PREFIX",y_Prefix),"~PERIOD",MIN(30,AA102)),"")</f>
        <v/>
      </c>
      <c r="AV102" s="11" t="str">
        <f>IF($AB102="epics",AV$1-LEN(AE102),"")</f>
        <v/>
      </c>
      <c r="AW102" s="11" t="str">
        <f>IF($AB102="epics",AW$1-LEN(AH102),"")</f>
        <v/>
      </c>
      <c r="AX102" s="11" t="str">
        <f>IF($AB102="epics",AX$1-LEN(AI102),"")</f>
        <v/>
      </c>
      <c r="AY102" s="11" t="str">
        <f>IF($AB102="epics",AY$1-LEN(I102)-LEN(" readback"),"")</f>
        <v/>
      </c>
      <c r="AZ102" s="12">
        <f>IF(LEN(F102)&gt;0,IFERROR(VALUE(RIGHT(F102,LEN(F102)-1)),F102),"zzzzz")</f>
        <v>6</v>
      </c>
      <c r="BA102" s="12">
        <f>IFERROR(VALUE(RIGHT(F102,LEN(F102)-1)),F102)</f>
        <v>6</v>
      </c>
      <c r="BB102" s="22" t="str">
        <f>y_Prefix&amp;AE102</f>
        <v>SR05ID01FST01:ST_SET</v>
      </c>
    </row>
    <row r="103" spans="1:54" ht="15.75" customHeight="1" x14ac:dyDescent="0.25">
      <c r="A103" s="22">
        <v>98</v>
      </c>
      <c r="B103" s="23"/>
      <c r="C103" s="30" t="str">
        <f>IF(AND(ISBLANK(P103),ISBLANK(Q103)),";","#define")</f>
        <v>#define</v>
      </c>
      <c r="D103" s="9"/>
      <c r="E103" s="24" t="s">
        <v>704</v>
      </c>
      <c r="F103" s="10">
        <v>5</v>
      </c>
      <c r="G103" s="10"/>
      <c r="H103" s="10">
        <v>5</v>
      </c>
      <c r="I103" s="61" t="s">
        <v>705</v>
      </c>
      <c r="J103" s="10" t="s">
        <v>625</v>
      </c>
      <c r="K103" s="10"/>
      <c r="L103" s="10"/>
      <c r="M103" s="10"/>
      <c r="N103" s="10"/>
      <c r="O103" s="15"/>
      <c r="P103" s="49" t="s">
        <v>365</v>
      </c>
      <c r="Q103" s="49"/>
      <c r="R103" s="49"/>
      <c r="S103" s="49"/>
      <c r="T103" s="49"/>
      <c r="U103" s="49"/>
      <c r="V103" s="49"/>
      <c r="Y103" s="69"/>
      <c r="Z103" s="69"/>
      <c r="AA103" s="69"/>
      <c r="AB103" s="55" t="str">
        <f>IF(LEN(R103&amp;S103&amp;T103&amp;U103&amp;V103)&gt;0,"epics","")</f>
        <v/>
      </c>
      <c r="AC103" s="52" t="str">
        <f>IF(NOT(ISBLANK(V103)),"base",IF(AB103="epics",IF(AND(ISBLANK(P103),ISBLANK(Q103)),"nmp","map"),""))</f>
        <v/>
      </c>
      <c r="AD103" s="27" t="str">
        <f>UPPER(AD$1&amp;":"&amp;D103)</f>
        <v>:</v>
      </c>
      <c r="AE103" s="25" t="str">
        <f>UPPER(AE$1&amp;":"&amp;E103)</f>
        <v>:ST_SETTING</v>
      </c>
      <c r="AF103" s="27" t="str">
        <f>SUBSTITUTE(D103,"_","")</f>
        <v/>
      </c>
      <c r="AG103" s="25" t="str">
        <f>SUBSTITUTE(E103,"_","")&amp;IF(AND(RIGHT(P103)&lt;&gt;"s",RIGHT(Q103)&lt;&gt;"s"),"","")</f>
        <v>stSetting</v>
      </c>
      <c r="AH103" s="25" t="str">
        <f>IF(ISNUMBER(Y103),Y103,"$(P)"&amp;$AE$1&amp;":"&amp;Y103)</f>
        <v>$(P):</v>
      </c>
      <c r="AI103" s="25" t="str">
        <f>IF(ISNUMBER(Z103),Z103,"$(P)"&amp;$AE$1&amp;":"&amp;Z103)</f>
        <v>$(P):</v>
      </c>
      <c r="AJ103" s="25"/>
      <c r="AK103" s="12" t="str">
        <f>IF(AC103="map",IF(G103="float",y_varMapAnalog,IF(G103="int",y_varMapLongint,IF(G103="bool",y_varMapBool,IF(G103="string",y_varMapString,IF(G103="option",y_varMapOption,"#unknown Type"))))),IF(AC103="nmp",y_nonMappedAnalog,""))</f>
        <v/>
      </c>
      <c r="AL103" s="12" t="e">
        <f>VLOOKUP(G103,y_mapProtocolLUT,3)</f>
        <v>#N/A</v>
      </c>
      <c r="AM103" s="12" t="e">
        <f>VLOOKUP(G103,y_mapProtocolLUT,2)</f>
        <v>#N/A</v>
      </c>
      <c r="AN103" s="25" t="e">
        <f>IF(LEN(AG103)&gt;0,SUBSTITUTE(SUBSTITUTE(SUBSTITUTE(AK103,"$(DTYP)",y_DTYPE),"$(SETPROTO)",AM103),"$(GETPROTO)",AL103),"")</f>
        <v>#N/A</v>
      </c>
      <c r="AO103" s="25" t="str">
        <f>IFERROR(SUBSTITUTE(SUBSTITUTE(SUBSTITUTE(SUBSTITUTE(SUBSTITUTE(SUBSTITUTE(SUBSTITUTE(SUBSTITUTE(SUBSTITUTE(AN103,"$(Q)",AE103),"$(EGU)",K103),"$(PREC)",N103),"$(VAR)",TRIM(CLEAN(y_dedicatedCS&amp;F103))),"$(GetSB)",AH103),"$(SetSB)",AI103),"$(DESC)",LEFT(I103,40)),"$(ENUMS)",AJ103),"$(DEFAULT)",H103),"")</f>
        <v/>
      </c>
      <c r="AP103" s="25" t="str">
        <f>IF(ISNUMBER(W103),SUBSTITUTE(SUBSTITUTE(SUBSTITUTE(SUBSTITUTE(SUBSTITUTE(SUBSTITUTE(SUBSTITUTE(SUBSTITUTE(y_QLabel &amp; IF(RIGHT(R103)="s",y_QELineEdit,y_QELabel),"~PVNAME",$AE103&amp;IF($AC103="map","","")),"~EGU",$K103),"~PREC",$N103),"~VAR",$F103),"~CANGET",$AH103),"~CANSET",$AI103),"~ROW",W103),"~NAME",$E103),"")</f>
        <v/>
      </c>
      <c r="AQ103" s="25" t="str">
        <f>IF(ISNUMBER(X103),SUBSTITUTE(SUBSTITUTE(SUBSTITUTE(SUBSTITUTE(SUBSTITUTE(SUBSTITUTE(SUBSTITUTE(SUBSTITUTE(y_QLabel &amp; IF(RIGHT(S103)="s",y_QELineEdit,y_QELabel),"~PVNAME",$AE103&amp;IF($AC103="map",":RBV","")),"~EGU",$K103),"~PREC",$N103),"~VAR",$F103),"~CANGET",$AH103),"~CANSET",$AI103),"~ROW",X103),"~NAME",$E103),"")</f>
        <v/>
      </c>
      <c r="AR103" s="25" t="e">
        <f>VLOOKUP(G103,y_EPICS_Formats,2,FALSE)</f>
        <v>#N/A</v>
      </c>
      <c r="AS103" s="25" t="str">
        <f>IF(AB103="epics",y_Prefix&amp;AE103&amp;" = ","")</f>
        <v/>
      </c>
      <c r="AT103" s="25" t="str">
        <f>IF(LEN(P103&amp;Q103)&gt;0,IFERROR(";"&amp;I103&amp;"["&amp;K103&amp;"]"&amp;AB103&amp;"("&amp;AC103&amp;")"&amp;CHAR(10)&amp;C103 &amp;CHAR(9)&amp;AG103&amp;CHAR(9)&amp;F103 &amp;CHAR(9),";;Error!"),"")</f>
        <v xml:space="preserve">;Moving to begin position to start scan[]()
#define	stSetting	5	</v>
      </c>
      <c r="AU103" s="25" t="str">
        <f>IF(IFERROR(AND(AA103&gt;0,LEN(AN103)&gt;0),FALSE),SUBSTITUTE(SUBSTITUTE(SUBSTITUTE(y_archiverXML,"~PVNAME",AE103),"~PREFIX",y_Prefix),"~PERIOD",MIN(30,AA103)),"")</f>
        <v/>
      </c>
      <c r="AV103" s="11" t="str">
        <f>IF($AB103="epics",AV$1-LEN(AE103),"")</f>
        <v/>
      </c>
      <c r="AW103" s="11" t="str">
        <f>IF($AB103="epics",AW$1-LEN(AH103),"")</f>
        <v/>
      </c>
      <c r="AX103" s="11" t="str">
        <f>IF($AB103="epics",AX$1-LEN(AI103),"")</f>
        <v/>
      </c>
      <c r="AY103" s="11" t="str">
        <f>IF($AB103="epics",AY$1-LEN(I103)-LEN(" readback"),"")</f>
        <v/>
      </c>
      <c r="AZ103" s="12">
        <f>IF(LEN(F103)&gt;0,IFERROR(VALUE(RIGHT(F103,LEN(F103)-1)),F103),"zzzzz")</f>
        <v>5</v>
      </c>
      <c r="BA103" s="12">
        <f>IFERROR(VALUE(RIGHT(F103,LEN(F103)-1)),F103)</f>
        <v>5</v>
      </c>
      <c r="BB103" s="22" t="str">
        <f>y_Prefix&amp;AE103</f>
        <v>SR05ID01FST01:ST_SETTING</v>
      </c>
    </row>
    <row r="104" spans="1:54" ht="15.75" customHeight="1" x14ac:dyDescent="0.25">
      <c r="A104" s="22">
        <v>99</v>
      </c>
      <c r="B104" s="23"/>
      <c r="C104" s="30" t="str">
        <f>IF(AND(ISBLANK(P104),ISBLANK(Q104)),";","#define")</f>
        <v>#define</v>
      </c>
      <c r="D104" s="68"/>
      <c r="E104" s="22" t="s">
        <v>706</v>
      </c>
      <c r="F104" s="10">
        <v>2</v>
      </c>
      <c r="G104" s="10"/>
      <c r="H104" s="10">
        <v>2</v>
      </c>
      <c r="I104" s="61" t="s">
        <v>707</v>
      </c>
      <c r="J104" s="10" t="s">
        <v>625</v>
      </c>
      <c r="K104" s="10"/>
      <c r="L104" s="10"/>
      <c r="M104" s="10"/>
      <c r="N104" s="10"/>
      <c r="O104" s="15"/>
      <c r="P104" s="49" t="s">
        <v>365</v>
      </c>
      <c r="Q104" s="49"/>
      <c r="R104" s="49"/>
      <c r="S104" s="49"/>
      <c r="T104" s="49"/>
      <c r="U104" s="49"/>
      <c r="V104" s="49"/>
      <c r="Y104" s="69"/>
      <c r="Z104" s="69"/>
      <c r="AA104" s="69"/>
      <c r="AB104" s="55" t="str">
        <f>IF(LEN(R104&amp;S104&amp;T104&amp;U104&amp;V104)&gt;0,"epics","")</f>
        <v/>
      </c>
      <c r="AC104" s="52" t="str">
        <f>IF(NOT(ISBLANK(V104)),"base",IF(AB104="epics",IF(AND(ISBLANK(P104),ISBLANK(Q104)),"nmp","map"),""))</f>
        <v/>
      </c>
      <c r="AD104" s="27" t="str">
        <f>UPPER(AD$1&amp;":"&amp;D104)</f>
        <v>:</v>
      </c>
      <c r="AE104" s="25" t="str">
        <f>UPPER(AE$1&amp;":"&amp;E104)</f>
        <v>:ST_STANDBY</v>
      </c>
      <c r="AF104" s="27" t="str">
        <f>SUBSTITUTE(D104,"_","")</f>
        <v/>
      </c>
      <c r="AG104" s="25" t="str">
        <f>SUBSTITUTE(E104,"_","")&amp;IF(AND(RIGHT(P104)&lt;&gt;"s",RIGHT(Q104)&lt;&gt;"s"),"","")</f>
        <v>stStandby</v>
      </c>
      <c r="AH104" s="25" t="str">
        <f>IF(ISNUMBER(Y104),Y104,"$(P)"&amp;$AE$1&amp;":"&amp;Y104)</f>
        <v>$(P):</v>
      </c>
      <c r="AI104" s="25" t="str">
        <f>IF(ISNUMBER(Z104),Z104,"$(P)"&amp;$AE$1&amp;":"&amp;Z104)</f>
        <v>$(P):</v>
      </c>
      <c r="AJ104" s="25"/>
      <c r="AK104" s="12" t="str">
        <f>IF(AC104="map",IF(G104="float",y_varMapAnalog,IF(G104="int",y_varMapLongint,IF(G104="bool",y_varMapBool,IF(G104="string",y_varMapString,IF(G104="option",y_varMapOption,"#unknown Type"))))),IF(AC104="nmp",y_nonMappedAnalog,""))</f>
        <v/>
      </c>
      <c r="AL104" s="12" t="e">
        <f>VLOOKUP(G104,y_mapProtocolLUT,3)</f>
        <v>#N/A</v>
      </c>
      <c r="AM104" s="12" t="e">
        <f>VLOOKUP(G104,y_mapProtocolLUT,2)</f>
        <v>#N/A</v>
      </c>
      <c r="AN104" s="25" t="e">
        <f>IF(LEN(AG104)&gt;0,SUBSTITUTE(SUBSTITUTE(SUBSTITUTE(AK104,"$(DTYP)",y_DTYPE),"$(SETPROTO)",AM104),"$(GETPROTO)",AL104),"")</f>
        <v>#N/A</v>
      </c>
      <c r="AO104" s="25" t="str">
        <f>IFERROR(SUBSTITUTE(SUBSTITUTE(SUBSTITUTE(SUBSTITUTE(SUBSTITUTE(SUBSTITUTE(SUBSTITUTE(SUBSTITUTE(SUBSTITUTE(AN104,"$(Q)",AE104),"$(EGU)",K104),"$(PREC)",N104),"$(VAR)",TRIM(CLEAN(y_dedicatedCS&amp;F104))),"$(GetSB)",AH104),"$(SetSB)",AI104),"$(DESC)",LEFT(I104,40)),"$(ENUMS)",AJ104),"$(DEFAULT)",H104),"")</f>
        <v/>
      </c>
      <c r="AP104" s="25" t="str">
        <f>IF(ISNUMBER(W104),SUBSTITUTE(SUBSTITUTE(SUBSTITUTE(SUBSTITUTE(SUBSTITUTE(SUBSTITUTE(SUBSTITUTE(SUBSTITUTE(y_QLabel &amp; IF(RIGHT(R104)="s",y_QELineEdit,y_QELabel),"~PVNAME",$AE104&amp;IF($AC104="map","","")),"~EGU",$K104),"~PREC",$N104),"~VAR",$F104),"~CANGET",$AH104),"~CANSET",$AI104),"~ROW",W104),"~NAME",$E104),"")</f>
        <v/>
      </c>
      <c r="AQ104" s="25" t="str">
        <f>IF(ISNUMBER(X104),SUBSTITUTE(SUBSTITUTE(SUBSTITUTE(SUBSTITUTE(SUBSTITUTE(SUBSTITUTE(SUBSTITUTE(SUBSTITUTE(y_QLabel &amp; IF(RIGHT(S104)="s",y_QELineEdit,y_QELabel),"~PVNAME",$AE104&amp;IF($AC104="map",":RBV","")),"~EGU",$K104),"~PREC",$N104),"~VAR",$F104),"~CANGET",$AH104),"~CANSET",$AI104),"~ROW",X104),"~NAME",$E104),"")</f>
        <v/>
      </c>
      <c r="AR104" s="25" t="e">
        <f>VLOOKUP(G104,y_EPICS_Formats,2,FALSE)</f>
        <v>#N/A</v>
      </c>
      <c r="AS104" s="25" t="str">
        <f>IF(AB104="epics",y_Prefix&amp;AE104&amp;" = ","")</f>
        <v/>
      </c>
      <c r="AT104" s="25" t="str">
        <f>IF(LEN(P104&amp;Q104)&gt;0,IFERROR(";"&amp;I104&amp;"["&amp;K104&amp;"]"&amp;AB104&amp;"("&amp;AC104&amp;")"&amp;CHAR(10)&amp;C104 &amp;CHAR(9)&amp;AG104&amp;CHAR(9)&amp;F104 &amp;CHAR(9),";;Error!"),"")</f>
        <v xml:space="preserve">;Standby, waiting for user setup[]()
#define	stStandby	2	</v>
      </c>
      <c r="AU104" s="25" t="str">
        <f>IF(IFERROR(AND(AA104&gt;0,LEN(AN104)&gt;0),FALSE),SUBSTITUTE(SUBSTITUTE(SUBSTITUTE(y_archiverXML,"~PVNAME",AE104),"~PREFIX",y_Prefix),"~PERIOD",MIN(30,AA104)),"")</f>
        <v/>
      </c>
      <c r="AV104" s="11" t="str">
        <f>IF($AB104="epics",AV$1-LEN(AE104),"")</f>
        <v/>
      </c>
      <c r="AW104" s="11" t="str">
        <f>IF($AB104="epics",AW$1-LEN(AH104),"")</f>
        <v/>
      </c>
      <c r="AX104" s="11" t="str">
        <f>IF($AB104="epics",AX$1-LEN(AI104),"")</f>
        <v/>
      </c>
      <c r="AY104" s="11" t="str">
        <f>IF($AB104="epics",AY$1-LEN(I104)-LEN(" readback"),"")</f>
        <v/>
      </c>
      <c r="AZ104" s="12">
        <f>IF(LEN(F104)&gt;0,IFERROR(VALUE(RIGHT(F104,LEN(F104)-1)),F104),"zzzzz")</f>
        <v>2</v>
      </c>
      <c r="BA104" s="12">
        <f>IFERROR(VALUE(RIGHT(F104,LEN(F104)-1)),F104)</f>
        <v>2</v>
      </c>
      <c r="BB104" s="22" t="str">
        <f>y_Prefix&amp;AE104</f>
        <v>SR05ID01FST01:ST_STANDBY</v>
      </c>
    </row>
    <row r="105" spans="1:54" ht="15.75" customHeight="1" x14ac:dyDescent="0.25">
      <c r="A105" s="22">
        <v>100</v>
      </c>
      <c r="B105" s="23"/>
      <c r="C105" s="30" t="str">
        <f>IF(AND(ISBLANK(P105),ISBLANK(Q105)),";","#define")</f>
        <v>#define</v>
      </c>
      <c r="D105" s="9"/>
      <c r="E105" s="24" t="s">
        <v>708</v>
      </c>
      <c r="F105" s="10">
        <v>1</v>
      </c>
      <c r="G105" s="10"/>
      <c r="H105" s="10">
        <v>1</v>
      </c>
      <c r="I105" s="61"/>
      <c r="J105" s="10" t="s">
        <v>625</v>
      </c>
      <c r="K105" s="10"/>
      <c r="L105" s="10"/>
      <c r="M105" s="10"/>
      <c r="N105" s="10"/>
      <c r="O105" s="15"/>
      <c r="P105" s="49" t="s">
        <v>365</v>
      </c>
      <c r="Q105" s="49"/>
      <c r="R105" s="49"/>
      <c r="S105" s="49"/>
      <c r="T105" s="49"/>
      <c r="U105" s="49"/>
      <c r="V105" s="49"/>
      <c r="Y105" s="69"/>
      <c r="Z105" s="69"/>
      <c r="AA105" s="69"/>
      <c r="AB105" s="55" t="str">
        <f>IF(LEN(R105&amp;S105&amp;T105&amp;U105&amp;V105)&gt;0,"epics","")</f>
        <v/>
      </c>
      <c r="AC105" s="52" t="str">
        <f>IF(NOT(ISBLANK(V105)),"base",IF(AB105="epics",IF(AND(ISBLANK(P105),ISBLANK(Q105)),"nmp","map"),""))</f>
        <v/>
      </c>
      <c r="AD105" s="27" t="str">
        <f>UPPER(AD$1&amp;":"&amp;D105)</f>
        <v>:</v>
      </c>
      <c r="AE105" s="25" t="str">
        <f>UPPER(AE$1&amp;":"&amp;E105)</f>
        <v>:ST_TERMINATED</v>
      </c>
      <c r="AF105" s="27" t="str">
        <f>SUBSTITUTE(D105,"_","")</f>
        <v/>
      </c>
      <c r="AG105" s="25" t="str">
        <f>SUBSTITUTE(E105,"_","")&amp;IF(AND(RIGHT(P105)&lt;&gt;"s",RIGHT(Q105)&lt;&gt;"s"),"","")</f>
        <v>stTerminated</v>
      </c>
      <c r="AH105" s="25" t="str">
        <f>IF(ISNUMBER(Y105),Y105,"$(P)"&amp;$AE$1&amp;":"&amp;Y105)</f>
        <v>$(P):</v>
      </c>
      <c r="AI105" s="25" t="str">
        <f>IF(ISNUMBER(Z105),Z105,"$(P)"&amp;$AE$1&amp;":"&amp;Z105)</f>
        <v>$(P):</v>
      </c>
      <c r="AJ105" s="25"/>
      <c r="AK105" s="12" t="str">
        <f>IF(AC105="map",IF(G105="float",y_varMapAnalog,IF(G105="int",y_varMapLongint,IF(G105="bool",y_varMapBool,IF(G105="string",y_varMapString,IF(G105="option",y_varMapOption,"#unknown Type"))))),IF(AC105="nmp",y_nonMappedAnalog,""))</f>
        <v/>
      </c>
      <c r="AL105" s="12" t="e">
        <f>VLOOKUP(G105,y_mapProtocolLUT,3)</f>
        <v>#N/A</v>
      </c>
      <c r="AM105" s="12" t="e">
        <f>VLOOKUP(G105,y_mapProtocolLUT,2)</f>
        <v>#N/A</v>
      </c>
      <c r="AN105" s="25" t="e">
        <f>IF(LEN(AG105)&gt;0,SUBSTITUTE(SUBSTITUTE(SUBSTITUTE(AK105,"$(DTYP)",y_DTYPE),"$(SETPROTO)",AM105),"$(GETPROTO)",AL105),"")</f>
        <v>#N/A</v>
      </c>
      <c r="AO105" s="25" t="str">
        <f>IFERROR(SUBSTITUTE(SUBSTITUTE(SUBSTITUTE(SUBSTITUTE(SUBSTITUTE(SUBSTITUTE(SUBSTITUTE(SUBSTITUTE(SUBSTITUTE(AN105,"$(Q)",AE105),"$(EGU)",K105),"$(PREC)",N105),"$(VAR)",TRIM(CLEAN(y_dedicatedCS&amp;F105))),"$(GetSB)",AH105),"$(SetSB)",AI105),"$(DESC)",LEFT(I105,40)),"$(ENUMS)",AJ105),"$(DEFAULT)",H105),"")</f>
        <v/>
      </c>
      <c r="AP105" s="25" t="str">
        <f>IF(ISNUMBER(W105),SUBSTITUTE(SUBSTITUTE(SUBSTITUTE(SUBSTITUTE(SUBSTITUTE(SUBSTITUTE(SUBSTITUTE(SUBSTITUTE(y_QLabel &amp; IF(RIGHT(R105)="s",y_QELineEdit,y_QELabel),"~PVNAME",$AE105&amp;IF($AC105="map","","")),"~EGU",$K105),"~PREC",$N105),"~VAR",$F105),"~CANGET",$AH105),"~CANSET",$AI105),"~ROW",W105),"~NAME",$E105),"")</f>
        <v/>
      </c>
      <c r="AQ105" s="25" t="str">
        <f>IF(ISNUMBER(X105),SUBSTITUTE(SUBSTITUTE(SUBSTITUTE(SUBSTITUTE(SUBSTITUTE(SUBSTITUTE(SUBSTITUTE(SUBSTITUTE(y_QLabel &amp; IF(RIGHT(S105)="s",y_QELineEdit,y_QELabel),"~PVNAME",$AE105&amp;IF($AC105="map",":RBV","")),"~EGU",$K105),"~PREC",$N105),"~VAR",$F105),"~CANGET",$AH105),"~CANSET",$AI105),"~ROW",X105),"~NAME",$E105),"")</f>
        <v/>
      </c>
      <c r="AR105" s="25" t="e">
        <f>VLOOKUP(G105,y_EPICS_Formats,2,FALSE)</f>
        <v>#N/A</v>
      </c>
      <c r="AS105" s="25" t="str">
        <f>IF(AB105="epics",y_Prefix&amp;AE105&amp;" = ","")</f>
        <v/>
      </c>
      <c r="AT105" s="25" t="str">
        <f>IF(LEN(P105&amp;Q105)&gt;0,IFERROR(";"&amp;I105&amp;"["&amp;K105&amp;"]"&amp;AB105&amp;"("&amp;AC105&amp;")"&amp;CHAR(10)&amp;C105 &amp;CHAR(9)&amp;AG105&amp;CHAR(9)&amp;F105 &amp;CHAR(9),";;Error!"),"")</f>
        <v xml:space="preserve">;[]()
#define	stTerminated	1	</v>
      </c>
      <c r="AU105" s="25" t="str">
        <f>IF(IFERROR(AND(AA105&gt;0,LEN(AN105)&gt;0),FALSE),SUBSTITUTE(SUBSTITUTE(SUBSTITUTE(y_archiverXML,"~PVNAME",AE105),"~PREFIX",y_Prefix),"~PERIOD",MIN(30,AA105)),"")</f>
        <v/>
      </c>
      <c r="AV105" s="11" t="str">
        <f>IF($AB105="epics",AV$1-LEN(AE105),"")</f>
        <v/>
      </c>
      <c r="AW105" s="11" t="str">
        <f>IF($AB105="epics",AW$1-LEN(AH105),"")</f>
        <v/>
      </c>
      <c r="AX105" s="11" t="str">
        <f>IF($AB105="epics",AX$1-LEN(AI105),"")</f>
        <v/>
      </c>
      <c r="AY105" s="11" t="str">
        <f>IF($AB105="epics",AY$1-LEN(I105)-LEN(" readback"),"")</f>
        <v/>
      </c>
      <c r="AZ105" s="12">
        <f>IF(LEN(F105)&gt;0,IFERROR(VALUE(RIGHT(F105,LEN(F105)-1)),F105),"zzzzz")</f>
        <v>1</v>
      </c>
      <c r="BA105" s="12">
        <f>IFERROR(VALUE(RIGHT(F105,LEN(F105)-1)),F105)</f>
        <v>1</v>
      </c>
      <c r="BB105" s="22" t="str">
        <f>y_Prefix&amp;AE105</f>
        <v>SR05ID01FST01:ST_TERMINATED</v>
      </c>
    </row>
    <row r="106" spans="1:54" ht="15.75" customHeight="1" x14ac:dyDescent="0.25">
      <c r="A106" s="22">
        <v>101</v>
      </c>
      <c r="B106" s="23"/>
      <c r="C106" s="30" t="str">
        <f>IF(AND(ISBLANK(P106),ISBLANK(Q106)),";","#define")</f>
        <v>;</v>
      </c>
      <c r="D106" s="28"/>
      <c r="E106" s="22" t="s">
        <v>782</v>
      </c>
      <c r="F106" s="10" t="s">
        <v>621</v>
      </c>
      <c r="G106" s="10"/>
      <c r="H106" s="10"/>
      <c r="I106" s="61" t="s">
        <v>797</v>
      </c>
      <c r="J106" s="10" t="s">
        <v>693</v>
      </c>
      <c r="K106" s="10"/>
      <c r="L106" s="10"/>
      <c r="M106" s="10"/>
      <c r="N106" s="10"/>
      <c r="O106" s="15"/>
      <c r="P106" s="49"/>
      <c r="Q106" s="49"/>
      <c r="R106" s="49"/>
      <c r="S106" s="49"/>
      <c r="T106" s="49"/>
      <c r="U106" s="49"/>
      <c r="V106" s="49" t="s">
        <v>365</v>
      </c>
      <c r="Y106" s="69"/>
      <c r="Z106" s="69"/>
      <c r="AB106" s="55" t="str">
        <f>IF(LEN(R106&amp;S106&amp;T106&amp;U106&amp;V106)&gt;0,"epics","")</f>
        <v>epics</v>
      </c>
      <c r="AC106" s="52" t="str">
        <f>IF(NOT(ISBLANK(V106)),"base",IF(AB106="epics",IF(AND(ISBLANK(P106),ISBLANK(Q106)),"nmp","map"),""))</f>
        <v>base</v>
      </c>
      <c r="AD106" s="27" t="str">
        <f>UPPER(AD$1&amp;":"&amp;D106)</f>
        <v>:</v>
      </c>
      <c r="AE106" s="25" t="str">
        <f>UPPER(AE$1&amp;":"&amp;E106)</f>
        <v>:EN_TRAJSET</v>
      </c>
      <c r="AF106" s="27" t="str">
        <f>SUBSTITUTE(D106,"_","")</f>
        <v/>
      </c>
      <c r="AG106" s="25" t="str">
        <f>SUBSTITUTE(E106,"_","")&amp;IF(AND(RIGHT(P106)&lt;&gt;"s",RIGHT(Q106)&lt;&gt;"s"),"","")</f>
        <v>enTrajSet</v>
      </c>
      <c r="AH106" s="25" t="str">
        <f>IF(ISNUMBER(Y106),Y106,"$(P)"&amp;$AE$1&amp;":"&amp;Y106)</f>
        <v>$(P):</v>
      </c>
      <c r="AI106" s="25" t="str">
        <f>IF(ISNUMBER(Z106),Z106,"$(P)"&amp;$AE$1&amp;":"&amp;Z106)</f>
        <v>$(P):</v>
      </c>
      <c r="AJ106" s="25"/>
      <c r="AK106" s="12" t="str">
        <f>IF(AC106="map",IF(G106="float",y_varMapAnalog,IF(G106="int",y_varMapLongint,IF(G106="bool",y_varMapBool,IF(G106="string",y_varMapString,IF(G106="option",y_varMapOption,"#unknown Type"))))),IF(AC106="nmp",y_nonMappedAnalog,""))</f>
        <v/>
      </c>
      <c r="AL106" s="12" t="e">
        <f>VLOOKUP(G106,y_mapProtocolLUT,3)</f>
        <v>#N/A</v>
      </c>
      <c r="AM106" s="12" t="e">
        <f>VLOOKUP(G106,y_mapProtocolLUT,2)</f>
        <v>#N/A</v>
      </c>
      <c r="AN106" s="25" t="e">
        <f>IF(LEN(AG106)&gt;0,SUBSTITUTE(SUBSTITUTE(SUBSTITUTE(AK106,"$(DTYP)",y_DTYPE),"$(SETPROTO)",AM106),"$(GETPROTO)",AL106),"")</f>
        <v>#N/A</v>
      </c>
      <c r="AO106" s="25" t="str">
        <f>IFERROR(SUBSTITUTE(SUBSTITUTE(SUBSTITUTE(SUBSTITUTE(SUBSTITUTE(SUBSTITUTE(SUBSTITUTE(SUBSTITUTE(SUBSTITUTE(AN106,"$(Q)",AE106),"$(EGU)",K106),"$(PREC)",N106),"$(VAR)",TRIM(CLEAN(y_dedicatedCS&amp;F106))),"$(GetSB)",AH106),"$(SetSB)",AI106),"$(DESC)",LEFT(I106,40)),"$(ENUMS)",AJ106),"$(DEFAULT)",H106),"")</f>
        <v/>
      </c>
      <c r="AP106" s="25" t="str">
        <f>IF(ISNUMBER(W106),SUBSTITUTE(SUBSTITUTE(SUBSTITUTE(SUBSTITUTE(SUBSTITUTE(SUBSTITUTE(SUBSTITUTE(SUBSTITUTE(y_QLabel &amp; IF(RIGHT(R106)="s",y_QELineEdit,y_QELabel),"~PVNAME",$AE106&amp;IF($AC106="map","","")),"~EGU",$K106),"~PREC",$N106),"~VAR",$F106),"~CANGET",$AH106),"~CANSET",$AI106),"~ROW",W106),"~NAME",$E106),"")</f>
        <v/>
      </c>
      <c r="AQ106" s="25" t="str">
        <f>IF(ISNUMBER(X106),SUBSTITUTE(SUBSTITUTE(SUBSTITUTE(SUBSTITUTE(SUBSTITUTE(SUBSTITUTE(SUBSTITUTE(SUBSTITUTE(y_QLabel &amp; IF(RIGHT(S106)="s",y_QELineEdit,y_QELabel),"~PVNAME",$AE106&amp;IF($AC106="map",":RBV","")),"~EGU",$K106),"~PREC",$N106),"~VAR",$F106),"~CANGET",$AH106),"~CANSET",$AI106),"~ROW",X106),"~NAME",$E106),"")</f>
        <v/>
      </c>
      <c r="AR106" s="25" t="e">
        <f>VLOOKUP(G106,y_EPICS_Formats,2,FALSE)</f>
        <v>#N/A</v>
      </c>
      <c r="AS106" s="25" t="str">
        <f>IF(AB106="epics",y_Prefix&amp;AE106&amp;" = ","")</f>
        <v xml:space="preserve">SR05ID01FST01:EN_TRAJSET = </v>
      </c>
      <c r="AT106" s="25" t="str">
        <f>IF(LEN(P106&amp;Q106)&gt;0,IFERROR(";"&amp;I106&amp;"["&amp;K106&amp;"]"&amp;AB106&amp;"("&amp;AC106&amp;")"&amp;CHAR(10)&amp;C106 &amp;CHAR(9)&amp;AG106&amp;CHAR(9)&amp;F106 &amp;CHAR(9),";;Error!"),"")</f>
        <v/>
      </c>
      <c r="AU106" s="25" t="str">
        <f>IF(IFERROR(AND(AA106&gt;0,LEN(AN106)&gt;0),FALSE),SUBSTITUTE(SUBSTITUTE(SUBSTITUTE(y_archiverXML,"~PVNAME",AE106),"~PREFIX",y_Prefix),"~PERIOD",MIN(30,AA106)),"")</f>
        <v/>
      </c>
      <c r="AV106" s="11">
        <f>IF($AB106="epics",AV$1-LEN(AE106),"")</f>
        <v>8</v>
      </c>
      <c r="AW106" s="11">
        <f>IF($AB106="epics",AW$1-LEN(AH106),"")</f>
        <v>19</v>
      </c>
      <c r="AX106" s="11">
        <f>IF($AB106="epics",AX$1-LEN(AI106),"")</f>
        <v>19</v>
      </c>
      <c r="AY106" s="11">
        <f>IF($AB106="epics",AY$1-LEN(I106)-LEN(" readback"),"")</f>
        <v>0</v>
      </c>
      <c r="AZ106" s="12" t="str">
        <f>IF(LEN(F106)&gt;0,IFERROR(VALUE(RIGHT(F106,LEN(F106)-1)),F106),"zzzzz")</f>
        <v>x</v>
      </c>
      <c r="BA106" s="12" t="str">
        <f>IFERROR(VALUE(RIGHT(F106,LEN(F106)-1)),F106)</f>
        <v>x</v>
      </c>
      <c r="BB106" s="22" t="str">
        <f>y_Prefix&amp;AE106</f>
        <v>SR05ID01FST01:EN_TRAJSET</v>
      </c>
    </row>
    <row r="107" spans="1:54" ht="15.75" customHeight="1" x14ac:dyDescent="0.25">
      <c r="A107" s="22">
        <v>102</v>
      </c>
      <c r="B107" s="23"/>
      <c r="C107" s="30" t="str">
        <f>IF(AND(ISBLANK(P107),ISBLANK(Q107)),";","#define")</f>
        <v>#define</v>
      </c>
      <c r="D107" s="9"/>
      <c r="E107" s="24" t="s">
        <v>709</v>
      </c>
      <c r="F107" s="10">
        <v>4.0949999999999998</v>
      </c>
      <c r="G107" s="10" t="s">
        <v>77</v>
      </c>
      <c r="H107" s="10">
        <v>4.0949999999999998</v>
      </c>
      <c r="I107" s="61" t="s">
        <v>710</v>
      </c>
      <c r="J107" s="10" t="s">
        <v>625</v>
      </c>
      <c r="K107" s="10"/>
      <c r="L107" s="10"/>
      <c r="M107" s="10"/>
      <c r="N107" s="10">
        <v>4</v>
      </c>
      <c r="O107" s="15"/>
      <c r="P107" s="49" t="s">
        <v>365</v>
      </c>
      <c r="Q107" s="49"/>
      <c r="R107" s="49"/>
      <c r="S107" s="49"/>
      <c r="T107" s="49"/>
      <c r="U107" s="49"/>
      <c r="V107" s="49"/>
      <c r="Y107" s="69"/>
      <c r="Z107" s="69"/>
      <c r="AA107" s="69"/>
      <c r="AB107" s="55" t="str">
        <f>IF(LEN(R107&amp;S107&amp;T107&amp;U107&amp;V107)&gt;0,"epics","")</f>
        <v/>
      </c>
      <c r="AC107" s="52" t="str">
        <f>IF(NOT(ISBLANK(V107)),"base",IF(AB107="epics",IF(AND(ISBLANK(P107),ISBLANK(Q107)),"nmp","map"),""))</f>
        <v/>
      </c>
      <c r="AD107" s="27" t="str">
        <f>UPPER(AD$1&amp;":"&amp;D107)</f>
        <v>:</v>
      </c>
      <c r="AE107" s="25" t="str">
        <f>UPPER(AE$1&amp;":"&amp;E107)</f>
        <v>:T_AHLM</v>
      </c>
      <c r="AF107" s="27" t="str">
        <f>SUBSTITUTE(D107,"_","")</f>
        <v/>
      </c>
      <c r="AG107" s="25" t="str">
        <f>SUBSTITUTE(E107,"_","")&amp;IF(AND(RIGHT(P107)&lt;&gt;"s",RIGHT(Q107)&lt;&gt;"s"),"","")</f>
        <v>tAHLM</v>
      </c>
      <c r="AH107" s="25" t="str">
        <f>IF(ISNUMBER(Y107),Y107,"$(P)"&amp;$AE$1&amp;":"&amp;Y107)</f>
        <v>$(P):</v>
      </c>
      <c r="AI107" s="25" t="str">
        <f>IF(ISNUMBER(Z107),Z107,"$(P)"&amp;$AE$1&amp;":"&amp;Z107)</f>
        <v>$(P):</v>
      </c>
      <c r="AJ107" s="25"/>
      <c r="AK107" s="12" t="str">
        <f>IF(AC107="map",IF(G107="float",y_varMapAnalog,IF(G107="int",y_varMapLongint,IF(G107="bool",y_varMapBool,IF(G107="string",y_varMapString,IF(G107="option",y_varMapOption,"#unknown Type"))))),IF(AC107="nmp",y_nonMappedAnalog,""))</f>
        <v/>
      </c>
      <c r="AL107" s="12" t="str">
        <f>VLOOKUP(G107,y_mapProtocolLUT,3)</f>
        <v>@pmac.proto getVar($(VAR)) $(PORT)</v>
      </c>
      <c r="AM107" s="12" t="str">
        <f>VLOOKUP(G107,y_mapProtocolLUT,2)</f>
        <v>@pmac.proto setVar($(VAR)) $(PORT)</v>
      </c>
      <c r="AN107" s="25" t="str">
        <f>IF(LEN(AG107)&gt;0,SUBSTITUTE(SUBSTITUTE(SUBSTITUTE(AK107,"$(DTYP)",y_DTYPE),"$(SETPROTO)",AM107),"$(GETPROTO)",AL107),"")</f>
        <v/>
      </c>
      <c r="AO107" s="25" t="str">
        <f>IFERROR(SUBSTITUTE(SUBSTITUTE(SUBSTITUTE(SUBSTITUTE(SUBSTITUTE(SUBSTITUTE(SUBSTITUTE(SUBSTITUTE(SUBSTITUTE(AN107,"$(Q)",AE107),"$(EGU)",K107),"$(PREC)",N107),"$(VAR)",TRIM(CLEAN(y_dedicatedCS&amp;F107))),"$(GetSB)",AH107),"$(SetSB)",AI107),"$(DESC)",LEFT(I107,40)),"$(ENUMS)",AJ107),"$(DEFAULT)",H107),"")</f>
        <v/>
      </c>
      <c r="AP107" s="25" t="str">
        <f>IF(ISNUMBER(W107),SUBSTITUTE(SUBSTITUTE(SUBSTITUTE(SUBSTITUTE(SUBSTITUTE(SUBSTITUTE(SUBSTITUTE(SUBSTITUTE(y_QLabel &amp; IF(RIGHT(R107)="s",y_QELineEdit,y_QELabel),"~PVNAME",$AE107&amp;IF($AC107="map","","")),"~EGU",$K107),"~PREC",$N107),"~VAR",$F107),"~CANGET",$AH107),"~CANSET",$AI107),"~ROW",W107),"~NAME",$E107),"")</f>
        <v/>
      </c>
      <c r="AQ107" s="25" t="str">
        <f>IF(ISNUMBER(X107),SUBSTITUTE(SUBSTITUTE(SUBSTITUTE(SUBSTITUTE(SUBSTITUTE(SUBSTITUTE(SUBSTITUTE(SUBSTITUTE(y_QLabel &amp; IF(RIGHT(S107)="s",y_QELineEdit,y_QELabel),"~PVNAME",$AE107&amp;IF($AC107="map",":RBV","")),"~EGU",$K107),"~PREC",$N107),"~VAR",$F107),"~CANGET",$AH107),"~CANSET",$AI107),"~ROW",X107),"~NAME",$E107),"")</f>
        <v/>
      </c>
      <c r="AR107" s="25" t="e">
        <f>VLOOKUP(G107,y_EPICS_Formats,2,FALSE)</f>
        <v>#N/A</v>
      </c>
      <c r="AS107" s="25" t="str">
        <f>IF(AB107="epics",y_Prefix&amp;AE107&amp;" = ","")</f>
        <v/>
      </c>
      <c r="AT107" s="25" t="str">
        <f>IF(LEN(P107&amp;Q107)&gt;0,IFERROR(";"&amp;I107&amp;"["&amp;K107&amp;"]"&amp;AB107&amp;"("&amp;AC107&amp;")"&amp;CHAR(10)&amp;C107 &amp;CHAR(9)&amp;AG107&amp;CHAR(9)&amp;F107 &amp;CHAR(9),";;Error!"),"")</f>
        <v xml:space="preserve">;Absolute high limit for time vars[]()
#define	tAHLM	4.095	</v>
      </c>
      <c r="AU107" s="25" t="str">
        <f>IF(IFERROR(AND(AA107&gt;0,LEN(AN107)&gt;0),FALSE),SUBSTITUTE(SUBSTITUTE(SUBSTITUTE(y_archiverXML,"~PVNAME",AE107),"~PREFIX",y_Prefix),"~PERIOD",MIN(30,AA107)),"")</f>
        <v/>
      </c>
      <c r="AV107" s="11" t="str">
        <f>IF($AB107="epics",AV$1-LEN(AE107),"")</f>
        <v/>
      </c>
      <c r="AW107" s="11" t="str">
        <f>IF($AB107="epics",AW$1-LEN(AH107),"")</f>
        <v/>
      </c>
      <c r="AX107" s="11" t="str">
        <f>IF($AB107="epics",AX$1-LEN(AI107),"")</f>
        <v/>
      </c>
      <c r="AY107" s="11" t="str">
        <f>IF($AB107="epics",AY$1-LEN(I107)-LEN(" readback"),"")</f>
        <v/>
      </c>
      <c r="AZ107" s="12">
        <f>IF(LEN(F107)&gt;0,IFERROR(VALUE(RIGHT(F107,LEN(F107)-1)),F107),"zzzzz")</f>
        <v>9.5000000000000001E-2</v>
      </c>
      <c r="BA107" s="12">
        <f>IFERROR(VALUE(RIGHT(F107,LEN(F107)-1)),F107)</f>
        <v>9.5000000000000001E-2</v>
      </c>
      <c r="BB107" s="22" t="str">
        <f>y_Prefix&amp;AE107</f>
        <v>SR05ID01FST01:T_AHLM</v>
      </c>
    </row>
    <row r="108" spans="1:54" ht="15.75" customHeight="1" x14ac:dyDescent="0.25">
      <c r="A108" s="22">
        <v>103</v>
      </c>
      <c r="B108" s="23"/>
      <c r="C108" s="30" t="str">
        <f>IF(AND(ISBLANK(P108),ISBLANK(Q108)),";","#define")</f>
        <v>#define</v>
      </c>
      <c r="D108" s="68"/>
      <c r="E108" s="22" t="s">
        <v>711</v>
      </c>
      <c r="F108" s="10">
        <v>1E-3</v>
      </c>
      <c r="G108" s="10" t="s">
        <v>77</v>
      </c>
      <c r="H108" s="10"/>
      <c r="I108" s="61" t="s">
        <v>712</v>
      </c>
      <c r="J108" s="10" t="s">
        <v>625</v>
      </c>
      <c r="K108" s="10"/>
      <c r="L108" s="10"/>
      <c r="M108" s="10"/>
      <c r="N108" s="10">
        <v>4</v>
      </c>
      <c r="O108" s="15"/>
      <c r="P108" s="49" t="s">
        <v>365</v>
      </c>
      <c r="Q108" s="49"/>
      <c r="R108" s="49"/>
      <c r="S108" s="49"/>
      <c r="T108" s="49"/>
      <c r="U108" s="49"/>
      <c r="V108" s="49"/>
      <c r="Y108" s="69"/>
      <c r="Z108" s="69"/>
      <c r="AA108" s="69"/>
      <c r="AB108" s="55" t="str">
        <f>IF(LEN(R108&amp;S108&amp;T108&amp;U108&amp;V108)&gt;0,"epics","")</f>
        <v/>
      </c>
      <c r="AC108" s="52" t="str">
        <f>IF(NOT(ISBLANK(V108)),"base",IF(AB108="epics",IF(AND(ISBLANK(P108),ISBLANK(Q108)),"nmp","map"),""))</f>
        <v/>
      </c>
      <c r="AD108" s="27" t="str">
        <f>UPPER(AD$1&amp;":"&amp;D108)</f>
        <v>:</v>
      </c>
      <c r="AE108" s="25" t="str">
        <f>UPPER(AE$1&amp;":"&amp;E108)</f>
        <v>:T_ALLM</v>
      </c>
      <c r="AF108" s="27" t="str">
        <f>SUBSTITUTE(D108,"_","")</f>
        <v/>
      </c>
      <c r="AG108" s="25" t="str">
        <f>SUBSTITUTE(E108,"_","")&amp;IF(AND(RIGHT(P108)&lt;&gt;"s",RIGHT(Q108)&lt;&gt;"s"),"","")</f>
        <v>tALLM</v>
      </c>
      <c r="AH108" s="25" t="str">
        <f>IF(ISNUMBER(Y108),Y108,"$(P)"&amp;$AE$1&amp;":"&amp;Y108)</f>
        <v>$(P):</v>
      </c>
      <c r="AI108" s="25" t="str">
        <f>IF(ISNUMBER(Z108),Z108,"$(P)"&amp;$AE$1&amp;":"&amp;Z108)</f>
        <v>$(P):</v>
      </c>
      <c r="AJ108" s="25"/>
      <c r="AK108" s="12" t="str">
        <f>IF(AC108="map",IF(G108="float",y_varMapAnalog,IF(G108="int",y_varMapLongint,IF(G108="bool",y_varMapBool,IF(G108="string",y_varMapString,IF(G108="option",y_varMapOption,"#unknown Type"))))),IF(AC108="nmp",y_nonMappedAnalog,""))</f>
        <v/>
      </c>
      <c r="AL108" s="12" t="str">
        <f>VLOOKUP(G108,y_mapProtocolLUT,3)</f>
        <v>@pmac.proto getVar($(VAR)) $(PORT)</v>
      </c>
      <c r="AM108" s="12" t="str">
        <f>VLOOKUP(G108,y_mapProtocolLUT,2)</f>
        <v>@pmac.proto setVar($(VAR)) $(PORT)</v>
      </c>
      <c r="AN108" s="25" t="str">
        <f>IF(LEN(AG108)&gt;0,SUBSTITUTE(SUBSTITUTE(SUBSTITUTE(AK108,"$(DTYP)",y_DTYPE),"$(SETPROTO)",AM108),"$(GETPROTO)",AL108),"")</f>
        <v/>
      </c>
      <c r="AO108" s="25" t="str">
        <f>IFERROR(SUBSTITUTE(SUBSTITUTE(SUBSTITUTE(SUBSTITUTE(SUBSTITUTE(SUBSTITUTE(SUBSTITUTE(SUBSTITUTE(SUBSTITUTE(AN108,"$(Q)",AE108),"$(EGU)",K108),"$(PREC)",N108),"$(VAR)",TRIM(CLEAN(y_dedicatedCS&amp;F108))),"$(GetSB)",AH108),"$(SetSB)",AI108),"$(DESC)",LEFT(I108,40)),"$(ENUMS)",AJ108),"$(DEFAULT)",H108),"")</f>
        <v/>
      </c>
      <c r="AP108" s="25" t="str">
        <f>IF(ISNUMBER(W108),SUBSTITUTE(SUBSTITUTE(SUBSTITUTE(SUBSTITUTE(SUBSTITUTE(SUBSTITUTE(SUBSTITUTE(SUBSTITUTE(y_QLabel &amp; IF(RIGHT(R108)="s",y_QELineEdit,y_QELabel),"~PVNAME",$AE108&amp;IF($AC108="map","","")),"~EGU",$K108),"~PREC",$N108),"~VAR",$F108),"~CANGET",$AH108),"~CANSET",$AI108),"~ROW",W108),"~NAME",$E108),"")</f>
        <v/>
      </c>
      <c r="AQ108" s="25" t="str">
        <f>IF(ISNUMBER(X108),SUBSTITUTE(SUBSTITUTE(SUBSTITUTE(SUBSTITUTE(SUBSTITUTE(SUBSTITUTE(SUBSTITUTE(SUBSTITUTE(y_QLabel &amp; IF(RIGHT(S108)="s",y_QELineEdit,y_QELabel),"~PVNAME",$AE108&amp;IF($AC108="map",":RBV","")),"~EGU",$K108),"~PREC",$N108),"~VAR",$F108),"~CANGET",$AH108),"~CANSET",$AI108),"~ROW",X108),"~NAME",$E108),"")</f>
        <v/>
      </c>
      <c r="AR108" s="25" t="e">
        <f>VLOOKUP(G108,y_EPICS_Formats,2,FALSE)</f>
        <v>#N/A</v>
      </c>
      <c r="AS108" s="25" t="str">
        <f>IF(AB108="epics",y_Prefix&amp;AE108&amp;" = ","")</f>
        <v/>
      </c>
      <c r="AT108" s="25" t="str">
        <f>IF(LEN(P108&amp;Q108)&gt;0,IFERROR(";"&amp;I108&amp;"["&amp;K108&amp;"]"&amp;AB108&amp;"("&amp;AC108&amp;")"&amp;CHAR(10)&amp;C108 &amp;CHAR(9)&amp;AG108&amp;CHAR(9)&amp;F108 &amp;CHAR(9),";;Error!"),"")</f>
        <v xml:space="preserve">;absolute low limit for time vars[]()
#define	tALLM	0.001	</v>
      </c>
      <c r="AU108" s="25" t="str">
        <f>IF(IFERROR(AND(AA108&gt;0,LEN(AN108)&gt;0),FALSE),SUBSTITUTE(SUBSTITUTE(SUBSTITUTE(y_archiverXML,"~PVNAME",AE108),"~PREFIX",y_Prefix),"~PERIOD",MIN(30,AA108)),"")</f>
        <v/>
      </c>
      <c r="AV108" s="11" t="str">
        <f>IF($AB108="epics",AV$1-LEN(AE108),"")</f>
        <v/>
      </c>
      <c r="AW108" s="11" t="str">
        <f>IF($AB108="epics",AW$1-LEN(AH108),"")</f>
        <v/>
      </c>
      <c r="AX108" s="11" t="str">
        <f>IF($AB108="epics",AX$1-LEN(AI108),"")</f>
        <v/>
      </c>
      <c r="AY108" s="11" t="str">
        <f>IF($AB108="epics",AY$1-LEN(I108)-LEN(" readback"),"")</f>
        <v/>
      </c>
      <c r="AZ108" s="12">
        <f>IF(LEN(F108)&gt;0,IFERROR(VALUE(RIGHT(F108,LEN(F108)-1)),F108),"zzzzz")</f>
        <v>1E-3</v>
      </c>
      <c r="BA108" s="12">
        <f>IFERROR(VALUE(RIGHT(F108,LEN(F108)-1)),F108)</f>
        <v>1E-3</v>
      </c>
      <c r="BB108" s="22" t="str">
        <f>y_Prefix&amp;AE108</f>
        <v>SR05ID01FST01:T_ALLM</v>
      </c>
    </row>
    <row r="109" spans="1:54" ht="15.75" customHeight="1" x14ac:dyDescent="0.25">
      <c r="A109" s="22">
        <v>104</v>
      </c>
      <c r="B109" s="23"/>
      <c r="C109" s="30" t="str">
        <f>IF(AND(ISBLANK(P109),ISBLANK(Q109)),";","#define")</f>
        <v>#define</v>
      </c>
      <c r="D109" s="29"/>
      <c r="E109" s="24" t="s">
        <v>713</v>
      </c>
      <c r="F109" s="10" t="s">
        <v>714</v>
      </c>
      <c r="G109" s="10" t="s">
        <v>77</v>
      </c>
      <c r="H109" s="10"/>
      <c r="I109" s="61" t="s">
        <v>715</v>
      </c>
      <c r="J109" s="10" t="s">
        <v>35</v>
      </c>
      <c r="K109" s="10" t="s">
        <v>365</v>
      </c>
      <c r="L109" s="10">
        <v>0</v>
      </c>
      <c r="M109" s="10">
        <v>5</v>
      </c>
      <c r="N109" s="10">
        <v>4</v>
      </c>
      <c r="O109" s="15"/>
      <c r="P109" s="49" t="s">
        <v>35</v>
      </c>
      <c r="Q109" s="49"/>
      <c r="R109" s="49" t="s">
        <v>35</v>
      </c>
      <c r="S109" s="49"/>
      <c r="T109" s="49" t="s">
        <v>365</v>
      </c>
      <c r="U109" s="49"/>
      <c r="V109" s="49"/>
      <c r="W109" s="98">
        <v>33</v>
      </c>
      <c r="Y109" s="31" t="s">
        <v>785</v>
      </c>
      <c r="Z109" s="31" t="s">
        <v>785</v>
      </c>
      <c r="AA109" s="31">
        <v>30</v>
      </c>
      <c r="AB109" s="55" t="str">
        <f>IF(LEN(R109&amp;S109&amp;T109&amp;U109&amp;V109)&gt;0,"epics","")</f>
        <v>epics</v>
      </c>
      <c r="AC109" s="52" t="str">
        <f>IF(NOT(ISBLANK(V109)),"base",IF(AB109="epics",IF(AND(ISBLANK(P109),ISBLANK(Q109)),"nmp","map"),""))</f>
        <v>map</v>
      </c>
      <c r="AD109" s="27" t="str">
        <f>UPPER(AD$1&amp;":"&amp;D109)</f>
        <v>:</v>
      </c>
      <c r="AE109" s="25" t="str">
        <f>UPPER(AE$1&amp;":"&amp;E109)</f>
        <v>:T_EDGE</v>
      </c>
      <c r="AF109" s="27" t="str">
        <f>SUBSTITUTE(D109,"_","")</f>
        <v/>
      </c>
      <c r="AG109" s="25" t="str">
        <f>SUBSTITUTE(E109,"_","")&amp;IF(AND(RIGHT(P109)&lt;&gt;"s",RIGHT(Q109)&lt;&gt;"s"),"","")</f>
        <v>tEdge</v>
      </c>
      <c r="AH109" s="25" t="str">
        <f>IF(ISNUMBER(Y109),Y109,"$(P)"&amp;$AE$1&amp;":"&amp;Y109)</f>
        <v>$(P):EN_MONITOR</v>
      </c>
      <c r="AI109" s="25" t="str">
        <f>IF(ISNUMBER(Z109),Z109,"$(P)"&amp;$AE$1&amp;":"&amp;Z109)</f>
        <v>$(P):EN_MONITOR</v>
      </c>
      <c r="AJ109" s="25"/>
      <c r="AK109" s="12" t="str">
        <f>IF(AC109="map",IF(G109="float",y_varMapAnalog,IF(G109="int",y_varMapLongint,IF(G109="bool",y_varMapBool,IF(G109="string",y_varMapString,IF(G109="option",y_varMapOption,"#unknown Type"))))),IF(AC109="nmp",y_nonMappedAnalog,""))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09" s="12" t="str">
        <f>VLOOKUP(G109,y_mapProtocolLUT,3)</f>
        <v>@pmac.proto getVar($(VAR)) $(PORT)</v>
      </c>
      <c r="AM109" s="12" t="str">
        <f>VLOOKUP(G109,y_mapProtocolLUT,2)</f>
        <v>@pmac.proto setVar($(VAR)) $(PORT)</v>
      </c>
      <c r="AN109" s="25" t="str">
        <f>IF(LEN(AG109)&gt;0,SUBSTITUTE(SUBSTITUTE(SUBSTITUTE(AK109,"$(DTYP)",y_DTYPE),"$(SETPROTO)",AM109),"$(GETPROTO)",AL109),"")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09" s="25" t="str">
        <f>IFERROR(SUBSTITUTE(SUBSTITUTE(SUBSTITUTE(SUBSTITUTE(SUBSTITUTE(SUBSTITUTE(SUBSTITUTE(SUBSTITUTE(SUBSTITUTE(AN109,"$(Q)",AE109),"$(EGU)",K109),"$(PREC)",N109),"$(VAR)",TRIM(CLEAN(y_dedicatedCS&amp;F109))),"$(GetSB)",AH109),"$(SetSB)",AI109),"$(DESC)",LEFT(I109,40)),"$(ENUMS)",AJ109),"$(DEFAULT)",H109),"")</f>
        <v>_x000D_
# PVs mapping to P2064 of type Analog_x000D_
record(ao, "$(P):T_EDGE") {_x000D_
  field(DESC, "Edge-skip move time")_x000D_
  field(OUT, "$(P):T_EDGE:SET PP MS")_x000D_
  field(PINI, "NO")_x000D_
  field(EGU, "s") field(PREC, "4")_x000D_
  field(SDIS, "$(P):T_EDGE:SCD MS")_x000D_
  field(DISV, "999999")  _x000D_
}_x000D_
record(ai, "$(P):T_EDGE:RBV") {_x000D_
  field(DESC, "Edge-skip move time readback")_x000D_
  field(DTYP, "stream")_x000D_
  field(INP, "@pmac.proto getVar(P2064) $(PORT)")_x000D_
  field(SDIS, "$(P):EN_MONITOR NPP MS")_x000D_
  field(DISV, "0")_x000D_
  field(PINI, "NO")_x000D_
  field(DISS, "INVALID")_x000D_
  field(EGU, "s") field(PREC, "4")_x000D_
}_x000D_
#% autosave 0 VAL_x000D_
record(ao, "$(P):T_EDGE:SET") {_x000D_
  field(DTYP, "stream")_x000D_
  field(SDIS, "$(P):T_EDGE:ROL PP MS")_x000D_
  field(OUT, "@pmac.proto setVar(P2064) $(PORT)")_x000D_
  field(PINI, "YES")_x000D_
  field(FLNK, "$(P):T_EDGE:SCD")  _x000D_
  field(DISS, "INVALID")_x000D_
}_x000D_
record(calc, "$(P):T_EDGE:ROL") {_x000D_
  field(CALC, "(!B) || A")_x000D_
  field(INPA, "$(P):T_EDGE:SYN.PACT")_x000D_
  field(INPB, "$(P):EN_MONITOR NPP")_x000D_
  field(PINI, "NO")_x000D_
}_x000D_
record(calcout, "$(P):T_EDGE:SYN") {_x000D_
 field(INPA, "$(P):T_EDGE:RBV PP")_x000D_
 field(INPB, "$(P):EN_MONITOR CP MS")_x000D_
 field(INPC, "$(P):EN_MONITOR NPP")_x000D_
 field(INPD, "$(P):T_EDGE:SCD CP MS")_x000D_
 field(INPE, "$(P):T_EDGE:SET NPP")_x000D_
 field(INPF, "$(P):EN_AUTOSYNC CP")_x000D_
 field(SDIS, "$(P):T_EDGE:SET.PACT")_x000D_
 field(DISS, "INVALID")_x000D_
 field(CALC, "((D&gt;0)||(F&gt;0))?A:E")_x000D_
 field(OUT, "$(P):T_EDGE PP MS")_x000D_
 field(PINI, "NO")_x000D_
}_x000D_
record(calc, "$(P):T_EDGE:SCD") {_x000D_
 field(CALC, "(ABS(B-A)&lt;10^(-C))?1:0")_x000D_
 field(INPA, "$(P):T_EDGE:RBV CP MS")_x000D_
 field(INPB, "$(P):T_EDGE:SET CP")_x000D_
 field(INPC, "$(P):T_EDGE:RBV.PREC")_x000D_
 field(PINI, "YES")_x000D_
 field(VAL,"0")_x000D_
 field(LOLO, "0.5")_x000D_
 field(LLSV, "MINOR") _x000D_
}_x000D_
# -----------------------------_x000D_
#</v>
      </c>
      <c r="AP109" s="25" t="str">
        <f>IF(ISNUMBER(W109),SUBSTITUTE(SUBSTITUTE(SUBSTITUTE(SUBSTITUTE(SUBSTITUTE(SUBSTITUTE(SUBSTITUTE(SUBSTITUTE(y_QLabel &amp; IF(RIGHT(R109)="s",y_QELineEdit,y_QELabel),"~PVNAME",$AE109&amp;IF($AC109="map","","")),"~EGU",$K109),"~PREC",$N109),"~VAR",$F109),"~CANGET",$AH109),"~CANSET",$AI109),"~ROW",W109),"~NAME",$E109),"")</f>
        <v xml:space="preserve">&lt;item row="33" column="0"&gt;
         &lt;widget class="QLabel" name="L_t_Edge"&gt;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&lt;string&gt;t_Edge&lt;/string&gt;
          &lt;/property&gt;
          &lt;property name="margin"&gt;
           &lt;number&gt;3&lt;/number&gt;
          &lt;/property&gt;
         &lt;/widget&gt;
        &lt;/item&gt;
&lt;item row="33" column="1"&gt;
         &lt;widget class="QELabel" name="QL_t_Edge"&gt;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&lt;string&gt;$(P)$(R):T_EDGE&lt;/string&gt;
          &lt;/property&gt;
         &lt;/widget&gt;
   &lt;/item&gt;
</v>
      </c>
      <c r="AQ109" s="25" t="str">
        <f>IF(ISNUMBER(X109),SUBSTITUTE(SUBSTITUTE(SUBSTITUTE(SUBSTITUTE(SUBSTITUTE(SUBSTITUTE(SUBSTITUTE(SUBSTITUTE(y_QLabel &amp; IF(RIGHT(S109)="s",y_QELineEdit,y_QELabel),"~PVNAME",$AE109&amp;IF($AC109="map",":RBV","")),"~EGU",$K109),"~PREC",$N109),"~VAR",$F109),"~CANGET",$AH109),"~CANSET",$AI109),"~ROW",X109),"~NAME",$E109),"")</f>
        <v/>
      </c>
      <c r="AR109" s="25" t="e">
        <f>VLOOKUP(G109,y_EPICS_Formats,2,FALSE)</f>
        <v>#N/A</v>
      </c>
      <c r="AS109" s="25" t="str">
        <f>IF(AB109="epics",y_Prefix&amp;AE109&amp;" = ","")</f>
        <v xml:space="preserve">SR05ID01FST01:T_EDGE = </v>
      </c>
      <c r="AT109" s="25" t="str">
        <f>IF(LEN(P109&amp;Q109)&gt;0,IFERROR(";"&amp;I109&amp;"["&amp;K109&amp;"]"&amp;AB109&amp;"("&amp;AC109&amp;")"&amp;CHAR(10)&amp;C109 &amp;CHAR(9)&amp;AG109&amp;CHAR(9)&amp;F109 &amp;CHAR(9),";;Error!"),"")</f>
        <v xml:space="preserve">;Edge-skip move time[s]epics(map)
#define	tEdge	P2064	</v>
      </c>
      <c r="AU109" s="25" t="str">
        <f>IF(IFERROR(AND(AA109&gt;0,LEN(AN109)&gt;0),FALSE),SUBSTITUTE(SUBSTITUTE(SUBSTITUTE(y_archiverXML,"~PVNAME",AE109),"~PREFIX",y_Prefix),"~PERIOD",MIN(30,AA109)),"")</f>
        <v xml:space="preserve">      &lt;channel&gt;
         &lt;name&gt;SR05ID01FST01:T_EDGE&lt;/name&gt;
         &lt;period&gt;30&lt;/period&gt;
         &lt;monitor/&gt;
      &lt;/channel&gt;</v>
      </c>
      <c r="AV109" s="11">
        <f>IF($AB109="epics",AV$1-LEN(AE109),"")</f>
        <v>12</v>
      </c>
      <c r="AW109" s="11">
        <f>IF($AB109="epics",AW$1-LEN(AH109),"")</f>
        <v>9</v>
      </c>
      <c r="AX109" s="11">
        <f>IF($AB109="epics",AX$1-LEN(AI109),"")</f>
        <v>9</v>
      </c>
      <c r="AY109" s="11">
        <f>IF($AB109="epics",AY$1-LEN(I109)-LEN(" readback"),"")</f>
        <v>12</v>
      </c>
      <c r="AZ109" s="12">
        <f>IF(LEN(F109)&gt;0,IFERROR(VALUE(RIGHT(F109,LEN(F109)-1)),F109),"zzzzz")</f>
        <v>2064</v>
      </c>
      <c r="BA109" s="12">
        <f>IFERROR(VALUE(RIGHT(F109,LEN(F109)-1)),F109)</f>
        <v>2064</v>
      </c>
      <c r="BB109" s="22" t="str">
        <f>y_Prefix&amp;AE109</f>
        <v>SR05ID01FST01:T_EDGE</v>
      </c>
    </row>
    <row r="110" spans="1:54" s="22" customFormat="1" ht="15.75" customHeight="1" x14ac:dyDescent="0.25">
      <c r="A110" s="22">
        <v>104.1</v>
      </c>
      <c r="B110" s="23"/>
      <c r="C110" s="30" t="str">
        <f>IF(AND(ISBLANK(P110),ISBLANK(Q110)),";","#define")</f>
        <v>#define</v>
      </c>
      <c r="D110" s="29"/>
      <c r="E110" s="24" t="s">
        <v>766</v>
      </c>
      <c r="F110" s="10" t="s">
        <v>767</v>
      </c>
      <c r="G110" s="10" t="s">
        <v>77</v>
      </c>
      <c r="H110" s="10"/>
      <c r="I110" s="61" t="s">
        <v>768</v>
      </c>
      <c r="J110" s="10" t="s">
        <v>35</v>
      </c>
      <c r="K110" s="10" t="s">
        <v>365</v>
      </c>
      <c r="L110" s="10">
        <v>0</v>
      </c>
      <c r="M110" s="10">
        <v>5</v>
      </c>
      <c r="N110" s="10">
        <v>4</v>
      </c>
      <c r="O110" s="15"/>
      <c r="P110" s="49" t="s">
        <v>365</v>
      </c>
      <c r="Q110" s="49"/>
      <c r="R110" s="49" t="s">
        <v>35</v>
      </c>
      <c r="S110" s="49"/>
      <c r="T110" s="49" t="s">
        <v>365</v>
      </c>
      <c r="U110" s="49"/>
      <c r="V110" s="49"/>
      <c r="W110" s="98">
        <v>34</v>
      </c>
      <c r="X110" s="98"/>
      <c r="Y110" s="31" t="s">
        <v>790</v>
      </c>
      <c r="Z110" s="31" t="s">
        <v>784</v>
      </c>
      <c r="AA110" s="31">
        <v>30</v>
      </c>
      <c r="AB110" s="55" t="str">
        <f>IF(LEN(R110&amp;S110&amp;T110&amp;U110&amp;V110)&gt;0,"epics","")</f>
        <v>epics</v>
      </c>
      <c r="AC110" s="52" t="str">
        <f>IF(NOT(ISBLANK(V110)),"base",IF(AB110="epics",IF(AND(ISBLANK(P110),ISBLANK(Q110)),"nmp","map"),""))</f>
        <v>map</v>
      </c>
      <c r="AD110" s="27" t="str">
        <f>UPPER(AD$1&amp;":"&amp;D110)</f>
        <v>:</v>
      </c>
      <c r="AE110" s="25" t="str">
        <f>UPPER(AE$1&amp;":"&amp;E110)</f>
        <v>:T_LINE</v>
      </c>
      <c r="AF110" s="27" t="str">
        <f>SUBSTITUTE(D110,"_","")</f>
        <v/>
      </c>
      <c r="AG110" s="25" t="str">
        <f>SUBSTITUTE(E110,"_","")&amp;IF(AND(RIGHT(P110)&lt;&gt;"s",RIGHT(Q110)&lt;&gt;"s"),"","")</f>
        <v>tLine</v>
      </c>
      <c r="AH110" s="25" t="str">
        <f>IF(ISNUMBER(Y110),Y110,"$(P)"&amp;$AE$1&amp;":"&amp;Y110)</f>
        <v>$(P):EN_INPROG</v>
      </c>
      <c r="AI110" s="25" t="str">
        <f>IF(ISNUMBER(Z110),Z110,"$(P)"&amp;$AE$1&amp;":"&amp;Z110)</f>
        <v>$(P):EN_TRAJSET</v>
      </c>
      <c r="AJ110" s="25"/>
      <c r="AK110" s="12" t="str">
        <f>IF(AC110="map",IF(G110="float",y_varMapAnalog,IF(G110="int",y_varMapLongint,IF(G110="bool",y_varMapBool,IF(G110="string",y_varMapString,IF(G110="option",y_varMapOption,"#unknown Type"))))),IF(AC110="nmp",y_nonMappedAnalog,""))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0" s="12" t="str">
        <f>VLOOKUP(G110,y_mapProtocolLUT,3)</f>
        <v>@pmac.proto getVar($(VAR)) $(PORT)</v>
      </c>
      <c r="AM110" s="12" t="str">
        <f>VLOOKUP(G110,y_mapProtocolLUT,2)</f>
        <v>@pmac.proto setVar($(VAR)) $(PORT)</v>
      </c>
      <c r="AN110" s="25" t="str">
        <f>IF(LEN(AG110)&gt;0,SUBSTITUTE(SUBSTITUTE(SUBSTITUTE(AK110,"$(DTYP)",y_DTYPE),"$(SETPROTO)",AM110),"$(GETPROTO)",AL110),"")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0" s="25" t="str">
        <f>IFERROR(SUBSTITUTE(SUBSTITUTE(SUBSTITUTE(SUBSTITUTE(SUBSTITUTE(SUBSTITUTE(SUBSTITUTE(SUBSTITUTE(SUBSTITUTE(AN110,"$(Q)",AE110),"$(EGU)",K110),"$(PREC)",N110),"$(VAR)",TRIM(CLEAN(y_dedicatedCS&amp;F110))),"$(GetSB)",AH110),"$(SetSB)",AI110),"$(DESC)",LEFT(I110,40)),"$(ENUMS)",AJ110),"$(DEFAULT)",H110),"")</f>
        <v>_x000D_
# PVs mapping to P2039 of type Analog_x000D_
record(ao, "$(P):T_LINE") {_x000D_
  field(DESC, "Total line move time")_x000D_
  field(OUT, "$(P):T_LINE:SET PP MS")_x000D_
  field(PINI, "NO")_x000D_
  field(EGU, "s") field(PREC, "4")_x000D_
  field(SDIS, "$(P):T_LINE:SCD MS")_x000D_
  field(DISV, "999999")  _x000D_
}_x000D_
record(ai, "$(P):T_LINE:RBV") {_x000D_
  field(DESC, "Total line move time readback")_x000D_
  field(DTYP, "stream")_x000D_
  field(INP, "@pmac.proto getVar(P2039) $(PORT)")_x000D_
  field(SDIS, "$(P):EN_INPROG NPP MS")_x000D_
  field(DISV, "0")_x000D_
  field(PINI, "NO")_x000D_
  field(DISS, "INVALID")_x000D_
  field(EGU, "s") field(PREC, "4")_x000D_
}_x000D_
#% autosave 0 VAL_x000D_
record(ao, "$(P):T_LINE:SET") {_x000D_
  field(DTYP, "stream")_x000D_
  field(SDIS, "$(P):T_LINE:ROL PP MS")_x000D_
  field(OUT, "@pmac.proto setVar(P2039) $(PORT)")_x000D_
  field(PINI, "YES")_x000D_
  field(FLNK, "$(P):T_LINE:SCD")  _x000D_
  field(DISS, "INVALID")_x000D_
}_x000D_
record(calc, "$(P):T_LINE:ROL") {_x000D_
  field(CALC, "(!B) || A")_x000D_
  field(INPA, "$(P):T_LINE:SYN.PACT")_x000D_
  field(INPB, "$(P):EN_TRAJSET NPP")_x000D_
  field(PINI, "NO")_x000D_
}_x000D_
record(calcout, "$(P):T_LINE:SYN") {_x000D_
 field(INPA, "$(P):T_LINE:RBV PP")_x000D_
 field(INPB, "$(P):EN_INPROG CP MS")_x000D_
 field(INPC, "$(P):EN_TRAJSET NPP")_x000D_
 field(INPD, "$(P):T_LINE:SCD CP MS")_x000D_
 field(INPE, "$(P):T_LINE:SET NPP")_x000D_
 field(INPF, "$(P):EN_AUTOSYNC CP")_x000D_
 field(SDIS, "$(P):T_LINE:SET.PACT")_x000D_
 field(DISS, "INVALID")_x000D_
 field(CALC, "((D&gt;0)||(F&gt;0))?A:E")_x000D_
 field(OUT, "$(P):T_LINE PP MS")_x000D_
 field(PINI, "NO")_x000D_
}_x000D_
record(calc, "$(P):T_LINE:SCD") {_x000D_
 field(CALC, "(ABS(B-A)&lt;10^(-C))?1:0")_x000D_
 field(INPA, "$(P):T_LINE:RBV CP MS")_x000D_
 field(INPB, "$(P):T_LINE:SET CP")_x000D_
 field(INPC, "$(P):T_LINE:RBV.PREC")_x000D_
 field(PINI, "YES")_x000D_
 field(VAL,"0")_x000D_
 field(LOLO, "0.5")_x000D_
 field(LLSV, "MINOR") _x000D_
}_x000D_
# -----------------------------_x000D_
#</v>
      </c>
      <c r="AP110" s="25" t="str">
        <f>IF(ISNUMBER(W110),SUBSTITUTE(SUBSTITUTE(SUBSTITUTE(SUBSTITUTE(SUBSTITUTE(SUBSTITUTE(SUBSTITUTE(SUBSTITUTE(y_QLabel &amp; IF(RIGHT(R110)="s",y_QELineEdit,y_QELabel),"~PVNAME",$AE110&amp;IF($AC110="map","","")),"~EGU",$K110),"~PREC",$N110),"~VAR",$F110),"~CANGET",$AH110),"~CANSET",$AI110),"~ROW",W110),"~NAME",$E110),"")</f>
        <v xml:space="preserve">&lt;item row="34" column="0"&gt;
         &lt;widget class="QLabel" name="L_t_Line"&gt;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&lt;string&gt;t_Line&lt;/string&gt;
          &lt;/property&gt;
          &lt;property name="margin"&gt;
           &lt;number&gt;3&lt;/number&gt;
          &lt;/property&gt;
         &lt;/widget&gt;
        &lt;/item&gt;
&lt;item row="34" column="1"&gt;
         &lt;widget class="QELabel" name="QL_t_Line"&gt;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&lt;string&gt;$(P)$(R):T_LINE&lt;/string&gt;
          &lt;/property&gt;
         &lt;/widget&gt;
   &lt;/item&gt;
</v>
      </c>
      <c r="AQ110" s="25" t="str">
        <f>IF(ISNUMBER(X110),SUBSTITUTE(SUBSTITUTE(SUBSTITUTE(SUBSTITUTE(SUBSTITUTE(SUBSTITUTE(SUBSTITUTE(SUBSTITUTE(y_QLabel &amp; IF(RIGHT(S110)="s",y_QELineEdit,y_QELabel),"~PVNAME",$AE110&amp;IF($AC110="map",":RBV","")),"~EGU",$K110),"~PREC",$N110),"~VAR",$F110),"~CANGET",$AH110),"~CANSET",$AI110),"~ROW",X110),"~NAME",$E110),"")</f>
        <v/>
      </c>
      <c r="AR110" s="25" t="e">
        <f>VLOOKUP(G110,y_EPICS_Formats,2,FALSE)</f>
        <v>#N/A</v>
      </c>
      <c r="AS110" s="25" t="str">
        <f>IF(AB110="epics",y_Prefix&amp;AE110&amp;" = ","")</f>
        <v xml:space="preserve">SR05ID01FST01:T_LINE = </v>
      </c>
      <c r="AT110" s="25" t="str">
        <f>IF(LEN(P110&amp;Q110)&gt;0,IFERROR(";"&amp;I110&amp;"["&amp;K110&amp;"]"&amp;AB110&amp;"("&amp;AC110&amp;")"&amp;CHAR(10)&amp;C110 &amp;CHAR(9)&amp;AG110&amp;CHAR(9)&amp;F110 &amp;CHAR(9),";;Error!"),"")</f>
        <v xml:space="preserve">;Total line move time[s]epics(map)
#define	tLine	P2039	</v>
      </c>
      <c r="AU110" s="25" t="str">
        <f>IF(IFERROR(AND(AA110&gt;0,LEN(AN110)&gt;0),FALSE),SUBSTITUTE(SUBSTITUTE(SUBSTITUTE(y_archiverXML,"~PVNAME",AE110),"~PREFIX",y_Prefix),"~PERIOD",MIN(30,AA110)),"")</f>
        <v xml:space="preserve">      &lt;channel&gt;
         &lt;name&gt;SR05ID01FST01:T_LINE&lt;/name&gt;
         &lt;period&gt;30&lt;/period&gt;
         &lt;monitor/&gt;
      &lt;/channel&gt;</v>
      </c>
      <c r="AV110" s="11">
        <f>IF($AB110="epics",AV$1-LEN(AE110),"")</f>
        <v>12</v>
      </c>
      <c r="AW110" s="11">
        <f>IF($AB110="epics",AW$1-LEN(AH110),"")</f>
        <v>10</v>
      </c>
      <c r="AX110" s="11">
        <f>IF($AB110="epics",AX$1-LEN(AI110),"")</f>
        <v>9</v>
      </c>
      <c r="AY110" s="11">
        <f>IF($AB110="epics",AY$1-LEN(I110)-LEN(" readback"),"")</f>
        <v>11</v>
      </c>
      <c r="AZ110" s="12">
        <f>IF(LEN(F110)&gt;0,IFERROR(VALUE(RIGHT(F110,LEN(F110)-1)),F110),"zzzzz")</f>
        <v>2039</v>
      </c>
      <c r="BA110" s="12">
        <f>IFERROR(VALUE(RIGHT(F110,LEN(F110)-1)),F110)</f>
        <v>2039</v>
      </c>
      <c r="BB110" s="22" t="str">
        <f>y_Prefix&amp;AE110</f>
        <v>SR05ID01FST01:T_LINE</v>
      </c>
    </row>
    <row r="111" spans="1:54" s="22" customFormat="1" ht="15.75" customHeight="1" x14ac:dyDescent="0.25">
      <c r="A111" s="22">
        <v>104.2</v>
      </c>
      <c r="B111" s="23"/>
      <c r="C111" s="30" t="str">
        <f>IF(AND(ISBLANK(P111),ISBLANK(Q111)),";","#define")</f>
        <v>#define</v>
      </c>
      <c r="D111" s="29"/>
      <c r="E111" s="24" t="s">
        <v>770</v>
      </c>
      <c r="F111" s="10" t="s">
        <v>769</v>
      </c>
      <c r="G111" s="10" t="s">
        <v>77</v>
      </c>
      <c r="H111" s="10"/>
      <c r="I111" s="61" t="s">
        <v>771</v>
      </c>
      <c r="J111" s="10" t="s">
        <v>35</v>
      </c>
      <c r="K111" s="10" t="s">
        <v>365</v>
      </c>
      <c r="L111" s="10">
        <v>0</v>
      </c>
      <c r="M111" s="10">
        <v>5</v>
      </c>
      <c r="N111" s="10">
        <v>4</v>
      </c>
      <c r="O111" s="15"/>
      <c r="P111" s="49" t="s">
        <v>365</v>
      </c>
      <c r="Q111" s="49"/>
      <c r="R111" s="49" t="s">
        <v>35</v>
      </c>
      <c r="S111" s="49"/>
      <c r="T111" s="49" t="s">
        <v>365</v>
      </c>
      <c r="U111" s="49"/>
      <c r="V111" s="49"/>
      <c r="W111" s="98">
        <v>35</v>
      </c>
      <c r="X111" s="98"/>
      <c r="Y111" s="31" t="s">
        <v>790</v>
      </c>
      <c r="Z111" s="31" t="s">
        <v>784</v>
      </c>
      <c r="AA111" s="31">
        <v>30</v>
      </c>
      <c r="AB111" s="55" t="str">
        <f>IF(LEN(R111&amp;S111&amp;T111&amp;U111&amp;V111)&gt;0,"epics","")</f>
        <v>epics</v>
      </c>
      <c r="AC111" s="52" t="str">
        <f>IF(NOT(ISBLANK(V111)),"base",IF(AB111="epics",IF(AND(ISBLANK(P111),ISBLANK(Q111)),"nmp","map"),""))</f>
        <v>map</v>
      </c>
      <c r="AD111" s="27" t="str">
        <f>UPPER(AD$1&amp;":"&amp;D111)</f>
        <v>:</v>
      </c>
      <c r="AE111" s="25" t="str">
        <f>UPPER(AE$1&amp;":"&amp;E111)</f>
        <v>:T_SCAN</v>
      </c>
      <c r="AF111" s="27" t="str">
        <f>SUBSTITUTE(D111,"_","")</f>
        <v/>
      </c>
      <c r="AG111" s="25" t="str">
        <f>SUBSTITUTE(E111,"_","")&amp;IF(AND(RIGHT(P111)&lt;&gt;"s",RIGHT(Q111)&lt;&gt;"s"),"","")</f>
        <v>tScan</v>
      </c>
      <c r="AH111" s="25" t="str">
        <f>IF(ISNUMBER(Y111),Y111,"$(P)"&amp;$AE$1&amp;":"&amp;Y111)</f>
        <v>$(P):EN_INPROG</v>
      </c>
      <c r="AI111" s="25" t="str">
        <f>IF(ISNUMBER(Z111),Z111,"$(P)"&amp;$AE$1&amp;":"&amp;Z111)</f>
        <v>$(P):EN_TRAJSET</v>
      </c>
      <c r="AJ111" s="25"/>
      <c r="AK111" s="12" t="str">
        <f>IF(AC111="map",IF(G111="float",y_varMapAnalog,IF(G111="int",y_varMapLongint,IF(G111="bool",y_varMapBool,IF(G111="string",y_varMapString,IF(G111="option",y_varMapOption,"#unknown Type"))))),IF(AC111="nmp",y_nonMappedAnalog,""))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1" s="12" t="str">
        <f>VLOOKUP(G111,y_mapProtocolLUT,3)</f>
        <v>@pmac.proto getVar($(VAR)) $(PORT)</v>
      </c>
      <c r="AM111" s="12" t="str">
        <f>VLOOKUP(G111,y_mapProtocolLUT,2)</f>
        <v>@pmac.proto setVar($(VAR)) $(PORT)</v>
      </c>
      <c r="AN111" s="25" t="str">
        <f>IF(LEN(AG111)&gt;0,SUBSTITUTE(SUBSTITUTE(SUBSTITUTE(AK111,"$(DTYP)",y_DTYPE),"$(SETPROTO)",AM111),"$(GETPROTO)",AL111),"")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1" s="25" t="str">
        <f>IFERROR(SUBSTITUTE(SUBSTITUTE(SUBSTITUTE(SUBSTITUTE(SUBSTITUTE(SUBSTITUTE(SUBSTITUTE(SUBSTITUTE(SUBSTITUTE(AN111,"$(Q)",AE111),"$(EGU)",K111),"$(PREC)",N111),"$(VAR)",TRIM(CLEAN(y_dedicatedCS&amp;F111))),"$(GetSB)",AH111),"$(SetSB)",AI111),"$(DESC)",LEFT(I111,40)),"$(ENUMS)",AJ111),"$(DEFAULT)",H111),"")</f>
        <v>_x000D_
# PVs mapping to P2038 of type Analog_x000D_
record(ao, "$(P):T_SCAN") {_x000D_
  field(DESC, "Total scan move time")_x000D_
  field(OUT, "$(P):T_SCAN:SET PP MS")_x000D_
  field(PINI, "NO")_x000D_
  field(EGU, "s") field(PREC, "4")_x000D_
  field(SDIS, "$(P):T_SCAN:SCD MS")_x000D_
  field(DISV, "999999")  _x000D_
}_x000D_
record(ai, "$(P):T_SCAN:RBV") {_x000D_
  field(DESC, "Total scan move time readback")_x000D_
  field(DTYP, "stream")_x000D_
  field(INP, "@pmac.proto getVar(P2038) $(PORT)")_x000D_
  field(SDIS, "$(P):EN_INPROG NPP MS")_x000D_
  field(DISV, "0")_x000D_
  field(PINI, "NO")_x000D_
  field(DISS, "INVALID")_x000D_
  field(EGU, "s") field(PREC, "4")_x000D_
}_x000D_
#% autosave 0 VAL_x000D_
record(ao, "$(P):T_SCAN:SET") {_x000D_
  field(DTYP, "stream")_x000D_
  field(SDIS, "$(P):T_SCAN:ROL PP MS")_x000D_
  field(OUT, "@pmac.proto setVar(P2038) $(PORT)")_x000D_
  field(PINI, "YES")_x000D_
  field(FLNK, "$(P):T_SCAN:SCD")  _x000D_
  field(DISS, "INVALID")_x000D_
}_x000D_
record(calc, "$(P):T_SCAN:ROL") {_x000D_
  field(CALC, "(!B) || A")_x000D_
  field(INPA, "$(P):T_SCAN:SYN.PACT")_x000D_
  field(INPB, "$(P):EN_TRAJSET NPP")_x000D_
  field(PINI, "NO")_x000D_
}_x000D_
record(calcout, "$(P):T_SCAN:SYN") {_x000D_
 field(INPA, "$(P):T_SCAN:RBV PP")_x000D_
 field(INPB, "$(P):EN_INPROG CP MS")_x000D_
 field(INPC, "$(P):EN_TRAJSET NPP")_x000D_
 field(INPD, "$(P):T_SCAN:SCD CP MS")_x000D_
 field(INPE, "$(P):T_SCAN:SET NPP")_x000D_
 field(INPF, "$(P):EN_AUTOSYNC CP")_x000D_
 field(SDIS, "$(P):T_SCAN:SET.PACT")_x000D_
 field(DISS, "INVALID")_x000D_
 field(CALC, "((D&gt;0)||(F&gt;0))?A:E")_x000D_
 field(OUT, "$(P):T_SCAN PP MS")_x000D_
 field(PINI, "NO")_x000D_
}_x000D_
record(calc, "$(P):T_SCAN:SCD") {_x000D_
 field(CALC, "(ABS(B-A)&lt;10^(-C))?1:0")_x000D_
 field(INPA, "$(P):T_SCAN:RBV CP MS")_x000D_
 field(INPB, "$(P):T_SCAN:SET CP")_x000D_
 field(INPC, "$(P):T_SCAN:RBV.PREC")_x000D_
 field(PINI, "YES")_x000D_
 field(VAL,"0")_x000D_
 field(LOLO, "0.5")_x000D_
 field(LLSV, "MINOR") _x000D_
}_x000D_
# -----------------------------_x000D_
#</v>
      </c>
      <c r="AP111" s="25" t="str">
        <f>IF(ISNUMBER(W111),SUBSTITUTE(SUBSTITUTE(SUBSTITUTE(SUBSTITUTE(SUBSTITUTE(SUBSTITUTE(SUBSTITUTE(SUBSTITUTE(y_QLabel &amp; IF(RIGHT(R111)="s",y_QELineEdit,y_QELabel),"~PVNAME",$AE111&amp;IF($AC111="map","","")),"~EGU",$K111),"~PREC",$N111),"~VAR",$F111),"~CANGET",$AH111),"~CANSET",$AI111),"~ROW",W111),"~NAME",$E111),"")</f>
        <v xml:space="preserve">&lt;item row="35" column="0"&gt;
         &lt;widget class="QLabel" name="L_t_Scan"&gt;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&lt;string&gt;t_Scan&lt;/string&gt;
          &lt;/property&gt;
          &lt;property name="margin"&gt;
           &lt;number&gt;3&lt;/number&gt;
          &lt;/property&gt;
         &lt;/widget&gt;
        &lt;/item&gt;
&lt;item row="35" column="1"&gt;
         &lt;widget class="QELabel" name="QL_t_Scan"&gt;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&lt;string&gt;$(P)$(R):T_SCAN&lt;/string&gt;
          &lt;/property&gt;
         &lt;/widget&gt;
   &lt;/item&gt;
</v>
      </c>
      <c r="AQ111" s="25" t="str">
        <f>IF(ISNUMBER(X111),SUBSTITUTE(SUBSTITUTE(SUBSTITUTE(SUBSTITUTE(SUBSTITUTE(SUBSTITUTE(SUBSTITUTE(SUBSTITUTE(y_QLabel &amp; IF(RIGHT(S111)="s",y_QELineEdit,y_QELabel),"~PVNAME",$AE111&amp;IF($AC111="map",":RBV","")),"~EGU",$K111),"~PREC",$N111),"~VAR",$F111),"~CANGET",$AH111),"~CANSET",$AI111),"~ROW",X111),"~NAME",$E111),"")</f>
        <v/>
      </c>
      <c r="AR111" s="25" t="e">
        <f>VLOOKUP(G111,y_EPICS_Formats,2,FALSE)</f>
        <v>#N/A</v>
      </c>
      <c r="AS111" s="25" t="str">
        <f>IF(AB111="epics",y_Prefix&amp;AE111&amp;" = ","")</f>
        <v xml:space="preserve">SR05ID01FST01:T_SCAN = </v>
      </c>
      <c r="AT111" s="25" t="str">
        <f>IF(LEN(P111&amp;Q111)&gt;0,IFERROR(";"&amp;I111&amp;"["&amp;K111&amp;"]"&amp;AB111&amp;"("&amp;AC111&amp;")"&amp;CHAR(10)&amp;C111 &amp;CHAR(9)&amp;AG111&amp;CHAR(9)&amp;F111 &amp;CHAR(9),";;Error!"),"")</f>
        <v xml:space="preserve">;Total scan move time[s]epics(map)
#define	tScan	P2038	</v>
      </c>
      <c r="AU111" s="25" t="str">
        <f>IF(IFERROR(AND(AA111&gt;0,LEN(AN111)&gt;0),FALSE),SUBSTITUTE(SUBSTITUTE(SUBSTITUTE(y_archiverXML,"~PVNAME",AE111),"~PREFIX",y_Prefix),"~PERIOD",MIN(30,AA111)),"")</f>
        <v xml:space="preserve">      &lt;channel&gt;
         &lt;name&gt;SR05ID01FST01:T_SCAN&lt;/name&gt;
         &lt;period&gt;30&lt;/period&gt;
         &lt;monitor/&gt;
      &lt;/channel&gt;</v>
      </c>
      <c r="AV111" s="11">
        <f>IF($AB111="epics",AV$1-LEN(AE111),"")</f>
        <v>12</v>
      </c>
      <c r="AW111" s="11">
        <f>IF($AB111="epics",AW$1-LEN(AH111),"")</f>
        <v>10</v>
      </c>
      <c r="AX111" s="11">
        <f>IF($AB111="epics",AX$1-LEN(AI111),"")</f>
        <v>9</v>
      </c>
      <c r="AY111" s="11">
        <f>IF($AB111="epics",AY$1-LEN(I111)-LEN(" readback"),"")</f>
        <v>11</v>
      </c>
      <c r="AZ111" s="12">
        <f>IF(LEN(F111)&gt;0,IFERROR(VALUE(RIGHT(F111,LEN(F111)-1)),F111),"zzzzz")</f>
        <v>2038</v>
      </c>
      <c r="BA111" s="12">
        <f>IFERROR(VALUE(RIGHT(F111,LEN(F111)-1)),F111)</f>
        <v>2038</v>
      </c>
      <c r="BB111" s="22" t="str">
        <f>y_Prefix&amp;AE111</f>
        <v>SR05ID01FST01:T_SCAN</v>
      </c>
    </row>
    <row r="112" spans="1:54" ht="15.75" customHeight="1" x14ac:dyDescent="0.25">
      <c r="A112" s="22">
        <v>105</v>
      </c>
      <c r="B112" s="23"/>
      <c r="C112" s="30" t="str">
        <f>IF(AND(ISBLANK(P112),ISBLANK(Q112)),";","#define")</f>
        <v>#define</v>
      </c>
      <c r="D112" s="68"/>
      <c r="E112" s="22" t="s">
        <v>716</v>
      </c>
      <c r="F112" s="10">
        <v>4</v>
      </c>
      <c r="G112" s="10"/>
      <c r="H112" s="10">
        <v>4</v>
      </c>
      <c r="I112" s="61" t="s">
        <v>717</v>
      </c>
      <c r="J112" s="10" t="s">
        <v>625</v>
      </c>
      <c r="K112" s="10" t="s">
        <v>365</v>
      </c>
      <c r="L112" s="10"/>
      <c r="M112" s="10"/>
      <c r="N112" s="10">
        <v>4</v>
      </c>
      <c r="O112" s="15"/>
      <c r="P112" s="49" t="s">
        <v>365</v>
      </c>
      <c r="Q112" s="49"/>
      <c r="R112" s="49"/>
      <c r="S112" s="49"/>
      <c r="T112" s="49"/>
      <c r="U112" s="49"/>
      <c r="V112" s="49"/>
      <c r="Y112" s="69"/>
      <c r="Z112" s="69"/>
      <c r="AA112" s="69"/>
      <c r="AB112" s="55" t="str">
        <f>IF(LEN(R112&amp;S112&amp;T112&amp;U112&amp;V112)&gt;0,"epics","")</f>
        <v/>
      </c>
      <c r="AC112" s="52" t="str">
        <f>IF(NOT(ISBLANK(V112)),"base",IF(AB112="epics",IF(AND(ISBLANK(P112),ISBLANK(Q112)),"nmp","map"),""))</f>
        <v/>
      </c>
      <c r="AD112" s="27" t="str">
        <f>UPPER(AD$1&amp;":"&amp;D112)</f>
        <v>:</v>
      </c>
      <c r="AE112" s="25" t="str">
        <f>UPPER(AE$1&amp;":"&amp;E112)</f>
        <v>:T_HLM</v>
      </c>
      <c r="AF112" s="27" t="str">
        <f>SUBSTITUTE(D112,"_","")</f>
        <v/>
      </c>
      <c r="AG112" s="25" t="str">
        <f>SUBSTITUTE(E112,"_","")&amp;IF(AND(RIGHT(P112)&lt;&gt;"s",RIGHT(Q112)&lt;&gt;"s"),"","")</f>
        <v>tHLM</v>
      </c>
      <c r="AH112" s="25" t="str">
        <f>IF(ISNUMBER(Y112),Y112,"$(P)"&amp;$AE$1&amp;":"&amp;Y112)</f>
        <v>$(P):</v>
      </c>
      <c r="AI112" s="25" t="str">
        <f>IF(ISNUMBER(Z112),Z112,"$(P)"&amp;$AE$1&amp;":"&amp;Z112)</f>
        <v>$(P):</v>
      </c>
      <c r="AJ112" s="25"/>
      <c r="AK112" s="12" t="str">
        <f>IF(AC112="map",IF(G112="float",y_varMapAnalog,IF(G112="int",y_varMapLongint,IF(G112="bool",y_varMapBool,IF(G112="string",y_varMapString,IF(G112="option",y_varMapOption,"#unknown Type"))))),IF(AC112="nmp",y_nonMappedAnalog,""))</f>
        <v/>
      </c>
      <c r="AL112" s="12" t="e">
        <f>VLOOKUP(G112,y_mapProtocolLUT,3)</f>
        <v>#N/A</v>
      </c>
      <c r="AM112" s="12" t="e">
        <f>VLOOKUP(G112,y_mapProtocolLUT,2)</f>
        <v>#N/A</v>
      </c>
      <c r="AN112" s="25" t="e">
        <f>IF(LEN(AG112)&gt;0,SUBSTITUTE(SUBSTITUTE(SUBSTITUTE(AK112,"$(DTYP)",y_DTYPE),"$(SETPROTO)",AM112),"$(GETPROTO)",AL112),"")</f>
        <v>#N/A</v>
      </c>
      <c r="AO112" s="25" t="str">
        <f>IFERROR(SUBSTITUTE(SUBSTITUTE(SUBSTITUTE(SUBSTITUTE(SUBSTITUTE(SUBSTITUTE(SUBSTITUTE(SUBSTITUTE(SUBSTITUTE(AN112,"$(Q)",AE112),"$(EGU)",K112),"$(PREC)",N112),"$(VAR)",TRIM(CLEAN(y_dedicatedCS&amp;F112))),"$(GetSB)",AH112),"$(SetSB)",AI112),"$(DESC)",LEFT(I112,40)),"$(ENUMS)",AJ112),"$(DEFAULT)",H112),"")</f>
        <v/>
      </c>
      <c r="AP112" s="25" t="str">
        <f>IF(ISNUMBER(W112),SUBSTITUTE(SUBSTITUTE(SUBSTITUTE(SUBSTITUTE(SUBSTITUTE(SUBSTITUTE(SUBSTITUTE(SUBSTITUTE(y_QLabel &amp; IF(RIGHT(R112)="s",y_QELineEdit,y_QELabel),"~PVNAME",$AE112&amp;IF($AC112="map","","")),"~EGU",$K112),"~PREC",$N112),"~VAR",$F112),"~CANGET",$AH112),"~CANSET",$AI112),"~ROW",W112),"~NAME",$E112),"")</f>
        <v/>
      </c>
      <c r="AQ112" s="25" t="str">
        <f>IF(ISNUMBER(X112),SUBSTITUTE(SUBSTITUTE(SUBSTITUTE(SUBSTITUTE(SUBSTITUTE(SUBSTITUTE(SUBSTITUTE(SUBSTITUTE(y_QLabel &amp; IF(RIGHT(S112)="s",y_QELineEdit,y_QELabel),"~PVNAME",$AE112&amp;IF($AC112="map",":RBV","")),"~EGU",$K112),"~PREC",$N112),"~VAR",$F112),"~CANGET",$AH112),"~CANSET",$AI112),"~ROW",X112),"~NAME",$E112),"")</f>
        <v/>
      </c>
      <c r="AR112" s="25" t="e">
        <f>VLOOKUP(G112,y_EPICS_Formats,2,FALSE)</f>
        <v>#N/A</v>
      </c>
      <c r="AS112" s="25" t="str">
        <f>IF(AB112="epics",y_Prefix&amp;AE112&amp;" = ","")</f>
        <v/>
      </c>
      <c r="AT112" s="25" t="str">
        <f>IF(LEN(P112&amp;Q112)&gt;0,IFERROR(";"&amp;I112&amp;"["&amp;K112&amp;"]"&amp;AB112&amp;"("&amp;AC112&amp;")"&amp;CHAR(10)&amp;C112 &amp;CHAR(9)&amp;AG112&amp;CHAR(9)&amp;F112 &amp;CHAR(9),";;Error!"),"")</f>
        <v xml:space="preserve">;High limit for time vars[s]()
#define	tHLM	4	</v>
      </c>
      <c r="AU112" s="25" t="str">
        <f>IF(IFERROR(AND(AA112&gt;0,LEN(AN112)&gt;0),FALSE),SUBSTITUTE(SUBSTITUTE(SUBSTITUTE(y_archiverXML,"~PVNAME",AE112),"~PREFIX",y_Prefix),"~PERIOD",MIN(30,AA112)),"")</f>
        <v/>
      </c>
      <c r="AV112" s="11" t="str">
        <f>IF($AB112="epics",AV$1-LEN(AE112),"")</f>
        <v/>
      </c>
      <c r="AW112" s="11" t="str">
        <f>IF($AB112="epics",AW$1-LEN(AH112),"")</f>
        <v/>
      </c>
      <c r="AX112" s="11" t="str">
        <f>IF($AB112="epics",AX$1-LEN(AI112),"")</f>
        <v/>
      </c>
      <c r="AY112" s="11" t="str">
        <f>IF($AB112="epics",AY$1-LEN(I112)-LEN(" readback"),"")</f>
        <v/>
      </c>
      <c r="AZ112" s="12">
        <f>IF(LEN(F112)&gt;0,IFERROR(VALUE(RIGHT(F112,LEN(F112)-1)),F112),"zzzzz")</f>
        <v>4</v>
      </c>
      <c r="BA112" s="12">
        <f>IFERROR(VALUE(RIGHT(F112,LEN(F112)-1)),F112)</f>
        <v>4</v>
      </c>
      <c r="BB112" s="22" t="str">
        <f>y_Prefix&amp;AE112</f>
        <v>SR05ID01FST01:T_HLM</v>
      </c>
    </row>
    <row r="113" spans="1:54" ht="15.75" customHeight="1" x14ac:dyDescent="0.25">
      <c r="A113" s="22">
        <v>106</v>
      </c>
      <c r="B113" s="23"/>
      <c r="C113" s="30" t="str">
        <f>IF(AND(ISBLANK(P113),ISBLANK(Q113)),";","#define")</f>
        <v>#define</v>
      </c>
      <c r="D113" s="29"/>
      <c r="E113" s="24" t="s">
        <v>718</v>
      </c>
      <c r="F113" s="10" t="s">
        <v>719</v>
      </c>
      <c r="G113" s="10" t="s">
        <v>77</v>
      </c>
      <c r="H113" s="10"/>
      <c r="I113" s="61" t="s">
        <v>720</v>
      </c>
      <c r="J113" s="10" t="s">
        <v>35</v>
      </c>
      <c r="K113" s="10" t="s">
        <v>365</v>
      </c>
      <c r="L113" s="10">
        <v>1E-3</v>
      </c>
      <c r="M113" s="10">
        <v>4</v>
      </c>
      <c r="N113" s="10">
        <v>4</v>
      </c>
      <c r="O113" s="15"/>
      <c r="P113" s="49" t="s">
        <v>35</v>
      </c>
      <c r="Q113" s="49"/>
      <c r="R113" s="49"/>
      <c r="S113" s="49" t="s">
        <v>35</v>
      </c>
      <c r="T113" s="49" t="s">
        <v>365</v>
      </c>
      <c r="U113" s="49"/>
      <c r="V113" s="49"/>
      <c r="W113" s="98">
        <v>36</v>
      </c>
      <c r="Y113" s="31" t="s">
        <v>785</v>
      </c>
      <c r="Z113" s="31" t="s">
        <v>785</v>
      </c>
      <c r="AA113" s="31">
        <v>30</v>
      </c>
      <c r="AB113" s="55" t="str">
        <f>IF(LEN(R113&amp;S113&amp;T113&amp;U113&amp;V113)&gt;0,"epics","")</f>
        <v>epics</v>
      </c>
      <c r="AC113" s="52" t="str">
        <f>IF(NOT(ISBLANK(V113)),"base",IF(AB113="epics",IF(AND(ISBLANK(P113),ISBLANK(Q113)),"nmp","map"),""))</f>
        <v>map</v>
      </c>
      <c r="AD113" s="27" t="str">
        <f>UPPER(AD$1&amp;":"&amp;D113)</f>
        <v>:</v>
      </c>
      <c r="AE113" s="25" t="str">
        <f>UPPER(AE$1&amp;":"&amp;E113)</f>
        <v>:T_IN</v>
      </c>
      <c r="AF113" s="27" t="str">
        <f>SUBSTITUTE(D113,"_","")</f>
        <v/>
      </c>
      <c r="AG113" s="25" t="str">
        <f>SUBSTITUTE(E113,"_","")&amp;IF(AND(RIGHT(P113)&lt;&gt;"s",RIGHT(Q113)&lt;&gt;"s"),"","")</f>
        <v>tIn</v>
      </c>
      <c r="AH113" s="25" t="str">
        <f>IF(ISNUMBER(Y113),Y113,"$(P)"&amp;$AE$1&amp;":"&amp;Y113)</f>
        <v>$(P):EN_MONITOR</v>
      </c>
      <c r="AI113" s="25" t="str">
        <f>IF(ISNUMBER(Z113),Z113,"$(P)"&amp;$AE$1&amp;":"&amp;Z113)</f>
        <v>$(P):EN_MONITOR</v>
      </c>
      <c r="AJ113" s="25"/>
      <c r="AK113" s="12" t="str">
        <f>IF(AC113="map",IF(G113="float",y_varMapAnalog,IF(G113="int",y_varMapLongint,IF(G113="bool",y_varMapBool,IF(G113="string",y_varMapString,IF(G113="option",y_varMapOption,"#unknown Type"))))),IF(AC113="nmp",y_nonMappedAnalog,""))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3" s="12" t="str">
        <f>VLOOKUP(G113,y_mapProtocolLUT,3)</f>
        <v>@pmac.proto getVar($(VAR)) $(PORT)</v>
      </c>
      <c r="AM113" s="12" t="str">
        <f>VLOOKUP(G113,y_mapProtocolLUT,2)</f>
        <v>@pmac.proto setVar($(VAR)) $(PORT)</v>
      </c>
      <c r="AN113" s="25" t="str">
        <f>IF(LEN(AG113)&gt;0,SUBSTITUTE(SUBSTITUTE(SUBSTITUTE(AK113,"$(DTYP)",y_DTYPE),"$(SETPROTO)",AM113),"$(GETPROTO)",AL113),"")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3" s="25" t="str">
        <f>IFERROR(SUBSTITUTE(SUBSTITUTE(SUBSTITUTE(SUBSTITUTE(SUBSTITUTE(SUBSTITUTE(SUBSTITUTE(SUBSTITUTE(SUBSTITUTE(AN113,"$(Q)",AE113),"$(EGU)",K113),"$(PREC)",N113),"$(VAR)",TRIM(CLEAN(y_dedicatedCS&amp;F113))),"$(GetSB)",AH113),"$(SetSB)",AI113),"$(DESC)",LEFT(I113,40)),"$(ENUMS)",AJ113),"$(DEFAULT)",H113),"")</f>
        <v>_x000D_
# PVs mapping to P2044 of type Analog_x000D_
record(ao, "$(P):T_IN") {_x000D_
  field(DESC, "inner-skip move time")_x000D_
  field(OUT, "$(P):T_IN:SET PP MS")_x000D_
  field(PINI, "NO")_x000D_
  field(EGU, "s") field(PREC, "4")_x000D_
  field(SDIS, "$(P):T_IN:SCD MS")_x000D_
  field(DISV, "999999")  _x000D_
}_x000D_
record(ai, "$(P):T_IN:RBV") {_x000D_
  field(DESC, "inner-skip move time readback")_x000D_
  field(DTYP, "stream")_x000D_
  field(INP, "@pmac.proto getVar(P2044) $(PORT)")_x000D_
  field(SDIS, "$(P):EN_MONITOR NPP MS")_x000D_
  field(DISV, "0")_x000D_
  field(PINI, "NO")_x000D_
  field(DISS, "INVALID")_x000D_
  field(EGU, "s") field(PREC, "4")_x000D_
}_x000D_
#% autosave 0 VAL_x000D_
record(ao, "$(P):T_IN:SET") {_x000D_
  field(DTYP, "stream")_x000D_
  field(SDIS, "$(P):T_IN:ROL PP MS")_x000D_
  field(OUT, "@pmac.proto setVar(P2044) $(PORT)")_x000D_
  field(PINI, "YES")_x000D_
  field(FLNK, "$(P):T_IN:SCD")  _x000D_
  field(DISS, "INVALID")_x000D_
}_x000D_
record(calc, "$(P):T_IN:ROL") {_x000D_
  field(CALC, "(!B) || A")_x000D_
  field(INPA, "$(P):T_IN:SYN.PACT")_x000D_
  field(INPB, "$(P):EN_MONITOR NPP")_x000D_
  field(PINI, "NO")_x000D_
}_x000D_
record(calcout, "$(P):T_IN:SYN") {_x000D_
 field(INPA, "$(P):T_IN:RBV PP")_x000D_
 field(INPB, "$(P):EN_MONITOR CP MS")_x000D_
 field(INPC, "$(P):EN_MONITOR NPP")_x000D_
 field(INPD, "$(P):T_IN:SCD CP MS")_x000D_
 field(INPE, "$(P):T_IN:SET NPP")_x000D_
 field(INPF, "$(P):EN_AUTOSYNC CP")_x000D_
 field(SDIS, "$(P):T_IN:SET.PACT")_x000D_
 field(DISS, "INVALID")_x000D_
 field(CALC, "((D&gt;0)||(F&gt;0))?A:E")_x000D_
 field(OUT, "$(P):T_IN PP MS")_x000D_
 field(PINI, "NO")_x000D_
}_x000D_
record(calc, "$(P):T_IN:SCD") {_x000D_
 field(CALC, "(ABS(B-A)&lt;10^(-C))?1:0")_x000D_
 field(INPA, "$(P):T_IN:RBV CP MS")_x000D_
 field(INPB, "$(P):T_IN:SET CP")_x000D_
 field(INPC, "$(P):T_IN:RBV.PREC")_x000D_
 field(PINI, "YES")_x000D_
 field(VAL,"0")_x000D_
 field(LOLO, "0.5")_x000D_
 field(LLSV, "MINOR") _x000D_
}_x000D_
# -----------------------------_x000D_
#</v>
      </c>
      <c r="AP113" s="25" t="str">
        <f>IF(ISNUMBER(W113),SUBSTITUTE(SUBSTITUTE(SUBSTITUTE(SUBSTITUTE(SUBSTITUTE(SUBSTITUTE(SUBSTITUTE(SUBSTITUTE(y_QLabel &amp; IF(RIGHT(R113)="s",y_QELineEdit,y_QELabel),"~PVNAME",$AE113&amp;IF($AC113="map","","")),"~EGU",$K113),"~PREC",$N113),"~VAR",$F113),"~CANGET",$AH113),"~CANSET",$AI113),"~ROW",W113),"~NAME",$E113),"")</f>
        <v xml:space="preserve">&lt;item row="36" column="0"&gt;
         &lt;widget class="QLabel" name="L_t_In"&gt;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&lt;string&gt;t_In&lt;/string&gt;
          &lt;/property&gt;
          &lt;property name="margin"&gt;
           &lt;number&gt;3&lt;/number&gt;
          &lt;/property&gt;
         &lt;/widget&gt;
        &lt;/item&gt;
&lt;item row="36" column="1"&gt;
         &lt;widget class="QELabel" name="QL_t_In"&gt;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&lt;string&gt;$(P)$(R):T_IN&lt;/string&gt;
          &lt;/property&gt;
         &lt;/widget&gt;
   &lt;/item&gt;
</v>
      </c>
      <c r="AQ113" s="25" t="str">
        <f>IF(ISNUMBER(X113),SUBSTITUTE(SUBSTITUTE(SUBSTITUTE(SUBSTITUTE(SUBSTITUTE(SUBSTITUTE(SUBSTITUTE(SUBSTITUTE(y_QLabel &amp; IF(RIGHT(S113)="s",y_QELineEdit,y_QELabel),"~PVNAME",$AE113&amp;IF($AC113="map",":RBV","")),"~EGU",$K113),"~PREC",$N113),"~VAR",$F113),"~CANGET",$AH113),"~CANSET",$AI113),"~ROW",X113),"~NAME",$E113),"")</f>
        <v/>
      </c>
      <c r="AR113" s="25" t="e">
        <f>VLOOKUP(G113,y_EPICS_Formats,2,FALSE)</f>
        <v>#N/A</v>
      </c>
      <c r="AS113" s="25" t="str">
        <f>IF(AB113="epics",y_Prefix&amp;AE113&amp;" = ","")</f>
        <v xml:space="preserve">SR05ID01FST01:T_IN = </v>
      </c>
      <c r="AT113" s="25" t="str">
        <f>IF(LEN(P113&amp;Q113)&gt;0,IFERROR(";"&amp;I113&amp;"["&amp;K113&amp;"]"&amp;AB113&amp;"("&amp;AC113&amp;")"&amp;CHAR(10)&amp;C113 &amp;CHAR(9)&amp;AG113&amp;CHAR(9)&amp;F113 &amp;CHAR(9),";;Error!"),"")</f>
        <v xml:space="preserve">;inner-skip move time[s]epics(map)
#define	tIn	P2044	</v>
      </c>
      <c r="AU113" s="25" t="str">
        <f>IF(IFERROR(AND(AA113&gt;0,LEN(AN113)&gt;0),FALSE),SUBSTITUTE(SUBSTITUTE(SUBSTITUTE(y_archiverXML,"~PVNAME",AE113),"~PREFIX",y_Prefix),"~PERIOD",MIN(30,AA113)),"")</f>
        <v xml:space="preserve">      &lt;channel&gt;
         &lt;name&gt;SR05ID01FST01:T_IN&lt;/name&gt;
         &lt;period&gt;30&lt;/period&gt;
         &lt;monitor/&gt;
      &lt;/channel&gt;</v>
      </c>
      <c r="AV113" s="11">
        <f>IF($AB113="epics",AV$1-LEN(AE113),"")</f>
        <v>14</v>
      </c>
      <c r="AW113" s="11">
        <f>IF($AB113="epics",AW$1-LEN(AH113),"")</f>
        <v>9</v>
      </c>
      <c r="AX113" s="11">
        <f>IF($AB113="epics",AX$1-LEN(AI113),"")</f>
        <v>9</v>
      </c>
      <c r="AY113" s="11">
        <f>IF($AB113="epics",AY$1-LEN(I113)-LEN(" readback"),"")</f>
        <v>11</v>
      </c>
      <c r="AZ113" s="12">
        <f>IF(LEN(F113)&gt;0,IFERROR(VALUE(RIGHT(F113,LEN(F113)-1)),F113),"zzzzz")</f>
        <v>2044</v>
      </c>
      <c r="BA113" s="12">
        <f>IFERROR(VALUE(RIGHT(F113,LEN(F113)-1)),F113)</f>
        <v>2044</v>
      </c>
      <c r="BB113" s="22" t="str">
        <f>y_Prefix&amp;AE113</f>
        <v>SR05ID01FST01:T_IN</v>
      </c>
    </row>
    <row r="114" spans="1:54" ht="15.75" customHeight="1" x14ac:dyDescent="0.25">
      <c r="A114" s="22">
        <v>107</v>
      </c>
      <c r="B114" s="23"/>
      <c r="C114" s="30" t="str">
        <f>IF(AND(ISBLANK(P114),ISBLANK(Q114)),";","#define")</f>
        <v>#define</v>
      </c>
      <c r="D114" s="29"/>
      <c r="E114" s="24" t="s">
        <v>721</v>
      </c>
      <c r="F114" s="10" t="s">
        <v>722</v>
      </c>
      <c r="G114" s="10" t="s">
        <v>77</v>
      </c>
      <c r="H114" s="10"/>
      <c r="I114" s="61" t="s">
        <v>723</v>
      </c>
      <c r="J114" s="10" t="s">
        <v>363</v>
      </c>
      <c r="K114" s="10" t="s">
        <v>365</v>
      </c>
      <c r="L114" s="10">
        <v>1E-3</v>
      </c>
      <c r="M114" s="10">
        <v>4</v>
      </c>
      <c r="N114" s="10">
        <v>4</v>
      </c>
      <c r="O114" s="15"/>
      <c r="P114" s="48" t="s">
        <v>35</v>
      </c>
      <c r="Q114" s="49"/>
      <c r="R114" s="49" t="s">
        <v>365</v>
      </c>
      <c r="S114" s="49"/>
      <c r="T114" s="49" t="s">
        <v>35</v>
      </c>
      <c r="U114" s="49"/>
      <c r="V114" s="49"/>
      <c r="W114" s="98">
        <v>37</v>
      </c>
      <c r="Y114" s="31" t="s">
        <v>784</v>
      </c>
      <c r="Z114" s="31" t="s">
        <v>784</v>
      </c>
      <c r="AA114" s="31">
        <v>30</v>
      </c>
      <c r="AB114" s="55" t="str">
        <f>IF(LEN(R114&amp;S114&amp;T114&amp;U114&amp;V114)&gt;0,"epics","")</f>
        <v>epics</v>
      </c>
      <c r="AC114" s="52" t="str">
        <f>IF(NOT(ISBLANK(V114)),"base",IF(AB114="epics",IF(AND(ISBLANK(P114),ISBLANK(Q114)),"nmp","map"),""))</f>
        <v>map</v>
      </c>
      <c r="AD114" s="27" t="str">
        <f>UPPER(AD$1&amp;":"&amp;D114)</f>
        <v>:</v>
      </c>
      <c r="AE114" s="25" t="str">
        <f>UPPER(AE$1&amp;":"&amp;E114)</f>
        <v>:T_IN_LLM</v>
      </c>
      <c r="AF114" s="27" t="str">
        <f>SUBSTITUTE(D114,"_","")</f>
        <v/>
      </c>
      <c r="AG114" s="25" t="str">
        <f>SUBSTITUTE(E114,"_","")&amp;IF(AND(RIGHT(P114)&lt;&gt;"s",RIGHT(Q114)&lt;&gt;"s"),"","")</f>
        <v>tInLLM</v>
      </c>
      <c r="AH114" s="25" t="str">
        <f>IF(ISNUMBER(Y114),Y114,"$(P)"&amp;$AE$1&amp;":"&amp;Y114)</f>
        <v>$(P):EN_TRAJSET</v>
      </c>
      <c r="AI114" s="25" t="str">
        <f>IF(ISNUMBER(Z114),Z114,"$(P)"&amp;$AE$1&amp;":"&amp;Z114)</f>
        <v>$(P):EN_TRAJSET</v>
      </c>
      <c r="AJ114" s="25"/>
      <c r="AK114" s="12" t="str">
        <f>IF(AC114="map",IF(G114="float",y_varMapAnalog,IF(G114="int",y_varMapLongint,IF(G114="bool",y_varMapBool,IF(G114="string",y_varMapString,IF(G114="option",y_varMapOption,"#unknown Type"))))),IF(AC114="nmp",y_nonMappedAnalog,""))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4" s="12" t="str">
        <f>VLOOKUP(G114,y_mapProtocolLUT,3)</f>
        <v>@pmac.proto getVar($(VAR)) $(PORT)</v>
      </c>
      <c r="AM114" s="12" t="str">
        <f>VLOOKUP(G114,y_mapProtocolLUT,2)</f>
        <v>@pmac.proto setVar($(VAR)) $(PORT)</v>
      </c>
      <c r="AN114" s="25" t="str">
        <f>IF(LEN(AG114)&gt;0,SUBSTITUTE(SUBSTITUTE(SUBSTITUTE(AK114,"$(DTYP)",y_DTYPE),"$(SETPROTO)",AM114),"$(GETPROTO)",AL114),"")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4" s="25" t="str">
        <f>IFERROR(SUBSTITUTE(SUBSTITUTE(SUBSTITUTE(SUBSTITUTE(SUBSTITUTE(SUBSTITUTE(SUBSTITUTE(SUBSTITUTE(SUBSTITUTE(AN114,"$(Q)",AE114),"$(EGU)",K114),"$(PREC)",N114),"$(VAR)",TRIM(CLEAN(y_dedicatedCS&amp;F114))),"$(GetSB)",AH114),"$(SetSB)",AI114),"$(DESC)",LEFT(I114,40)),"$(ENUMS)",AJ114),"$(DEFAULT)",H114),"")</f>
        <v>_x000D_
# PVs mapping to P2005 of type Analog_x000D_
record(ao, "$(P):T_IN_LLM") {_x000D_
  field(DESC, "Fly axis inner-skip time LLM")_x000D_
  field(OUT, "$(P):T_IN_LLM:SET PP MS")_x000D_
  field(PINI, "NO")_x000D_
  field(EGU, "s") field(PREC, "4")_x000D_
  field(SDIS, "$(P):T_IN_LLM:SCD MS")_x000D_
  field(DISV, "999999")  _x000D_
}_x000D_
record(ai, "$(P):T_IN_LLM:RBV") {_x000D_
  field(DESC, "Fly axis inner-skip time LLM readback")_x000D_
  field(DTYP, "stream")_x000D_
  field(INP, "@pmac.proto getVar(P2005) $(PORT)")_x000D_
  field(SDIS, "$(P):EN_TRAJSET NPP MS")_x000D_
  field(DISV, "0")_x000D_
  field(PINI, "NO")_x000D_
  field(DISS, "INVALID")_x000D_
  field(EGU, "s") field(PREC, "4")_x000D_
}_x000D_
#% autosave 0 VAL_x000D_
record(ao, "$(P):T_IN_LLM:SET") {_x000D_
  field(DTYP, "stream")_x000D_
  field(SDIS, "$(P):T_IN_LLM:ROL PP MS")_x000D_
  field(OUT, "@pmac.proto setVar(P2005) $(PORT)")_x000D_
  field(PINI, "YES")_x000D_
  field(FLNK, "$(P):T_IN_LLM:SCD")  _x000D_
  field(DISS, "INVALID")_x000D_
}_x000D_
record(calc, "$(P):T_IN_LLM:ROL") {_x000D_
  field(CALC, "(!B) || A")_x000D_
  field(INPA, "$(P):T_IN_LLM:SYN.PACT")_x000D_
  field(INPB, "$(P):EN_TRAJSET NPP")_x000D_
  field(PINI, "NO")_x000D_
}_x000D_
record(calcout, "$(P):T_IN_LLM:SYN") {_x000D_
 field(INPA, "$(P):T_IN_LLM:RBV PP")_x000D_
 field(INPB, "$(P):EN_TRAJSET CP MS")_x000D_
 field(INPC, "$(P):EN_TRAJSET NPP")_x000D_
 field(INPD, "$(P):T_IN_LLM:SCD CP MS")_x000D_
 field(INPE, "$(P):T_IN_LLM:SET NPP")_x000D_
 field(INPF, "$(P):EN_AUTOSYNC CP")_x000D_
 field(SDIS, "$(P):T_IN_LLM:SET.PACT")_x000D_
 field(DISS, "INVALID")_x000D_
 field(CALC, "((D&gt;0)||(F&gt;0))?A:E")_x000D_
 field(OUT, "$(P):T_IN_LLM PP MS")_x000D_
 field(PINI, "NO")_x000D_
}_x000D_
record(calc, "$(P):T_IN_LLM:SCD") {_x000D_
 field(CALC, "(ABS(B-A)&lt;10^(-C))?1:0")_x000D_
 field(INPA, "$(P):T_IN_LLM:RBV CP MS")_x000D_
 field(INPB, "$(P):T_IN_LLM:SET CP")_x000D_
 field(INPC, "$(P):T_IN_LLM:RBV.PREC")_x000D_
 field(PINI, "YES")_x000D_
 field(VAL,"0")_x000D_
 field(LOLO, "0.5")_x000D_
 field(LLSV, "MINOR") _x000D_
}_x000D_
# -----------------------------_x000D_
#</v>
      </c>
      <c r="AP114" s="25" t="str">
        <f>IF(ISNUMBER(W114),SUBSTITUTE(SUBSTITUTE(SUBSTITUTE(SUBSTITUTE(SUBSTITUTE(SUBSTITUTE(SUBSTITUTE(SUBSTITUTE(y_QLabel &amp; IF(RIGHT(R114)="s",y_QELineEdit,y_QELabel),"~PVNAME",$AE114&amp;IF($AC114="map","","")),"~EGU",$K114),"~PREC",$N114),"~VAR",$F114),"~CANGET",$AH114),"~CANSET",$AI114),"~ROW",W114),"~NAME",$E114),"")</f>
        <v>&lt;item row="37" column="0"&gt;
         &lt;widget class="QLabel" name="L_t_In_LLM"&gt;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&lt;string&gt;t_In_LLM&lt;/string&gt;
          &lt;/property&gt;
          &lt;property name="margin"&gt;
           &lt;number&gt;3&lt;/number&gt;
          &lt;/property&gt;
         &lt;/widget&gt;
        &lt;/item&gt;
&lt;item row="37" column="2"&gt;
            &lt;widget class="QELineEdit" name="QLD_t_In_LLM"&gt;
             &lt;property name="variable" stdset="0"&gt;
              &lt;string&gt;$(P)$(R):T_IN_LLM&lt;/string&gt;
             &lt;/property&gt;
             &lt;property name="addUnits"&gt;
             &lt;bool&gt;true&lt;/bool&gt;
             &lt;/property&gt;
            &lt;/widget&gt;
           &lt;/item&gt;</v>
      </c>
      <c r="AQ114" s="25" t="str">
        <f>IF(ISNUMBER(X114),SUBSTITUTE(SUBSTITUTE(SUBSTITUTE(SUBSTITUTE(SUBSTITUTE(SUBSTITUTE(SUBSTITUTE(SUBSTITUTE(y_QLabel &amp; IF(RIGHT(S114)="s",y_QELineEdit,y_QELabel),"~PVNAME",$AE114&amp;IF($AC114="map",":RBV","")),"~EGU",$K114),"~PREC",$N114),"~VAR",$F114),"~CANGET",$AH114),"~CANSET",$AI114),"~ROW",X114),"~NAME",$E114),"")</f>
        <v/>
      </c>
      <c r="AR114" s="25" t="e">
        <f>VLOOKUP(G114,y_EPICS_Formats,2,FALSE)</f>
        <v>#N/A</v>
      </c>
      <c r="AS114" s="25" t="str">
        <f>IF(AB114="epics",y_Prefix&amp;AE114&amp;" = ","")</f>
        <v xml:space="preserve">SR05ID01FST01:T_IN_LLM = </v>
      </c>
      <c r="AT114" s="25" t="str">
        <f>IF(LEN(P114&amp;Q114)&gt;0,IFERROR(";"&amp;I114&amp;"["&amp;K114&amp;"]"&amp;AB114&amp;"("&amp;AC114&amp;")"&amp;CHAR(10)&amp;C114 &amp;CHAR(9)&amp;AG114&amp;CHAR(9)&amp;F114 &amp;CHAR(9),";;Error!"),"")</f>
        <v xml:space="preserve">;Fly axis inner-skip time LLM[s]epics(map)
#define	tInLLM	P2005	</v>
      </c>
      <c r="AU114" s="25" t="str">
        <f>IF(IFERROR(AND(AA114&gt;0,LEN(AN114)&gt;0),FALSE),SUBSTITUTE(SUBSTITUTE(SUBSTITUTE(y_archiverXML,"~PVNAME",AE114),"~PREFIX",y_Prefix),"~PERIOD",MIN(30,AA114)),"")</f>
        <v xml:space="preserve">      &lt;channel&gt;
         &lt;name&gt;SR05ID01FST01:T_IN_LLM&lt;/name&gt;
         &lt;period&gt;30&lt;/period&gt;
         &lt;monitor/&gt;
      &lt;/channel&gt;</v>
      </c>
      <c r="AV114" s="11">
        <f>IF($AB114="epics",AV$1-LEN(AE114),"")</f>
        <v>10</v>
      </c>
      <c r="AW114" s="11">
        <f>IF($AB114="epics",AW$1-LEN(AH114),"")</f>
        <v>9</v>
      </c>
      <c r="AX114" s="11">
        <f>IF($AB114="epics",AX$1-LEN(AI114),"")</f>
        <v>9</v>
      </c>
      <c r="AY114" s="11">
        <f>IF($AB114="epics",AY$1-LEN(I114)-LEN(" readback"),"")</f>
        <v>3</v>
      </c>
      <c r="AZ114" s="12">
        <f>IF(LEN(F114)&gt;0,IFERROR(VALUE(RIGHT(F114,LEN(F114)-1)),F114),"zzzzz")</f>
        <v>2005</v>
      </c>
      <c r="BA114" s="12">
        <f>IFERROR(VALUE(RIGHT(F114,LEN(F114)-1)),F114)</f>
        <v>2005</v>
      </c>
      <c r="BB114" s="22" t="str">
        <f>y_Prefix&amp;AE114</f>
        <v>SR05ID01FST01:T_IN_LLM</v>
      </c>
    </row>
    <row r="115" spans="1:54" ht="15.75" customHeight="1" x14ac:dyDescent="0.25">
      <c r="A115" s="22">
        <v>108</v>
      </c>
      <c r="B115" s="23"/>
      <c r="C115" s="30" t="str">
        <f>IF(AND(ISBLANK(P115),ISBLANK(Q115)),";","#define")</f>
        <v>#define</v>
      </c>
      <c r="D115" s="68"/>
      <c r="E115" s="22" t="s">
        <v>724</v>
      </c>
      <c r="F115" s="10" t="s">
        <v>725</v>
      </c>
      <c r="G115" s="10" t="s">
        <v>77</v>
      </c>
      <c r="H115" s="10"/>
      <c r="I115" s="61" t="s">
        <v>726</v>
      </c>
      <c r="J115" s="10" t="s">
        <v>35</v>
      </c>
      <c r="K115" s="10" t="s">
        <v>365</v>
      </c>
      <c r="L115" s="10">
        <v>0</v>
      </c>
      <c r="M115" s="10">
        <v>1000</v>
      </c>
      <c r="N115" s="10">
        <v>4</v>
      </c>
      <c r="O115" s="15"/>
      <c r="P115" s="48" t="s">
        <v>365</v>
      </c>
      <c r="Q115" s="49"/>
      <c r="R115" s="49" t="s">
        <v>35</v>
      </c>
      <c r="S115" s="49"/>
      <c r="T115" s="49"/>
      <c r="U115" s="49"/>
      <c r="V115" s="49"/>
      <c r="W115" s="98">
        <v>38</v>
      </c>
      <c r="Y115" s="69" t="s">
        <v>790</v>
      </c>
      <c r="Z115" s="69" t="s">
        <v>786</v>
      </c>
      <c r="AA115" s="69">
        <v>30</v>
      </c>
      <c r="AB115" s="55" t="str">
        <f>IF(LEN(R115&amp;S115&amp;T115&amp;U115&amp;V115)&gt;0,"epics","")</f>
        <v>epics</v>
      </c>
      <c r="AC115" s="52" t="str">
        <f>IF(NOT(ISBLANK(V115)),"base",IF(AB115="epics",IF(AND(ISBLANK(P115),ISBLANK(Q115)),"nmp","map"),""))</f>
        <v>map</v>
      </c>
      <c r="AD115" s="27" t="str">
        <f>UPPER(AD$1&amp;":"&amp;D115)</f>
        <v>:</v>
      </c>
      <c r="AE115" s="25" t="str">
        <f>UPPER(AE$1&amp;":"&amp;E115)</f>
        <v>:T_MID</v>
      </c>
      <c r="AF115" s="27" t="str">
        <f>SUBSTITUTE(D115,"_","")</f>
        <v/>
      </c>
      <c r="AG115" s="25" t="str">
        <f>SUBSTITUTE(E115,"_","")&amp;IF(AND(RIGHT(P115)&lt;&gt;"s",RIGHT(Q115)&lt;&gt;"s"),"","")</f>
        <v>tMid</v>
      </c>
      <c r="AH115" s="25" t="str">
        <f>IF(ISNUMBER(Y115),Y115,"$(P)"&amp;$AE$1&amp;":"&amp;Y115)</f>
        <v>$(P):EN_INPROG</v>
      </c>
      <c r="AI115" s="25" t="str">
        <f>IF(ISNUMBER(Z115),Z115,"$(P)"&amp;$AE$1&amp;":"&amp;Z115)</f>
        <v>$(P):EN_NEVER</v>
      </c>
      <c r="AJ115" s="25"/>
      <c r="AK115" s="12" t="str">
        <f>IF(AC115="map",IF(G115="float",y_varMapAnalog,IF(G115="int",y_varMapLongint,IF(G115="bool",y_varMapBool,IF(G115="string",y_varMapString,IF(G115="option",y_varMapOption,"#unknown Type"))))),IF(AC115="nmp",y_nonMappedAnalog,""))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5" s="12" t="str">
        <f>VLOOKUP(G115,y_mapProtocolLUT,3)</f>
        <v>@pmac.proto getVar($(VAR)) $(PORT)</v>
      </c>
      <c r="AM115" s="12" t="str">
        <f>VLOOKUP(G115,y_mapProtocolLUT,2)</f>
        <v>@pmac.proto setVar($(VAR)) $(PORT)</v>
      </c>
      <c r="AN115" s="25" t="str">
        <f>IF(LEN(AG115)&gt;0,SUBSTITUTE(SUBSTITUTE(SUBSTITUTE(AK115,"$(DTYP)",y_DTYPE),"$(SETPROTO)",AM115),"$(GETPROTO)",AL115),"")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5" s="25" t="str">
        <f>IFERROR(SUBSTITUTE(SUBSTITUTE(SUBSTITUTE(SUBSTITUTE(SUBSTITUTE(SUBSTITUTE(SUBSTITUTE(SUBSTITUTE(SUBSTITUTE(AN115,"$(Q)",AE115),"$(EGU)",K115),"$(PREC)",N115),"$(VAR)",TRIM(CLEAN(y_dedicatedCS&amp;F115))),"$(GetSB)",AH115),"$(SetSB)",AI115),"$(DESC)",LEFT(I115,40)),"$(ENUMS)",AJ115),"$(DEFAULT)",H115),"")</f>
        <v>_x000D_
# PVs mapping to P2042 of type Analog_x000D_
record(ao, "$(P):T_MID") {_x000D_
  field(DESC, "Scanline middle segnment time")_x000D_
  field(OUT, "$(P):T_MID:SET PP MS")_x000D_
  field(PINI, "NO")_x000D_
  field(EGU, "s") field(PREC, "4")_x000D_
  field(SDIS, "$(P):T_MID:SCD MS")_x000D_
  field(DISV, "999999")  _x000D_
}_x000D_
record(ai, "$(P):T_MID:RBV") {_x000D_
  field(DESC, "Scanline middle segnment time readback")_x000D_
  field(DTYP, "stream")_x000D_
  field(INP, "@pmac.proto getVar(P2042) $(PORT)")_x000D_
  field(SDIS, "$(P):EN_INPROG NPP MS")_x000D_
  field(DISV, "0")_x000D_
  field(PINI, "NO")_x000D_
  field(DISS, "INVALID")_x000D_
  field(EGU, "s") field(PREC, "4")_x000D_
}_x000D_
#% autosave 0 VAL_x000D_
record(ao, "$(P):T_MID:SET") {_x000D_
  field(DTYP, "stream")_x000D_
  field(SDIS, "$(P):T_MID:ROL PP MS")_x000D_
  field(OUT, "@pmac.proto setVar(P2042) $(PORT)")_x000D_
  field(PINI, "YES")_x000D_
  field(FLNK, "$(P):T_MID:SCD")  _x000D_
  field(DISS, "INVALID")_x000D_
}_x000D_
record(calc, "$(P):T_MID:ROL") {_x000D_
  field(CALC, "(!B) || A")_x000D_
  field(INPA, "$(P):T_MID:SYN.PACT")_x000D_
  field(INPB, "$(P):EN_NEVER NPP")_x000D_
  field(PINI, "NO")_x000D_
}_x000D_
record(calcout, "$(P):T_MID:SYN") {_x000D_
 field(INPA, "$(P):T_MID:RBV PP")_x000D_
 field(INPB, "$(P):EN_INPROG CP MS")_x000D_
 field(INPC, "$(P):EN_NEVER NPP")_x000D_
 field(INPD, "$(P):T_MID:SCD CP MS")_x000D_
 field(INPE, "$(P):T_MID:SET NPP")_x000D_
 field(INPF, "$(P):EN_AUTOSYNC CP")_x000D_
 field(SDIS, "$(P):T_MID:SET.PACT")_x000D_
 field(DISS, "INVALID")_x000D_
 field(CALC, "((D&gt;0)||(F&gt;0))?A:E")_x000D_
 field(OUT, "$(P):T_MID PP MS")_x000D_
 field(PINI, "NO")_x000D_
}_x000D_
record(calc, "$(P):T_MID:SCD") {_x000D_
 field(CALC, "(ABS(B-A)&lt;10^(-C))?1:0")_x000D_
 field(INPA, "$(P):T_MID:RBV CP MS")_x000D_
 field(INPB, "$(P):T_MID:SET CP")_x000D_
 field(INPC, "$(P):T_MID:RBV.PREC")_x000D_
 field(PINI, "YES")_x000D_
 field(VAL,"0")_x000D_
 field(LOLO, "0.5")_x000D_
 field(LLSV, "MINOR") _x000D_
}_x000D_
# -----------------------------_x000D_
#</v>
      </c>
      <c r="AP115" s="25" t="str">
        <f>IF(ISNUMBER(W115),SUBSTITUTE(SUBSTITUTE(SUBSTITUTE(SUBSTITUTE(SUBSTITUTE(SUBSTITUTE(SUBSTITUTE(SUBSTITUTE(y_QLabel &amp; IF(RIGHT(R115)="s",y_QELineEdit,y_QELabel),"~PVNAME",$AE115&amp;IF($AC115="map","","")),"~EGU",$K115),"~PREC",$N115),"~VAR",$F115),"~CANGET",$AH115),"~CANSET",$AI115),"~ROW",W115),"~NAME",$E115),"")</f>
        <v xml:space="preserve">&lt;item row="38" column="0"&gt;
         &lt;widget class="QLabel" name="L_t_Mid"&gt;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&lt;string&gt;t_Mid&lt;/string&gt;
          &lt;/property&gt;
          &lt;property name="margin"&gt;
           &lt;number&gt;3&lt;/number&gt;
          &lt;/property&gt;
         &lt;/widget&gt;
        &lt;/item&gt;
&lt;item row="38" column="1"&gt;
         &lt;widget class="QELabel" name="QL_t_Mid"&gt;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&lt;string&gt;$(P)$(R):T_MID&lt;/string&gt;
          &lt;/property&gt;
         &lt;/widget&gt;
   &lt;/item&gt;
</v>
      </c>
      <c r="AQ115" s="25" t="str">
        <f>IF(ISNUMBER(X115),SUBSTITUTE(SUBSTITUTE(SUBSTITUTE(SUBSTITUTE(SUBSTITUTE(SUBSTITUTE(SUBSTITUTE(SUBSTITUTE(y_QLabel &amp; IF(RIGHT(S115)="s",y_QELineEdit,y_QELabel),"~PVNAME",$AE115&amp;IF($AC115="map",":RBV","")),"~EGU",$K115),"~PREC",$N115),"~VAR",$F115),"~CANGET",$AH115),"~CANSET",$AI115),"~ROW",X115),"~NAME",$E115),"")</f>
        <v/>
      </c>
      <c r="AR115" s="25" t="e">
        <f>VLOOKUP(G115,y_EPICS_Formats,2,FALSE)</f>
        <v>#N/A</v>
      </c>
      <c r="AS115" s="25" t="str">
        <f>IF(AB115="epics",y_Prefix&amp;AE115&amp;" = ","")</f>
        <v xml:space="preserve">SR05ID01FST01:T_MID = </v>
      </c>
      <c r="AT115" s="25" t="str">
        <f>IF(LEN(P115&amp;Q115)&gt;0,IFERROR(";"&amp;I115&amp;"["&amp;K115&amp;"]"&amp;AB115&amp;"("&amp;AC115&amp;")"&amp;CHAR(10)&amp;C115 &amp;CHAR(9)&amp;AG115&amp;CHAR(9)&amp;F115 &amp;CHAR(9),";;Error!"),"")</f>
        <v xml:space="preserve">;Scanline middle segnment time[s]epics(map)
#define	tMid	P2042	</v>
      </c>
      <c r="AU115" s="25" t="str">
        <f>IF(IFERROR(AND(AA115&gt;0,LEN(AN115)&gt;0),FALSE),SUBSTITUTE(SUBSTITUTE(SUBSTITUTE(y_archiverXML,"~PVNAME",AE115),"~PREFIX",y_Prefix),"~PERIOD",MIN(30,AA115)),"")</f>
        <v xml:space="preserve">      &lt;channel&gt;
         &lt;name&gt;SR05ID01FST01:T_MID&lt;/name&gt;
         &lt;period&gt;30&lt;/period&gt;
         &lt;monitor/&gt;
      &lt;/channel&gt;</v>
      </c>
      <c r="AV115" s="11">
        <f>IF($AB115="epics",AV$1-LEN(AE115),"")</f>
        <v>13</v>
      </c>
      <c r="AW115" s="11">
        <f>IF($AB115="epics",AW$1-LEN(AH115),"")</f>
        <v>10</v>
      </c>
      <c r="AX115" s="11">
        <f>IF($AB115="epics",AX$1-LEN(AI115),"")</f>
        <v>11</v>
      </c>
      <c r="AY115" s="11">
        <f>IF($AB115="epics",AY$1-LEN(I115)-LEN(" readback"),"")</f>
        <v>2</v>
      </c>
      <c r="AZ115" s="12">
        <f>IF(LEN(F115)&gt;0,IFERROR(VALUE(RIGHT(F115,LEN(F115)-1)),F115),"zzzzz")</f>
        <v>2042</v>
      </c>
      <c r="BA115" s="12">
        <f>IFERROR(VALUE(RIGHT(F115,LEN(F115)-1)),F115)</f>
        <v>2042</v>
      </c>
      <c r="BB115" s="22" t="str">
        <f>y_Prefix&amp;AE115</f>
        <v>SR05ID01FST01:T_MID</v>
      </c>
    </row>
    <row r="116" spans="1:54" ht="15.75" customHeight="1" x14ac:dyDescent="0.25">
      <c r="A116" s="22">
        <v>109</v>
      </c>
      <c r="B116" s="23"/>
      <c r="C116" s="30" t="str">
        <f>IF(AND(ISBLANK(P116),ISBLANK(Q116)),";","#define")</f>
        <v>#define</v>
      </c>
      <c r="D116" s="9"/>
      <c r="E116" s="24" t="s">
        <v>727</v>
      </c>
      <c r="F116" s="10">
        <v>0.05</v>
      </c>
      <c r="G116" s="10" t="s">
        <v>77</v>
      </c>
      <c r="H116" s="10">
        <v>0.05</v>
      </c>
      <c r="I116" s="61" t="s">
        <v>728</v>
      </c>
      <c r="J116" s="10" t="s">
        <v>625</v>
      </c>
      <c r="K116" s="10" t="s">
        <v>365</v>
      </c>
      <c r="L116" s="10">
        <v>1E-3</v>
      </c>
      <c r="M116" s="10">
        <v>4</v>
      </c>
      <c r="N116" s="10">
        <v>4</v>
      </c>
      <c r="O116" s="15"/>
      <c r="P116" s="48" t="s">
        <v>365</v>
      </c>
      <c r="Q116" s="49"/>
      <c r="R116" s="49"/>
      <c r="S116" s="49"/>
      <c r="T116" s="49"/>
      <c r="U116" s="49"/>
      <c r="V116" s="49"/>
      <c r="Y116" s="69"/>
      <c r="Z116" s="69"/>
      <c r="AA116" s="69"/>
      <c r="AB116" s="55" t="str">
        <f>IF(LEN(R116&amp;S116&amp;T116&amp;U116&amp;V116)&gt;0,"epics","")</f>
        <v/>
      </c>
      <c r="AC116" s="52" t="str">
        <f>IF(NOT(ISBLANK(V116)),"base",IF(AB116="epics",IF(AND(ISBLANK(P116),ISBLANK(Q116)),"nmp","map"),""))</f>
        <v/>
      </c>
      <c r="AD116" s="27" t="str">
        <f>UPPER(AD$1&amp;":"&amp;D116)</f>
        <v>:</v>
      </c>
      <c r="AE116" s="25" t="str">
        <f>UPPER(AE$1&amp;":"&amp;E116)</f>
        <v>:T_MID_LLM</v>
      </c>
      <c r="AF116" s="27" t="str">
        <f>SUBSTITUTE(D116,"_","")</f>
        <v/>
      </c>
      <c r="AG116" s="25" t="str">
        <f>SUBSTITUTE(E116,"_","")&amp;IF(AND(RIGHT(P116)&lt;&gt;"s",RIGHT(Q116)&lt;&gt;"s"),"","")</f>
        <v>tMidLLM</v>
      </c>
      <c r="AH116" s="25" t="str">
        <f>IF(ISNUMBER(Y116),Y116,"$(P)"&amp;$AE$1&amp;":"&amp;Y116)</f>
        <v>$(P):</v>
      </c>
      <c r="AI116" s="25" t="str">
        <f>IF(ISNUMBER(Z116),Z116,"$(P)"&amp;$AE$1&amp;":"&amp;Z116)</f>
        <v>$(P):</v>
      </c>
      <c r="AJ116" s="25"/>
      <c r="AK116" s="12" t="str">
        <f>IF(AC116="map",IF(G116="float",y_varMapAnalog,IF(G116="int",y_varMapLongint,IF(G116="bool",y_varMapBool,IF(G116="string",y_varMapString,IF(G116="option",y_varMapOption,"#unknown Type"))))),IF(AC116="nmp",y_nonMappedAnalog,""))</f>
        <v/>
      </c>
      <c r="AL116" s="12" t="str">
        <f>VLOOKUP(G116,y_mapProtocolLUT,3)</f>
        <v>@pmac.proto getVar($(VAR)) $(PORT)</v>
      </c>
      <c r="AM116" s="12" t="str">
        <f>VLOOKUP(G116,y_mapProtocolLUT,2)</f>
        <v>@pmac.proto setVar($(VAR)) $(PORT)</v>
      </c>
      <c r="AN116" s="25" t="str">
        <f>IF(LEN(AG116)&gt;0,SUBSTITUTE(SUBSTITUTE(SUBSTITUTE(AK116,"$(DTYP)",y_DTYPE),"$(SETPROTO)",AM116),"$(GETPROTO)",AL116),"")</f>
        <v/>
      </c>
      <c r="AO116" s="25" t="str">
        <f>IFERROR(SUBSTITUTE(SUBSTITUTE(SUBSTITUTE(SUBSTITUTE(SUBSTITUTE(SUBSTITUTE(SUBSTITUTE(SUBSTITUTE(SUBSTITUTE(AN116,"$(Q)",AE116),"$(EGU)",K116),"$(PREC)",N116),"$(VAR)",TRIM(CLEAN(y_dedicatedCS&amp;F116))),"$(GetSB)",AH116),"$(SetSB)",AI116),"$(DESC)",LEFT(I116,40)),"$(ENUMS)",AJ116),"$(DEFAULT)",H116),"")</f>
        <v/>
      </c>
      <c r="AP116" s="25" t="str">
        <f>IF(ISNUMBER(W116),SUBSTITUTE(SUBSTITUTE(SUBSTITUTE(SUBSTITUTE(SUBSTITUTE(SUBSTITUTE(SUBSTITUTE(SUBSTITUTE(y_QLabel &amp; IF(RIGHT(R116)="s",y_QELineEdit,y_QELabel),"~PVNAME",$AE116&amp;IF($AC116="map","","")),"~EGU",$K116),"~PREC",$N116),"~VAR",$F116),"~CANGET",$AH116),"~CANSET",$AI116),"~ROW",W116),"~NAME",$E116),"")</f>
        <v/>
      </c>
      <c r="AQ116" s="25" t="str">
        <f>IF(ISNUMBER(X116),SUBSTITUTE(SUBSTITUTE(SUBSTITUTE(SUBSTITUTE(SUBSTITUTE(SUBSTITUTE(SUBSTITUTE(SUBSTITUTE(y_QLabel &amp; IF(RIGHT(S116)="s",y_QELineEdit,y_QELabel),"~PVNAME",$AE116&amp;IF($AC116="map",":RBV","")),"~EGU",$K116),"~PREC",$N116),"~VAR",$F116),"~CANGET",$AH116),"~CANSET",$AI116),"~ROW",X116),"~NAME",$E116),"")</f>
        <v/>
      </c>
      <c r="AR116" s="25" t="e">
        <f>VLOOKUP(G116,y_EPICS_Formats,2,FALSE)</f>
        <v>#N/A</v>
      </c>
      <c r="AS116" s="25" t="str">
        <f>IF(AB116="epics",y_Prefix&amp;AE116&amp;" = ","")</f>
        <v/>
      </c>
      <c r="AT116" s="25" t="str">
        <f>IF(LEN(P116&amp;Q116)&gt;0,IFERROR(";"&amp;I116&amp;"["&amp;K116&amp;"]"&amp;AB116&amp;"("&amp;AC116&amp;")"&amp;CHAR(10)&amp;C116 &amp;CHAR(9)&amp;AG116&amp;CHAR(9)&amp;F116 &amp;CHAR(9),";;Error!"),"")</f>
        <v xml:space="preserve">;Low limit for tMid[s]()
#define	tMidLLM	0.05	</v>
      </c>
      <c r="AU116" s="25" t="str">
        <f>IF(IFERROR(AND(AA116&gt;0,LEN(AN116)&gt;0),FALSE),SUBSTITUTE(SUBSTITUTE(SUBSTITUTE(y_archiverXML,"~PVNAME",AE116),"~PREFIX",y_Prefix),"~PERIOD",MIN(30,AA116)),"")</f>
        <v/>
      </c>
      <c r="AV116" s="11" t="str">
        <f>IF($AB116="epics",AV$1-LEN(AE116),"")</f>
        <v/>
      </c>
      <c r="AW116" s="11" t="str">
        <f>IF($AB116="epics",AW$1-LEN(AH116),"")</f>
        <v/>
      </c>
      <c r="AX116" s="11" t="str">
        <f>IF($AB116="epics",AX$1-LEN(AI116),"")</f>
        <v/>
      </c>
      <c r="AY116" s="11" t="str">
        <f>IF($AB116="epics",AY$1-LEN(I116)-LEN(" readback"),"")</f>
        <v/>
      </c>
      <c r="AZ116" s="12">
        <f>IF(LEN(F116)&gt;0,IFERROR(VALUE(RIGHT(F116,LEN(F116)-1)),F116),"zzzzz")</f>
        <v>0.05</v>
      </c>
      <c r="BA116" s="12">
        <f>IFERROR(VALUE(RIGHT(F116,LEN(F116)-1)),F116)</f>
        <v>0.05</v>
      </c>
      <c r="BB116" s="22" t="str">
        <f>y_Prefix&amp;AE116</f>
        <v>SR05ID01FST01:T_MID_LLM</v>
      </c>
    </row>
    <row r="117" spans="1:54" ht="15.75" customHeight="1" x14ac:dyDescent="0.25">
      <c r="A117" s="22">
        <v>110</v>
      </c>
      <c r="B117" s="71"/>
      <c r="C117" s="72" t="str">
        <f>IF(AND(ISBLANK(P117),ISBLANK(Q117)),";","#define")</f>
        <v>#define</v>
      </c>
      <c r="D117" s="63"/>
      <c r="E117" s="22" t="s">
        <v>729</v>
      </c>
      <c r="F117" s="17" t="s">
        <v>730</v>
      </c>
      <c r="G117" s="17" t="s">
        <v>77</v>
      </c>
      <c r="H117" s="17"/>
      <c r="I117" s="73" t="s">
        <v>731</v>
      </c>
      <c r="J117" s="17" t="s">
        <v>35</v>
      </c>
      <c r="K117" s="17" t="s">
        <v>365</v>
      </c>
      <c r="L117" s="17">
        <v>0</v>
      </c>
      <c r="M117" s="17">
        <v>5</v>
      </c>
      <c r="N117" s="10">
        <v>4</v>
      </c>
      <c r="O117" s="74"/>
      <c r="P117" s="48" t="s">
        <v>35</v>
      </c>
      <c r="Q117" s="49"/>
      <c r="R117" s="49" t="s">
        <v>35</v>
      </c>
      <c r="S117" s="49"/>
      <c r="T117" s="49" t="s">
        <v>365</v>
      </c>
      <c r="U117" s="49"/>
      <c r="V117" s="49"/>
      <c r="W117" s="98">
        <v>39</v>
      </c>
      <c r="Y117" s="64" t="s">
        <v>785</v>
      </c>
      <c r="Z117" s="64" t="s">
        <v>785</v>
      </c>
      <c r="AA117" s="64">
        <v>30</v>
      </c>
      <c r="AB117" s="55" t="str">
        <f>IF(LEN(R117&amp;S117&amp;T117&amp;U117&amp;V117)&gt;0,"epics","")</f>
        <v>epics</v>
      </c>
      <c r="AC117" s="52" t="str">
        <f>IF(NOT(ISBLANK(V117)),"base",IF(AB117="epics",IF(AND(ISBLANK(P117),ISBLANK(Q117)),"nmp","map"),""))</f>
        <v>map</v>
      </c>
      <c r="AD117" s="27" t="str">
        <f>UPPER(AD$1&amp;":"&amp;D117)</f>
        <v>:</v>
      </c>
      <c r="AE117" s="25" t="str">
        <f>UPPER(AE$1&amp;":"&amp;E117)</f>
        <v>:T_OUT</v>
      </c>
      <c r="AF117" s="27" t="str">
        <f>SUBSTITUTE(D117,"_","")</f>
        <v/>
      </c>
      <c r="AG117" s="25" t="str">
        <f>SUBSTITUTE(E117,"_","")&amp;IF(AND(RIGHT(P117)&lt;&gt;"s",RIGHT(Q117)&lt;&gt;"s"),"","")</f>
        <v>tOut</v>
      </c>
      <c r="AH117" s="25" t="str">
        <f>IF(ISNUMBER(Y117),Y117,"$(P)"&amp;$AE$1&amp;":"&amp;Y117)</f>
        <v>$(P):EN_MONITOR</v>
      </c>
      <c r="AI117" s="25" t="str">
        <f>IF(ISNUMBER(Z117),Z117,"$(P)"&amp;$AE$1&amp;":"&amp;Z117)</f>
        <v>$(P):EN_MONITOR</v>
      </c>
      <c r="AJ117" s="25"/>
      <c r="AK117" s="12" t="str">
        <f>IF(AC117="map",IF(G117="float",y_varMapAnalog,IF(G117="int",y_varMapLongint,IF(G117="bool",y_varMapBool,IF(G117="string",y_varMapString,IF(G117="option",y_varMapOption,"#unknown Type"))))),IF(AC117="nmp",y_nonMappedAnalog,""))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7" s="12" t="str">
        <f>VLOOKUP(G117,y_mapProtocolLUT,3)</f>
        <v>@pmac.proto getVar($(VAR)) $(PORT)</v>
      </c>
      <c r="AM117" s="12" t="str">
        <f>VLOOKUP(G117,y_mapProtocolLUT,2)</f>
        <v>@pmac.proto setVar($(VAR)) $(PORT)</v>
      </c>
      <c r="AN117" s="25" t="str">
        <f>IF(LEN(AG117)&gt;0,SUBSTITUTE(SUBSTITUTE(SUBSTITUTE(AK117,"$(DTYP)",y_DTYPE),"$(SETPROTO)",AM117),"$(GETPROTO)",AL117),"")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7" s="25" t="str">
        <f>IFERROR(SUBSTITUTE(SUBSTITUTE(SUBSTITUTE(SUBSTITUTE(SUBSTITUTE(SUBSTITUTE(SUBSTITUTE(SUBSTITUTE(SUBSTITUTE(AN117,"$(Q)",AE117),"$(EGU)",K117),"$(PREC)",N117),"$(VAR)",TRIM(CLEAN(y_dedicatedCS&amp;F117))),"$(GetSB)",AH117),"$(SetSB)",AI117),"$(DESC)",LEFT(I117,40)),"$(ENUMS)",AJ117),"$(DEFAULT)",H117),"")</f>
        <v>_x000D_
# PVs mapping to P2043 of type Analog_x000D_
record(ao, "$(P):T_OUT") {_x000D_
  field(DESC, "outer-skip move time")_x000D_
  field(OUT, "$(P):T_OUT:SET PP MS")_x000D_
  field(PINI, "NO")_x000D_
  field(EGU, "s") field(PREC, "4")_x000D_
  field(SDIS, "$(P):T_OUT:SCD MS")_x000D_
  field(DISV, "999999")  _x000D_
}_x000D_
record(ai, "$(P):T_OUT:RBV") {_x000D_
  field(DESC, "outer-skip move time readback")_x000D_
  field(DTYP, "stream")_x000D_
  field(INP, "@pmac.proto getVar(P2043) $(PORT)")_x000D_
  field(SDIS, "$(P):EN_MONITOR NPP MS")_x000D_
  field(DISV, "0")_x000D_
  field(PINI, "NO")_x000D_
  field(DISS, "INVALID")_x000D_
  field(EGU, "s") field(PREC, "4")_x000D_
}_x000D_
#% autosave 0 VAL_x000D_
record(ao, "$(P):T_OUT:SET") {_x000D_
  field(DTYP, "stream")_x000D_
  field(SDIS, "$(P):T_OUT:ROL PP MS")_x000D_
  field(OUT, "@pmac.proto setVar(P2043) $(PORT)")_x000D_
  field(PINI, "YES")_x000D_
  field(FLNK, "$(P):T_OUT:SCD")  _x000D_
  field(DISS, "INVALID")_x000D_
}_x000D_
record(calc, "$(P):T_OUT:ROL") {_x000D_
  field(CALC, "(!B) || A")_x000D_
  field(INPA, "$(P):T_OUT:SYN.PACT")_x000D_
  field(INPB, "$(P):EN_MONITOR NPP")_x000D_
  field(PINI, "NO")_x000D_
}_x000D_
record(calcout, "$(P):T_OUT:SYN") {_x000D_
 field(INPA, "$(P):T_OUT:RBV PP")_x000D_
 field(INPB, "$(P):EN_MONITOR CP MS")_x000D_
 field(INPC, "$(P):EN_MONITOR NPP")_x000D_
 field(INPD, "$(P):T_OUT:SCD CP MS")_x000D_
 field(INPE, "$(P):T_OUT:SET NPP")_x000D_
 field(INPF, "$(P):EN_AUTOSYNC CP")_x000D_
 field(SDIS, "$(P):T_OUT:SET.PACT")_x000D_
 field(DISS, "INVALID")_x000D_
 field(CALC, "((D&gt;0)||(F&gt;0))?A:E")_x000D_
 field(OUT, "$(P):T_OUT PP MS")_x000D_
 field(PINI, "NO")_x000D_
}_x000D_
record(calc, "$(P):T_OUT:SCD") {_x000D_
 field(CALC, "(ABS(B-A)&lt;10^(-C))?1:0")_x000D_
 field(INPA, "$(P):T_OUT:RBV CP MS")_x000D_
 field(INPB, "$(P):T_OUT:SET CP")_x000D_
 field(INPC, "$(P):T_OUT:RBV.PREC")_x000D_
 field(PINI, "YES")_x000D_
 field(VAL,"0")_x000D_
 field(LOLO, "0.5")_x000D_
 field(LLSV, "MINOR") _x000D_
}_x000D_
# -----------------------------_x000D_
#</v>
      </c>
      <c r="AP117" s="25" t="str">
        <f>IF(ISNUMBER(W117),SUBSTITUTE(SUBSTITUTE(SUBSTITUTE(SUBSTITUTE(SUBSTITUTE(SUBSTITUTE(SUBSTITUTE(SUBSTITUTE(y_QLabel &amp; IF(RIGHT(R117)="s",y_QELineEdit,y_QELabel),"~PVNAME",$AE117&amp;IF($AC117="map","","")),"~EGU",$K117),"~PREC",$N117),"~VAR",$F117),"~CANGET",$AH117),"~CANSET",$AI117),"~ROW",W117),"~NAME",$E117),"")</f>
        <v xml:space="preserve">&lt;item row="39" column="0"&gt;
         &lt;widget class="QLabel" name="L_t_Out"&gt;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&lt;string&gt;t_Out&lt;/string&gt;
          &lt;/property&gt;
          &lt;property name="margin"&gt;
           &lt;number&gt;3&lt;/number&gt;
          &lt;/property&gt;
         &lt;/widget&gt;
        &lt;/item&gt;
&lt;item row="39" column="1"&gt;
         &lt;widget class="QELabel" name="QL_t_Out"&gt;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&lt;string&gt;$(P)$(R):T_OUT&lt;/string&gt;
          &lt;/property&gt;
         &lt;/widget&gt;
   &lt;/item&gt;
</v>
      </c>
      <c r="AQ117" s="25" t="str">
        <f>IF(ISNUMBER(X117),SUBSTITUTE(SUBSTITUTE(SUBSTITUTE(SUBSTITUTE(SUBSTITUTE(SUBSTITUTE(SUBSTITUTE(SUBSTITUTE(y_QLabel &amp; IF(RIGHT(S117)="s",y_QELineEdit,y_QELabel),"~PVNAME",$AE117&amp;IF($AC117="map",":RBV","")),"~EGU",$K117),"~PREC",$N117),"~VAR",$F117),"~CANGET",$AH117),"~CANSET",$AI117),"~ROW",X117),"~NAME",$E117),"")</f>
        <v/>
      </c>
      <c r="AR117" s="25" t="e">
        <f>VLOOKUP(G117,y_EPICS_Formats,2,FALSE)</f>
        <v>#N/A</v>
      </c>
      <c r="AS117" s="25" t="str">
        <f>IF(AB117="epics",y_Prefix&amp;AE117&amp;" = ","")</f>
        <v xml:space="preserve">SR05ID01FST01:T_OUT = </v>
      </c>
      <c r="AT117" s="25" t="str">
        <f>IF(LEN(P117&amp;Q117)&gt;0,IFERROR(";"&amp;I117&amp;"["&amp;K117&amp;"]"&amp;AB117&amp;"("&amp;AC117&amp;")"&amp;CHAR(10)&amp;C117 &amp;CHAR(9)&amp;AG117&amp;CHAR(9)&amp;F117 &amp;CHAR(9),";;Error!"),"")</f>
        <v xml:space="preserve">;outer-skip move time[s]epics(map)
#define	tOut	P2043	</v>
      </c>
      <c r="AU117" s="25" t="str">
        <f>IF(IFERROR(AND(AA117&gt;0,LEN(AN117)&gt;0),FALSE),SUBSTITUTE(SUBSTITUTE(SUBSTITUTE(y_archiverXML,"~PVNAME",AE117),"~PREFIX",y_Prefix),"~PERIOD",MIN(30,AA117)),"")</f>
        <v xml:space="preserve">      &lt;channel&gt;
         &lt;name&gt;SR05ID01FST01:T_OUT&lt;/name&gt;
         &lt;period&gt;30&lt;/period&gt;
         &lt;monitor/&gt;
      &lt;/channel&gt;</v>
      </c>
      <c r="AV117" s="11">
        <f>IF($AB117="epics",AV$1-LEN(AE117),"")</f>
        <v>13</v>
      </c>
      <c r="AW117" s="11">
        <f>IF($AB117="epics",AW$1-LEN(AH117),"")</f>
        <v>9</v>
      </c>
      <c r="AX117" s="11">
        <f>IF($AB117="epics",AX$1-LEN(AI117),"")</f>
        <v>9</v>
      </c>
      <c r="AY117" s="11">
        <f>IF($AB117="epics",AY$1-LEN(I117)-LEN(" readback"),"")</f>
        <v>11</v>
      </c>
      <c r="AZ117" s="12">
        <f>IF(LEN(F117)&gt;0,IFERROR(VALUE(RIGHT(F117,LEN(F117)-1)),F117),"zzzzz")</f>
        <v>2043</v>
      </c>
      <c r="BA117" s="12">
        <f>IFERROR(VALUE(RIGHT(F117,LEN(F117)-1)),F117)</f>
        <v>2043</v>
      </c>
      <c r="BB117" s="22" t="str">
        <f>y_Prefix&amp;AE117</f>
        <v>SR05ID01FST01:T_OUT</v>
      </c>
    </row>
    <row r="118" spans="1:54" s="97" customFormat="1" ht="15.75" customHeight="1" x14ac:dyDescent="0.25">
      <c r="A118" s="22">
        <v>111</v>
      </c>
      <c r="B118" s="71"/>
      <c r="C118" s="72" t="str">
        <f>IF(AND(ISBLANK(P118),ISBLANK(Q118)),";","#define")</f>
        <v>#define</v>
      </c>
      <c r="D118" s="91"/>
      <c r="E118" s="70" t="s">
        <v>732</v>
      </c>
      <c r="F118" s="17" t="s">
        <v>733</v>
      </c>
      <c r="G118" s="17" t="s">
        <v>77</v>
      </c>
      <c r="H118" s="17"/>
      <c r="I118" s="73" t="s">
        <v>734</v>
      </c>
      <c r="J118" s="17" t="s">
        <v>35</v>
      </c>
      <c r="K118" s="17" t="s">
        <v>365</v>
      </c>
      <c r="L118" s="17">
        <v>0</v>
      </c>
      <c r="M118" s="17">
        <v>1000</v>
      </c>
      <c r="N118" s="10">
        <v>4</v>
      </c>
      <c r="O118" s="74"/>
      <c r="P118" s="49" t="s">
        <v>365</v>
      </c>
      <c r="Q118" s="49"/>
      <c r="R118" s="49" t="s">
        <v>35</v>
      </c>
      <c r="S118" s="49"/>
      <c r="T118" s="49"/>
      <c r="U118" s="49"/>
      <c r="V118" s="49"/>
      <c r="W118" s="98">
        <v>40</v>
      </c>
      <c r="X118" s="98"/>
      <c r="Y118" s="92" t="s">
        <v>785</v>
      </c>
      <c r="Z118" s="92" t="s">
        <v>786</v>
      </c>
      <c r="AA118" s="92">
        <v>30</v>
      </c>
      <c r="AB118" s="55" t="str">
        <f>IF(LEN(R118&amp;S118&amp;T118&amp;U118&amp;V118)&gt;0,"epics","")</f>
        <v>epics</v>
      </c>
      <c r="AC118" s="55" t="str">
        <f>IF(NOT(ISBLANK(V118)),"base",IF(AB118="epics",IF(AND(ISBLANK(P118),ISBLANK(Q118)),"nmp","map"),""))</f>
        <v>map</v>
      </c>
      <c r="AD118" s="93" t="str">
        <f>UPPER(AD$1&amp;":"&amp;D118)</f>
        <v>:</v>
      </c>
      <c r="AE118" s="25" t="str">
        <f>UPPER(AE$1&amp;":"&amp;E118)</f>
        <v>:T_OVRHD</v>
      </c>
      <c r="AF118" s="93" t="str">
        <f>SUBSTITUTE(D118,"_","")</f>
        <v/>
      </c>
      <c r="AG118" s="94" t="str">
        <f>SUBSTITUTE(E118,"_","")&amp;IF(AND(RIGHT(P118)&lt;&gt;"s",RIGHT(Q118)&lt;&gt;"s"),"","")</f>
        <v>tOvrHd</v>
      </c>
      <c r="AH118" s="25" t="str">
        <f>IF(ISNUMBER(Y118),Y118,"$(P)"&amp;$AE$1&amp;":"&amp;Y118)</f>
        <v>$(P):EN_MONITOR</v>
      </c>
      <c r="AI118" s="25" t="str">
        <f>IF(ISNUMBER(Z118),Z118,"$(P)"&amp;$AE$1&amp;":"&amp;Z118)</f>
        <v>$(P):EN_NEVER</v>
      </c>
      <c r="AJ118" s="94"/>
      <c r="AK118" s="95" t="str">
        <f>IF(AC118="map",IF(G118="float",y_varMapAnalog,IF(G118="int",y_varMapLongint,IF(G118="bool",y_varMapBool,IF(G118="string",y_varMapString,IF(G118="option",y_varMapOption,"#unknown Type"))))),IF(AC118="nmp",y_nonMappedAnalog,""))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8" s="95" t="str">
        <f>VLOOKUP(G118,y_mapProtocolLUT,3)</f>
        <v>@pmac.proto getVar($(VAR)) $(PORT)</v>
      </c>
      <c r="AM118" s="95" t="str">
        <f>VLOOKUP(G118,y_mapProtocolLUT,2)</f>
        <v>@pmac.proto setVar($(VAR)) $(PORT)</v>
      </c>
      <c r="AN118" s="94" t="str">
        <f>IF(LEN(AG118)&gt;0,SUBSTITUTE(SUBSTITUTE(SUBSTITUTE(AK118,"$(DTYP)",y_DTYPE),"$(SETPROTO)",AM118),"$(GETPROTO)",AL118),"")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8" s="25" t="str">
        <f>IFERROR(SUBSTITUTE(SUBSTITUTE(SUBSTITUTE(SUBSTITUTE(SUBSTITUTE(SUBSTITUTE(SUBSTITUTE(SUBSTITUTE(SUBSTITUTE(AN118,"$(Q)",AE118),"$(EGU)",K118),"$(PREC)",N118),"$(VAR)",TRIM(CLEAN(y_dedicatedCS&amp;F118))),"$(GetSB)",AH118),"$(SetSB)",AI118),"$(DESC)",LEFT(I118,40)),"$(ENUMS)",AJ118),"$(DEFAULT)",H118),"")</f>
        <v>_x000D_
# PVs mapping to P2081 of type Analog_x000D_
record(ao, "$(P):T_OVRHD") {_x000D_
  field(DESC, "Calculated overhead time per line")_x000D_
  field(OUT, "$(P):T_OVRHD:SET PP MS")_x000D_
  field(PINI, "NO")_x000D_
  field(EGU, "s") field(PREC, "4")_x000D_
  field(SDIS, "$(P):T_OVRHD:SCD MS")_x000D_
  field(DISV, "999999")  _x000D_
}_x000D_
record(ai, "$(P):T_OVRHD:RBV") {_x000D_
  field(DESC, "Calculated overhead time per line readback")_x000D_
  field(DTYP, "stream")_x000D_
  field(INP, "@pmac.proto getVar(P2081) $(PORT)")_x000D_
  field(SDIS, "$(P):EN_MONITOR NPP MS")_x000D_
  field(DISV, "0")_x000D_
  field(PINI, "NO")_x000D_
  field(DISS, "INVALID")_x000D_
  field(EGU, "s") field(PREC, "4")_x000D_
}_x000D_
#% autosave 0 VAL_x000D_
record(ao, "$(P):T_OVRHD:SET") {_x000D_
  field(DTYP, "stream")_x000D_
  field(SDIS, "$(P):T_OVRHD:ROL PP MS")_x000D_
  field(OUT, "@pmac.proto setVar(P2081) $(PORT)")_x000D_
  field(PINI, "YES")_x000D_
  field(FLNK, "$(P):T_OVRHD:SCD")  _x000D_
  field(DISS, "INVALID")_x000D_
}_x000D_
record(calc, "$(P):T_OVRHD:ROL") {_x000D_
  field(CALC, "(!B) || A")_x000D_
  field(INPA, "$(P):T_OVRHD:SYN.PACT")_x000D_
  field(INPB, "$(P):EN_NEVER NPP")_x000D_
  field(PINI, "NO")_x000D_
}_x000D_
record(calcout, "$(P):T_OVRHD:SYN") {_x000D_
 field(INPA, "$(P):T_OVRHD:RBV PP")_x000D_
 field(INPB, "$(P):EN_MONITOR CP MS")_x000D_
 field(INPC, "$(P):EN_NEVER NPP")_x000D_
 field(INPD, "$(P):T_OVRHD:SCD CP MS")_x000D_
 field(INPE, "$(P):T_OVRHD:SET NPP")_x000D_
 field(INPF, "$(P):EN_AUTOSYNC CP")_x000D_
 field(SDIS, "$(P):T_OVRHD:SET.PACT")_x000D_
 field(DISS, "INVALID")_x000D_
 field(CALC, "((D&gt;0)||(F&gt;0))?A:E")_x000D_
 field(OUT, "$(P):T_OVRHD PP MS")_x000D_
 field(PINI, "NO")_x000D_
}_x000D_
record(calc, "$(P):T_OVRHD:SCD") {_x000D_
 field(CALC, "(ABS(B-A)&lt;10^(-C))?1:0")_x000D_
 field(INPA, "$(P):T_OVRHD:RBV CP MS")_x000D_
 field(INPB, "$(P):T_OVRHD:SET CP")_x000D_
 field(INPC, "$(P):T_OVRHD:RBV.PREC")_x000D_
 field(PINI, "YES")_x000D_
 field(VAL,"0")_x000D_
 field(LOLO, "0.5")_x000D_
 field(LLSV, "MINOR") _x000D_
}_x000D_
# -----------------------------_x000D_
#</v>
      </c>
      <c r="AP118" s="25" t="str">
        <f>IF(ISNUMBER(W118),SUBSTITUTE(SUBSTITUTE(SUBSTITUTE(SUBSTITUTE(SUBSTITUTE(SUBSTITUTE(SUBSTITUTE(SUBSTITUTE(y_QLabel &amp; IF(RIGHT(R118)="s",y_QELineEdit,y_QELabel),"~PVNAME",$AE118&amp;IF($AC118="map","","")),"~EGU",$K118),"~PREC",$N118),"~VAR",$F118),"~CANGET",$AH118),"~CANSET",$AI118),"~ROW",W118),"~NAME",$E118),"")</f>
        <v xml:space="preserve">&lt;item row="40" column="0"&gt;
         &lt;widget class="QLabel" name="L_t_OvrHd"&gt;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&lt;string&gt;t_OvrHd&lt;/string&gt;
          &lt;/property&gt;
          &lt;property name="margin"&gt;
           &lt;number&gt;3&lt;/number&gt;
          &lt;/property&gt;
         &lt;/widget&gt;
        &lt;/item&gt;
&lt;item row="40" column="1"&gt;
         &lt;widget class="QELabel" name="QL_t_OvrHd"&gt;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&lt;string&gt;$(P)$(R):T_OVRHD&lt;/string&gt;
          &lt;/property&gt;
         &lt;/widget&gt;
   &lt;/item&gt;
</v>
      </c>
      <c r="AQ118" s="25" t="str">
        <f>IF(ISNUMBER(X118),SUBSTITUTE(SUBSTITUTE(SUBSTITUTE(SUBSTITUTE(SUBSTITUTE(SUBSTITUTE(SUBSTITUTE(SUBSTITUTE(y_QLabel &amp; IF(RIGHT(S118)="s",y_QELineEdit,y_QELabel),"~PVNAME",$AE118&amp;IF($AC118="map",":RBV","")),"~EGU",$K118),"~PREC",$N118),"~VAR",$F118),"~CANGET",$AH118),"~CANSET",$AI118),"~ROW",X118),"~NAME",$E118),"")</f>
        <v/>
      </c>
      <c r="AR118" s="94" t="e">
        <f>VLOOKUP(G118,y_EPICS_Formats,2,FALSE)</f>
        <v>#N/A</v>
      </c>
      <c r="AS118" s="94" t="str">
        <f>IF(AB118="epics",y_Prefix&amp;AE118&amp;" = ","")</f>
        <v xml:space="preserve">SR05ID01FST01:T_OVRHD = </v>
      </c>
      <c r="AT118" s="94" t="str">
        <f>IF(LEN(P118&amp;Q118)&gt;0,IFERROR(";"&amp;I118&amp;"["&amp;K118&amp;"]"&amp;AB118&amp;"("&amp;AC118&amp;")"&amp;CHAR(10)&amp;C118 &amp;CHAR(9)&amp;AG118&amp;CHAR(9)&amp;F118 &amp;CHAR(9),";;Error!"),"")</f>
        <v xml:space="preserve">;Calculated overhead time per line[s]epics(map)
#define	tOvrHd	P2081	</v>
      </c>
      <c r="AU118" s="94" t="str">
        <f>IF(IFERROR(AND(AA118&gt;0,LEN(AN118)&gt;0),FALSE),SUBSTITUTE(SUBSTITUTE(SUBSTITUTE(y_archiverXML,"~PVNAME",AE118),"~PREFIX",y_Prefix),"~PERIOD",MIN(30,AA118)),"")</f>
        <v xml:space="preserve">      &lt;channel&gt;
         &lt;name&gt;SR05ID01FST01:T_OVRHD&lt;/name&gt;
         &lt;period&gt;30&lt;/period&gt;
         &lt;monitor/&gt;
      &lt;/channel&gt;</v>
      </c>
      <c r="AV118" s="96">
        <f>IF($AB118="epics",AV$1-LEN(AE118),"")</f>
        <v>11</v>
      </c>
      <c r="AW118" s="96">
        <f>IF($AB118="epics",AW$1-LEN(AH118),"")</f>
        <v>9</v>
      </c>
      <c r="AX118" s="96">
        <f>IF($AB118="epics",AX$1-LEN(AI118),"")</f>
        <v>11</v>
      </c>
      <c r="AY118" s="96">
        <f>IF($AB118="epics",AY$1-LEN(I118)-LEN(" readback"),"")</f>
        <v>-2</v>
      </c>
      <c r="AZ118" s="95">
        <f>IF(LEN(F118)&gt;0,IFERROR(VALUE(RIGHT(F118,LEN(F118)-1)),F118),"zzzzz")</f>
        <v>2081</v>
      </c>
      <c r="BA118" s="95">
        <f>IFERROR(VALUE(RIGHT(F118,LEN(F118)-1)),F118)</f>
        <v>2081</v>
      </c>
      <c r="BB118" s="70" t="str">
        <f>y_Prefix&amp;AE118</f>
        <v>SR05ID01FST01:T_OVRHD</v>
      </c>
    </row>
    <row r="119" spans="1:54" ht="15.75" customHeight="1" x14ac:dyDescent="0.25">
      <c r="A119" s="22">
        <v>112</v>
      </c>
      <c r="C119" s="72" t="str">
        <f>IF(AND(ISBLANK(P119),ISBLANK(Q119)),";","#define")</f>
        <v>#define</v>
      </c>
      <c r="D119" s="65"/>
      <c r="E119" s="22" t="s">
        <v>735</v>
      </c>
      <c r="F119" s="22" t="s">
        <v>736</v>
      </c>
      <c r="G119" s="22" t="s">
        <v>77</v>
      </c>
      <c r="H119" s="22"/>
      <c r="I119" s="58" t="s">
        <v>737</v>
      </c>
      <c r="J119" s="22" t="s">
        <v>35</v>
      </c>
      <c r="K119" s="22" t="s">
        <v>534</v>
      </c>
      <c r="L119" s="22">
        <v>-9999999</v>
      </c>
      <c r="M119" s="22">
        <v>9999999</v>
      </c>
      <c r="N119" s="10">
        <v>4</v>
      </c>
      <c r="P119" s="44" t="s">
        <v>35</v>
      </c>
      <c r="S119" s="45" t="s">
        <v>35</v>
      </c>
      <c r="T119" s="45" t="s">
        <v>365</v>
      </c>
      <c r="W119" s="98">
        <v>41</v>
      </c>
      <c r="Y119" s="66" t="s">
        <v>785</v>
      </c>
      <c r="Z119" s="66" t="s">
        <v>784</v>
      </c>
      <c r="AA119" s="66">
        <v>30</v>
      </c>
      <c r="AB119" s="55" t="str">
        <f>IF(LEN(R119&amp;S119&amp;T119&amp;U119&amp;V119)&gt;0,"epics","")</f>
        <v>epics</v>
      </c>
      <c r="AC119" s="52" t="str">
        <f>IF(NOT(ISBLANK(V119)),"base",IF(AB119="epics",IF(AND(ISBLANK(P119),ISBLANK(Q119)),"nmp","map"),""))</f>
        <v>map</v>
      </c>
      <c r="AD119" s="27" t="str">
        <f>UPPER(AD$1&amp;":"&amp;D119)</f>
        <v>:</v>
      </c>
      <c r="AE119" s="25" t="str">
        <f>UPPER(AE$1&amp;":"&amp;E119)</f>
        <v>:V1_DIFF</v>
      </c>
      <c r="AF119" s="27" t="str">
        <f>SUBSTITUTE(D119,"_","")</f>
        <v/>
      </c>
      <c r="AG119" s="25" t="str">
        <f>SUBSTITUTE(E119,"_","")&amp;IF(AND(RIGHT(P119)&lt;&gt;"s",RIGHT(Q119)&lt;&gt;"s"),"","")</f>
        <v>v1Diff</v>
      </c>
      <c r="AH119" s="25" t="str">
        <f>IF(ISNUMBER(Y119),Y119,"$(P)"&amp;$AE$1&amp;":"&amp;Y119)</f>
        <v>$(P):EN_MONITOR</v>
      </c>
      <c r="AI119" s="25" t="str">
        <f>IF(ISNUMBER(Z119),Z119,"$(P)"&amp;$AE$1&amp;":"&amp;Z119)</f>
        <v>$(P):EN_TRAJSET</v>
      </c>
      <c r="AJ119" s="25"/>
      <c r="AK119" s="12" t="str">
        <f>IF(AC119="map",IF(G119="float",y_varMapAnalog,IF(G119="int",y_varMapLongint,IF(G119="bool",y_varMapBool,IF(G119="string",y_varMapString,IF(G119="option",y_varMapOption,"#unknown Type"))))),IF(AC119="nmp",y_nonMappedAnalog,""))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19" s="12" t="str">
        <f>VLOOKUP(G119,y_mapProtocolLUT,3)</f>
        <v>@pmac.proto getVar($(VAR)) $(PORT)</v>
      </c>
      <c r="AM119" s="12" t="str">
        <f>VLOOKUP(G119,y_mapProtocolLUT,2)</f>
        <v>@pmac.proto setVar($(VAR)) $(PORT)</v>
      </c>
      <c r="AN119" s="25" t="str">
        <f>IF(LEN(AG119)&gt;0,SUBSTITUTE(SUBSTITUTE(SUBSTITUTE(AK119,"$(DTYP)",y_DTYPE),"$(SETPROTO)",AM119),"$(GETPROTO)",AL119),"")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19" s="25" t="str">
        <f>IFERROR(SUBSTITUTE(SUBSTITUTE(SUBSTITUTE(SUBSTITUTE(SUBSTITUTE(SUBSTITUTE(SUBSTITUTE(SUBSTITUTE(SUBSTITUTE(AN119,"$(Q)",AE119),"$(EGU)",K119),"$(PREC)",N119),"$(VAR)",TRIM(CLEAN(y_dedicatedCS&amp;F119))),"$(GetSB)",AH119),"$(SetSB)",AI119),"$(DESC)",LEFT(I119,40)),"$(ENUMS)",AJ119),"$(DEFAULT)",H119),"")</f>
        <v>_x000D_
# PVs mapping to P2008 of type Analog_x000D_
record(ao, "$(P):V1_DIFF") {_x000D_
  field(DESC, "Fly axis scan velocity delta")_x000D_
  field(OUT, "$(P):V1_DIFF:SET PP MS")_x000D_
  field(PINI, "NO")_x000D_
  field(EGU, "EGU/s") field(PREC, "4")_x000D_
  field(SDIS, "$(P):V1_DIFF:SCD MS")_x000D_
  field(DISV, "999999")  _x000D_
}_x000D_
record(ai, "$(P):V1_DIFF:RBV") {_x000D_
  field(DESC, "Fly axis scan velocity delta readback")_x000D_
  field(DTYP, "stream")_x000D_
  field(INP, "@pmac.proto getVar(P2008) $(PORT)")_x000D_
  field(SDIS, "$(P):EN_MONITOR NPP MS")_x000D_
  field(DISV, "0")_x000D_
  field(PINI, "NO")_x000D_
  field(DISS, "INVALID")_x000D_
  field(EGU, "EGU/s") field(PREC, "4")_x000D_
}_x000D_
#% autosave 0 VAL_x000D_
record(ao, "$(P):V1_DIFF:SET") {_x000D_
  field(DTYP, "stream")_x000D_
  field(SDIS, "$(P):V1_DIFF:ROL PP MS")_x000D_
  field(OUT, "@pmac.proto setVar(P2008) $(PORT)")_x000D_
  field(PINI, "YES")_x000D_
  field(FLNK, "$(P):V1_DIFF:SCD")  _x000D_
  field(DISS, "INVALID")_x000D_
}_x000D_
record(calc, "$(P):V1_DIFF:ROL") {_x000D_
  field(CALC, "(!B) || A")_x000D_
  field(INPA, "$(P):V1_DIFF:SYN.PACT")_x000D_
  field(INPB, "$(P):EN_TRAJSET NPP")_x000D_
  field(PINI, "NO")_x000D_
}_x000D_
record(calcout, "$(P):V1_DIFF:SYN") {_x000D_
 field(INPA, "$(P):V1_DIFF:RBV PP")_x000D_
 field(INPB, "$(P):EN_MONITOR CP MS")_x000D_
 field(INPC, "$(P):EN_TRAJSET NPP")_x000D_
 field(INPD, "$(P):V1_DIFF:SCD CP MS")_x000D_
 field(INPE, "$(P):V1_DIFF:SET NPP")_x000D_
 field(INPF, "$(P):EN_AUTOSYNC CP")_x000D_
 field(SDIS, "$(P):V1_DIFF:SET.PACT")_x000D_
 field(DISS, "INVALID")_x000D_
 field(CALC, "((D&gt;0)||(F&gt;0))?A:E")_x000D_
 field(OUT, "$(P):V1_DIFF PP MS")_x000D_
 field(PINI, "NO")_x000D_
}_x000D_
record(calc, "$(P):V1_DIFF:SCD") {_x000D_
 field(CALC, "(ABS(B-A)&lt;10^(-C))?1:0")_x000D_
 field(INPA, "$(P):V1_DIFF:RBV CP MS")_x000D_
 field(INPB, "$(P):V1_DIFF:SET CP")_x000D_
 field(INPC, "$(P):V1_DIFF:RBV.PREC")_x000D_
 field(PINI, "YES")_x000D_
 field(VAL,"0")_x000D_
 field(LOLO, "0.5")_x000D_
 field(LLSV, "MINOR") _x000D_
}_x000D_
# -----------------------------_x000D_
#</v>
      </c>
      <c r="AP119" s="25" t="str">
        <f>IF(ISNUMBER(W119),SUBSTITUTE(SUBSTITUTE(SUBSTITUTE(SUBSTITUTE(SUBSTITUTE(SUBSTITUTE(SUBSTITUTE(SUBSTITUTE(y_QLabel &amp; IF(RIGHT(R119)="s",y_QELineEdit,y_QELabel),"~PVNAME",$AE119&amp;IF($AC119="map","","")),"~EGU",$K119),"~PREC",$N119),"~VAR",$F119),"~CANGET",$AH119),"~CANSET",$AI119),"~ROW",W119),"~NAME",$E119),"")</f>
        <v xml:space="preserve">&lt;item row="41" column="0"&gt;
         &lt;widget class="QLabel" name="L_v1_Diff"&gt;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&lt;string&gt;v1_Diff&lt;/string&gt;
          &lt;/property&gt;
          &lt;property name="margin"&gt;
           &lt;number&gt;3&lt;/number&gt;
          &lt;/property&gt;
         &lt;/widget&gt;
        &lt;/item&gt;
&lt;item row="41" column="1"&gt;
         &lt;widget class="QELabel" name="QL_v1_Diff"&gt;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&lt;string&gt;$(P)$(R):V1_DIFF&lt;/string&gt;
          &lt;/property&gt;
         &lt;/widget&gt;
   &lt;/item&gt;
</v>
      </c>
      <c r="AQ119" s="25" t="str">
        <f>IF(ISNUMBER(X119),SUBSTITUTE(SUBSTITUTE(SUBSTITUTE(SUBSTITUTE(SUBSTITUTE(SUBSTITUTE(SUBSTITUTE(SUBSTITUTE(y_QLabel &amp; IF(RIGHT(S119)="s",y_QELineEdit,y_QELabel),"~PVNAME",$AE119&amp;IF($AC119="map",":RBV","")),"~EGU",$K119),"~PREC",$N119),"~VAR",$F119),"~CANGET",$AH119),"~CANSET",$AI119),"~ROW",X119),"~NAME",$E119),"")</f>
        <v/>
      </c>
      <c r="AR119" s="25" t="e">
        <f>VLOOKUP(G119,y_EPICS_Formats,2,FALSE)</f>
        <v>#N/A</v>
      </c>
      <c r="AS119" s="25" t="str">
        <f>IF(AB119="epics",y_Prefix&amp;AE119&amp;" = ","")</f>
        <v xml:space="preserve">SR05ID01FST01:V1_DIFF = </v>
      </c>
      <c r="AT119" s="25" t="str">
        <f>IF(LEN(P119&amp;Q119)&gt;0,IFERROR(";"&amp;I119&amp;"["&amp;K119&amp;"]"&amp;AB119&amp;"("&amp;AC119&amp;")"&amp;CHAR(10)&amp;C119 &amp;CHAR(9)&amp;AG119&amp;CHAR(9)&amp;F119 &amp;CHAR(9),";;Error!"),"")</f>
        <v xml:space="preserve">;Fly axis scan velocity delta[EGU/s]epics(map)
#define	v1Diff	P2008	</v>
      </c>
      <c r="AU119" s="25" t="str">
        <f>IF(IFERROR(AND(AA119&gt;0,LEN(AN119)&gt;0),FALSE),SUBSTITUTE(SUBSTITUTE(SUBSTITUTE(y_archiverXML,"~PVNAME",AE119),"~PREFIX",y_Prefix),"~PERIOD",MIN(30,AA119)),"")</f>
        <v xml:space="preserve">      &lt;channel&gt;
         &lt;name&gt;SR05ID01FST01:V1_DIFF&lt;/name&gt;
         &lt;period&gt;30&lt;/period&gt;
         &lt;monitor/&gt;
      &lt;/channel&gt;</v>
      </c>
      <c r="AV119" s="11">
        <f>IF($AB119="epics",AV$1-LEN(AE119),"")</f>
        <v>11</v>
      </c>
      <c r="AW119" s="11">
        <f>IF($AB119="epics",AW$1-LEN(AH119),"")</f>
        <v>9</v>
      </c>
      <c r="AX119" s="11">
        <f>IF($AB119="epics",AX$1-LEN(AI119),"")</f>
        <v>9</v>
      </c>
      <c r="AY119" s="11">
        <f>IF($AB119="epics",AY$1-LEN(I119)-LEN(" readback"),"")</f>
        <v>3</v>
      </c>
      <c r="AZ119" s="12">
        <f>IF(LEN(F119)&gt;0,IFERROR(VALUE(RIGHT(F119,LEN(F119)-1)),F119),"zzzzz")</f>
        <v>2008</v>
      </c>
      <c r="BA119" s="12">
        <f>IFERROR(VALUE(RIGHT(F119,LEN(F119)-1)),F119)</f>
        <v>2008</v>
      </c>
      <c r="BB119" s="22" t="str">
        <f>y_Prefix&amp;AE119</f>
        <v>SR05ID01FST01:V1_DIFF</v>
      </c>
    </row>
    <row r="120" spans="1:54" ht="15.75" customHeight="1" x14ac:dyDescent="0.25">
      <c r="A120" s="22">
        <v>113</v>
      </c>
      <c r="C120" s="72" t="str">
        <f>IF(AND(ISBLANK(P120),ISBLANK(Q120)),";","#define")</f>
        <v>#define</v>
      </c>
      <c r="D120" s="28"/>
      <c r="E120" s="22" t="s">
        <v>738</v>
      </c>
      <c r="F120" s="22" t="s">
        <v>742</v>
      </c>
      <c r="G120" s="22" t="s">
        <v>77</v>
      </c>
      <c r="H120" s="22"/>
      <c r="I120" s="58" t="s">
        <v>740</v>
      </c>
      <c r="J120" s="22" t="s">
        <v>35</v>
      </c>
      <c r="K120" s="22" t="s">
        <v>534</v>
      </c>
      <c r="L120" s="22">
        <v>-9999999</v>
      </c>
      <c r="M120" s="22">
        <v>9999999</v>
      </c>
      <c r="N120" s="10">
        <v>4</v>
      </c>
      <c r="P120" s="44" t="s">
        <v>365</v>
      </c>
      <c r="S120" s="45" t="s">
        <v>35</v>
      </c>
      <c r="W120" s="98">
        <v>42</v>
      </c>
      <c r="Y120" s="31" t="s">
        <v>785</v>
      </c>
      <c r="Z120" s="31" t="s">
        <v>786</v>
      </c>
      <c r="AA120" s="31">
        <v>30</v>
      </c>
      <c r="AB120" s="55" t="str">
        <f>IF(LEN(R120&amp;S120&amp;T120&amp;U120&amp;V120)&gt;0,"epics","")</f>
        <v>epics</v>
      </c>
      <c r="AC120" s="52" t="str">
        <f>IF(NOT(ISBLANK(V120)),"base",IF(AB120="epics",IF(AND(ISBLANK(P120),ISBLANK(Q120)),"nmp","map"),""))</f>
        <v>map</v>
      </c>
      <c r="AD120" s="27" t="str">
        <f>UPPER(AD$1&amp;":"&amp;D120)</f>
        <v>:</v>
      </c>
      <c r="AE120" s="25" t="str">
        <f>UPPER(AE$1&amp;":"&amp;E120)</f>
        <v>:V1_OUT</v>
      </c>
      <c r="AF120" s="27" t="str">
        <f>SUBSTITUTE(D120,"_","")</f>
        <v/>
      </c>
      <c r="AG120" s="25" t="str">
        <f>SUBSTITUTE(E120,"_","")&amp;IF(AND(RIGHT(P120)&lt;&gt;"s",RIGHT(Q120)&lt;&gt;"s"),"","")</f>
        <v>v1Out</v>
      </c>
      <c r="AH120" s="25" t="str">
        <f>IF(ISNUMBER(Y120),Y120,"$(P)"&amp;$AE$1&amp;":"&amp;Y120)</f>
        <v>$(P):EN_MONITOR</v>
      </c>
      <c r="AI120" s="25" t="str">
        <f>IF(ISNUMBER(Z120),Z120,"$(P)"&amp;$AE$1&amp;":"&amp;Z120)</f>
        <v>$(P):EN_NEVER</v>
      </c>
      <c r="AJ120" s="25"/>
      <c r="AK120" s="12" t="str">
        <f>IF(AC120="map",IF(G120="float",y_varMapAnalog,IF(G120="int",y_varMapLongint,IF(G120="bool",y_varMapBool,IF(G120="string",y_varMapString,IF(G120="option",y_varMapOption,"#unknown Type"))))),IF(AC120="nmp",y_nonMappedAnalog,""))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20" s="12" t="str">
        <f>VLOOKUP(G120,y_mapProtocolLUT,3)</f>
        <v>@pmac.proto getVar($(VAR)) $(PORT)</v>
      </c>
      <c r="AM120" s="12" t="str">
        <f>VLOOKUP(G120,y_mapProtocolLUT,2)</f>
        <v>@pmac.proto setVar($(VAR)) $(PORT)</v>
      </c>
      <c r="AN120" s="25" t="str">
        <f>IF(LEN(AG120)&gt;0,SUBSTITUTE(SUBSTITUTE(SUBSTITUTE(AK120,"$(DTYP)",y_DTYPE),"$(SETPROTO)",AM120),"$(GETPROTO)",AL120),"")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20" s="25" t="str">
        <f>IFERROR(SUBSTITUTE(SUBSTITUTE(SUBSTITUTE(SUBSTITUTE(SUBSTITUTE(SUBSTITUTE(SUBSTITUTE(SUBSTITUTE(SUBSTITUTE(AN120,"$(Q)",AE120),"$(EGU)",K120),"$(PREC)",N120),"$(VAR)",TRIM(CLEAN(y_dedicatedCS&amp;F120))),"$(GetSB)",AH120),"$(SetSB)",AI120),"$(DESC)",LEFT(I120,40)),"$(ENUMS)",AJ120),"$(DEFAULT)",H120),"")</f>
        <v>_x000D_
# PVs mapping to P2007 of type Analog_x000D_
record(ao, "$(P):V1_OUT") {_x000D_
  field(DESC, "Fly axis line exit velocity")_x000D_
  field(OUT, "$(P):V1_OUT:SET PP MS")_x000D_
  field(PINI, "NO")_x000D_
  field(EGU, "EGU/s") field(PREC, "4")_x000D_
  field(SDIS, "$(P):V1_OUT:SCD MS")_x000D_
  field(DISV, "999999")  _x000D_
}_x000D_
record(ai, "$(P):V1_OUT:RBV") {_x000D_
  field(DESC, "Fly axis line exit velocity readback")_x000D_
  field(DTYP, "stream")_x000D_
  field(INP, "@pmac.proto getVar(P2007) $(PORT)")_x000D_
  field(SDIS, "$(P):EN_MONITOR NPP MS")_x000D_
  field(DISV, "0")_x000D_
  field(PINI, "NO")_x000D_
  field(DISS, "INVALID")_x000D_
  field(EGU, "EGU/s") field(PREC, "4")_x000D_
}_x000D_
#% autosave 0 VAL_x000D_
record(ao, "$(P):V1_OUT:SET") {_x000D_
  field(DTYP, "stream")_x000D_
  field(SDIS, "$(P):V1_OUT:ROL PP MS")_x000D_
  field(OUT, "@pmac.proto setVar(P2007) $(PORT)")_x000D_
  field(PINI, "YES")_x000D_
  field(FLNK, "$(P):V1_OUT:SCD")  _x000D_
  field(DISS, "INVALID")_x000D_
}_x000D_
record(calc, "$(P):V1_OUT:ROL") {_x000D_
  field(CALC, "(!B) || A")_x000D_
  field(INPA, "$(P):V1_OUT:SYN.PACT")_x000D_
  field(INPB, "$(P):EN_NEVER NPP")_x000D_
  field(PINI, "NO")_x000D_
}_x000D_
record(calcout, "$(P):V1_OUT:SYN") {_x000D_
 field(INPA, "$(P):V1_OUT:RBV PP")_x000D_
 field(INPB, "$(P):EN_MONITOR CP MS")_x000D_
 field(INPC, "$(P):EN_NEVER NPP")_x000D_
 field(INPD, "$(P):V1_OUT:SCD CP MS")_x000D_
 field(INPE, "$(P):V1_OUT:SET NPP")_x000D_
 field(INPF, "$(P):EN_AUTOSYNC CP")_x000D_
 field(SDIS, "$(P):V1_OUT:SET.PACT")_x000D_
 field(DISS, "INVALID")_x000D_
 field(CALC, "((D&gt;0)||(F&gt;0))?A:E")_x000D_
 field(OUT, "$(P):V1_OUT PP MS")_x000D_
 field(PINI, "NO")_x000D_
}_x000D_
record(calc, "$(P):V1_OUT:SCD") {_x000D_
 field(CALC, "(ABS(B-A)&lt;10^(-C))?1:0")_x000D_
 field(INPA, "$(P):V1_OUT:RBV CP MS")_x000D_
 field(INPB, "$(P):V1_OUT:SET CP")_x000D_
 field(INPC, "$(P):V1_OUT:RBV.PREC")_x000D_
 field(PINI, "YES")_x000D_
 field(VAL,"0")_x000D_
 field(LOLO, "0.5")_x000D_
 field(LLSV, "MINOR") _x000D_
}_x000D_
# -----------------------------_x000D_
#</v>
      </c>
      <c r="AP120" s="25" t="str">
        <f>IF(ISNUMBER(W120),SUBSTITUTE(SUBSTITUTE(SUBSTITUTE(SUBSTITUTE(SUBSTITUTE(SUBSTITUTE(SUBSTITUTE(SUBSTITUTE(y_QLabel &amp; IF(RIGHT(R120)="s",y_QELineEdit,y_QELabel),"~PVNAME",$AE120&amp;IF($AC120="map","","")),"~EGU",$K120),"~PREC",$N120),"~VAR",$F120),"~CANGET",$AH120),"~CANSET",$AI120),"~ROW",W120),"~NAME",$E120),"")</f>
        <v xml:space="preserve">&lt;item row="42" column="0"&gt;
         &lt;widget class="QLabel" name="L_v1_Out"&gt;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&lt;string&gt;v1_Out&lt;/string&gt;
          &lt;/property&gt;
          &lt;property name="margin"&gt;
           &lt;number&gt;3&lt;/number&gt;
          &lt;/property&gt;
         &lt;/widget&gt;
        &lt;/item&gt;
&lt;item row="42" column="1"&gt;
         &lt;widget class="QELabel" name="QL_v1_Out"&gt;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&lt;string&gt;$(P)$(R):V1_OUT&lt;/string&gt;
          &lt;/property&gt;
         &lt;/widget&gt;
   &lt;/item&gt;
</v>
      </c>
      <c r="AQ120" s="25" t="str">
        <f>IF(ISNUMBER(X120),SUBSTITUTE(SUBSTITUTE(SUBSTITUTE(SUBSTITUTE(SUBSTITUTE(SUBSTITUTE(SUBSTITUTE(SUBSTITUTE(y_QLabel &amp; IF(RIGHT(S120)="s",y_QELineEdit,y_QELabel),"~PVNAME",$AE120&amp;IF($AC120="map",":RBV","")),"~EGU",$K120),"~PREC",$N120),"~VAR",$F120),"~CANGET",$AH120),"~CANSET",$AI120),"~ROW",X120),"~NAME",$E120),"")</f>
        <v/>
      </c>
      <c r="AR120" s="25" t="e">
        <f>VLOOKUP(G120,y_EPICS_Formats,2,FALSE)</f>
        <v>#N/A</v>
      </c>
      <c r="AS120" s="25" t="str">
        <f>IF(AB120="epics",y_Prefix&amp;AE120&amp;" = ","")</f>
        <v xml:space="preserve">SR05ID01FST01:V1_OUT = </v>
      </c>
      <c r="AT120" s="25" t="str">
        <f>IF(LEN(P120&amp;Q120)&gt;0,IFERROR(";"&amp;I120&amp;"["&amp;K120&amp;"]"&amp;AB120&amp;"("&amp;AC120&amp;")"&amp;CHAR(10)&amp;C120 &amp;CHAR(9)&amp;AG120&amp;CHAR(9)&amp;F120 &amp;CHAR(9),";;Error!"),"")</f>
        <v xml:space="preserve">;Fly axis line exit velocity[EGU/s]epics(map)
#define	v1Out	P2007	</v>
      </c>
      <c r="AU120" s="25" t="str">
        <f>IF(IFERROR(AND(AA120&gt;0,LEN(AN120)&gt;0),FALSE),SUBSTITUTE(SUBSTITUTE(SUBSTITUTE(y_archiverXML,"~PVNAME",AE120),"~PREFIX",y_Prefix),"~PERIOD",MIN(30,AA120)),"")</f>
        <v xml:space="preserve">      &lt;channel&gt;
         &lt;name&gt;SR05ID01FST01:V1_OUT&lt;/name&gt;
         &lt;period&gt;30&lt;/period&gt;
         &lt;monitor/&gt;
      &lt;/channel&gt;</v>
      </c>
      <c r="AV120" s="11">
        <f>IF($AB120="epics",AV$1-LEN(AE120),"")</f>
        <v>12</v>
      </c>
      <c r="AW120" s="11">
        <f>IF($AB120="epics",AW$1-LEN(AH120),"")</f>
        <v>9</v>
      </c>
      <c r="AX120" s="11">
        <f>IF($AB120="epics",AX$1-LEN(AI120),"")</f>
        <v>11</v>
      </c>
      <c r="AY120" s="11">
        <f>IF($AB120="epics",AY$1-LEN(I120)-LEN(" readback"),"")</f>
        <v>4</v>
      </c>
      <c r="AZ120" s="12">
        <f>IF(LEN(F120)&gt;0,IFERROR(VALUE(RIGHT(F120,LEN(F120)-1)),F120),"zzzzz")</f>
        <v>2007</v>
      </c>
      <c r="BA120" s="12">
        <f>IFERROR(VALUE(RIGHT(F120,LEN(F120)-1)),F120)</f>
        <v>2007</v>
      </c>
      <c r="BB120" s="22" t="str">
        <f>y_Prefix&amp;AE120</f>
        <v>SR05ID01FST01:V1_OUT</v>
      </c>
    </row>
    <row r="121" spans="1:54" ht="15.75" customHeight="1" x14ac:dyDescent="0.25">
      <c r="A121" s="22">
        <v>114</v>
      </c>
      <c r="C121" s="72" t="str">
        <f>IF(AND(ISBLANK(P121),ISBLANK(Q121)),";","#define")</f>
        <v>#define</v>
      </c>
      <c r="D121" s="28"/>
      <c r="E121" s="22" t="s">
        <v>741</v>
      </c>
      <c r="F121" s="22" t="s">
        <v>739</v>
      </c>
      <c r="G121" s="22" t="s">
        <v>77</v>
      </c>
      <c r="H121" s="22"/>
      <c r="I121" s="58" t="s">
        <v>743</v>
      </c>
      <c r="J121" s="22" t="s">
        <v>363</v>
      </c>
      <c r="K121" s="22" t="s">
        <v>534</v>
      </c>
      <c r="L121" s="22">
        <v>-9999999</v>
      </c>
      <c r="M121" s="22">
        <v>9999999</v>
      </c>
      <c r="N121" s="10">
        <v>4</v>
      </c>
      <c r="P121" s="44" t="s">
        <v>35</v>
      </c>
      <c r="R121" s="45" t="s">
        <v>35</v>
      </c>
      <c r="T121" s="45" t="s">
        <v>365</v>
      </c>
      <c r="W121" s="98">
        <v>43</v>
      </c>
      <c r="Y121" s="66" t="s">
        <v>805</v>
      </c>
      <c r="Z121" s="66" t="s">
        <v>805</v>
      </c>
      <c r="AA121" s="31">
        <v>30</v>
      </c>
      <c r="AB121" s="55" t="str">
        <f>IF(LEN(R121&amp;S121&amp;T121&amp;U121&amp;V121)&gt;0,"epics","")</f>
        <v>epics</v>
      </c>
      <c r="AC121" s="52" t="str">
        <f>IF(NOT(ISBLANK(V121)),"base",IF(AB121="epics",IF(AND(ISBLANK(P121),ISBLANK(Q121)),"nmp","map"),""))</f>
        <v>map</v>
      </c>
      <c r="AD121" s="27" t="str">
        <f>UPPER(AD$1&amp;":"&amp;D121)</f>
        <v>:</v>
      </c>
      <c r="AE121" s="25" t="str">
        <f>UPPER(AE$1&amp;":"&amp;E121)</f>
        <v>:V1_SCAN</v>
      </c>
      <c r="AF121" s="27" t="str">
        <f>SUBSTITUTE(D121,"_","")</f>
        <v/>
      </c>
      <c r="AG121" s="25" t="str">
        <f>SUBSTITUTE(E121,"_","")&amp;IF(AND(RIGHT(P121)&lt;&gt;"s",RIGHT(Q121)&lt;&gt;"s"),"","")</f>
        <v>v1Scan</v>
      </c>
      <c r="AH121" s="25" t="str">
        <f>IF(ISNUMBER(Y121),Y121,"$(P)"&amp;$AE$1&amp;":"&amp;Y121)</f>
        <v>$(P):EN_DISARMED</v>
      </c>
      <c r="AI121" s="25" t="str">
        <f>IF(ISNUMBER(Z121),Z121,"$(P)"&amp;$AE$1&amp;":"&amp;Z121)</f>
        <v>$(P):EN_DISARMED</v>
      </c>
      <c r="AJ121" s="25"/>
      <c r="AK121" s="12" t="str">
        <f>IF(AC121="map",IF(G121="float",y_varMapAnalog,IF(G121="int",y_varMapLongint,IF(G121="bool",y_varMapBool,IF(G121="string",y_varMapString,IF(G121="option",y_varMapOption,"#unknown Type"))))),IF(AC121="nmp",y_nonMappedAnalog,""))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21" s="12" t="str">
        <f>VLOOKUP(G121,y_mapProtocolLUT,3)</f>
        <v>@pmac.proto getVar($(VAR)) $(PORT)</v>
      </c>
      <c r="AM121" s="12" t="str">
        <f>VLOOKUP(G121,y_mapProtocolLUT,2)</f>
        <v>@pmac.proto setVar($(VAR)) $(PORT)</v>
      </c>
      <c r="AN121" s="25" t="str">
        <f>IF(LEN(AG121)&gt;0,SUBSTITUTE(SUBSTITUTE(SUBSTITUTE(AK121,"$(DTYP)",y_DTYPE),"$(SETPROTO)",AM121),"$(GETPROTO)",AL121),"")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21" s="25" t="str">
        <f>IFERROR(SUBSTITUTE(SUBSTITUTE(SUBSTITUTE(SUBSTITUTE(SUBSTITUTE(SUBSTITUTE(SUBSTITUTE(SUBSTITUTE(SUBSTITUTE(AN121,"$(Q)",AE121),"$(EGU)",K121),"$(PREC)",N121),"$(VAR)",TRIM(CLEAN(y_dedicatedCS&amp;F121))),"$(GetSB)",AH121),"$(SetSB)",AI121),"$(DESC)",LEFT(I121,40)),"$(ENUMS)",AJ121),"$(DEFAULT)",H121),"")</f>
        <v>_x000D_
# PVs mapping to P2061 of type Analog_x000D_
record(ao, "$(P):V1_SCAN") {_x000D_
  field(DESC, "Fly axis line scan velocity")_x000D_
  field(OUT, "$(P):V1_SCAN:SET PP MS")_x000D_
  field(PINI, "NO")_x000D_
  field(EGU, "EGU/s") field(PREC, "4")_x000D_
  field(SDIS, "$(P):V1_SCAN:SCD MS")_x000D_
  field(DISV, "999999")  _x000D_
}_x000D_
record(ai, "$(P):V1_SCAN:RBV") {_x000D_
  field(DESC, "Fly axis line scan velocity readback")_x000D_
  field(DTYP, "stream")_x000D_
  field(INP, "@pmac.proto getVar(P2061) $(PORT)")_x000D_
  field(SDIS, "$(P):EN_DISARMED NPP MS")_x000D_
  field(DISV, "0")_x000D_
  field(PINI, "NO")_x000D_
  field(DISS, "INVALID")_x000D_
  field(EGU, "EGU/s") field(PREC, "4")_x000D_
}_x000D_
#% autosave 0 VAL_x000D_
record(ao, "$(P):V1_SCAN:SET") {_x000D_
  field(DTYP, "stream")_x000D_
  field(SDIS, "$(P):V1_SCAN:ROL PP MS")_x000D_
  field(OUT, "@pmac.proto setVar(P2061) $(PORT)")_x000D_
  field(PINI, "YES")_x000D_
  field(FLNK, "$(P):V1_SCAN:SCD")  _x000D_
  field(DISS, "INVALID")_x000D_
}_x000D_
record(calc, "$(P):V1_SCAN:ROL") {_x000D_
  field(CALC, "(!B) || A")_x000D_
  field(INPA, "$(P):V1_SCAN:SYN.PACT")_x000D_
  field(INPB, "$(P):EN_DISARMED NPP")_x000D_
  field(PINI, "NO")_x000D_
}_x000D_
record(calcout, "$(P):V1_SCAN:SYN") {_x000D_
 field(INPA, "$(P):V1_SCAN:RBV PP")_x000D_
 field(INPB, "$(P):EN_DISARMED CP MS")_x000D_
 field(INPC, "$(P):EN_DISARMED NPP")_x000D_
 field(INPD, "$(P):V1_SCAN:SCD CP MS")_x000D_
 field(INPE, "$(P):V1_SCAN:SET NPP")_x000D_
 field(INPF, "$(P):EN_AUTOSYNC CP")_x000D_
 field(SDIS, "$(P):V1_SCAN:SET.PACT")_x000D_
 field(DISS, "INVALID")_x000D_
 field(CALC, "((D&gt;0)||(F&gt;0))?A:E")_x000D_
 field(OUT, "$(P):V1_SCAN PP MS")_x000D_
 field(PINI, "NO")_x000D_
}_x000D_
record(calc, "$(P):V1_SCAN:SCD") {_x000D_
 field(CALC, "(ABS(B-A)&lt;10^(-C))?1:0")_x000D_
 field(INPA, "$(P):V1_SCAN:RBV CP MS")_x000D_
 field(INPB, "$(P):V1_SCAN:SET CP")_x000D_
 field(INPC, "$(P):V1_SCAN:RBV.PREC")_x000D_
 field(PINI, "YES")_x000D_
 field(VAL,"0")_x000D_
 field(LOLO, "0.5")_x000D_
 field(LLSV, "MINOR") _x000D_
}_x000D_
# -----------------------------_x000D_
#</v>
      </c>
      <c r="AP121" s="25" t="str">
        <f>IF(ISNUMBER(W121),SUBSTITUTE(SUBSTITUTE(SUBSTITUTE(SUBSTITUTE(SUBSTITUTE(SUBSTITUTE(SUBSTITUTE(SUBSTITUTE(y_QLabel &amp; IF(RIGHT(R121)="s",y_QELineEdit,y_QELabel),"~PVNAME",$AE121&amp;IF($AC121="map","","")),"~EGU",$K121),"~PREC",$N121),"~VAR",$F121),"~CANGET",$AH121),"~CANSET",$AI121),"~ROW",W121),"~NAME",$E121),"")</f>
        <v xml:space="preserve">&lt;item row="43" column="0"&gt;
         &lt;widget class="QLabel" name="L_v1_Scan"&gt;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&lt;string&gt;v1_Scan&lt;/string&gt;
          &lt;/property&gt;
          &lt;property name="margin"&gt;
           &lt;number&gt;3&lt;/number&gt;
          &lt;/property&gt;
         &lt;/widget&gt;
        &lt;/item&gt;
&lt;item row="43" column="1"&gt;
         &lt;widget class="QELabel" name="QL_v1_Scan"&gt;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&lt;string&gt;$(P)$(R):V1_SCAN&lt;/string&gt;
          &lt;/property&gt;
         &lt;/widget&gt;
   &lt;/item&gt;
</v>
      </c>
      <c r="AQ121" s="25" t="str">
        <f>IF(ISNUMBER(X121),SUBSTITUTE(SUBSTITUTE(SUBSTITUTE(SUBSTITUTE(SUBSTITUTE(SUBSTITUTE(SUBSTITUTE(SUBSTITUTE(y_QLabel &amp; IF(RIGHT(S121)="s",y_QELineEdit,y_QELabel),"~PVNAME",$AE121&amp;IF($AC121="map",":RBV","")),"~EGU",$K121),"~PREC",$N121),"~VAR",$F121),"~CANGET",$AH121),"~CANSET",$AI121),"~ROW",X121),"~NAME",$E121),"")</f>
        <v/>
      </c>
      <c r="AR121" s="25" t="e">
        <f>VLOOKUP(G121,y_EPICS_Formats,2,FALSE)</f>
        <v>#N/A</v>
      </c>
      <c r="AS121" s="25" t="str">
        <f>IF(AB121="epics",y_Prefix&amp;AE121&amp;" = ","")</f>
        <v xml:space="preserve">SR05ID01FST01:V1_SCAN = </v>
      </c>
      <c r="AT121" s="25" t="str">
        <f>IF(LEN(P121&amp;Q121)&gt;0,IFERROR(";"&amp;I121&amp;"["&amp;K121&amp;"]"&amp;AB121&amp;"("&amp;AC121&amp;")"&amp;CHAR(10)&amp;C121 &amp;CHAR(9)&amp;AG121&amp;CHAR(9)&amp;F121 &amp;CHAR(9),";;Error!"),"")</f>
        <v xml:space="preserve">;Fly axis line scan velocity[EGU/s]epics(map)
#define	v1Scan	P2061	</v>
      </c>
      <c r="AU121" s="25" t="str">
        <f>IF(IFERROR(AND(AA121&gt;0,LEN(AN121)&gt;0),FALSE),SUBSTITUTE(SUBSTITUTE(SUBSTITUTE(y_archiverXML,"~PVNAME",AE121),"~PREFIX",y_Prefix),"~PERIOD",MIN(30,AA121)),"")</f>
        <v xml:space="preserve">      &lt;channel&gt;
         &lt;name&gt;SR05ID01FST01:V1_SCAN&lt;/name&gt;
         &lt;period&gt;30&lt;/period&gt;
         &lt;monitor/&gt;
      &lt;/channel&gt;</v>
      </c>
      <c r="AV121" s="11">
        <f>IF($AB121="epics",AV$1-LEN(AE121),"")</f>
        <v>11</v>
      </c>
      <c r="AW121" s="11">
        <f>IF($AB121="epics",AW$1-LEN(AH121),"")</f>
        <v>8</v>
      </c>
      <c r="AX121" s="11">
        <f>IF($AB121="epics",AX$1-LEN(AI121),"")</f>
        <v>8</v>
      </c>
      <c r="AY121" s="11">
        <f>IF($AB121="epics",AY$1-LEN(I121)-LEN(" readback"),"")</f>
        <v>4</v>
      </c>
      <c r="AZ121" s="12">
        <f>IF(LEN(F121)&gt;0,IFERROR(VALUE(RIGHT(F121,LEN(F121)-1)),F121),"zzzzz")</f>
        <v>2061</v>
      </c>
      <c r="BA121" s="12">
        <f>IFERROR(VALUE(RIGHT(F121,LEN(F121)-1)),F121)</f>
        <v>2061</v>
      </c>
      <c r="BB121" s="22" t="str">
        <f>y_Prefix&amp;AE121</f>
        <v>SR05ID01FST01:V1_SCAN</v>
      </c>
    </row>
    <row r="122" spans="1:54" s="22" customFormat="1" ht="15.75" customHeight="1" x14ac:dyDescent="0.25">
      <c r="A122" s="22">
        <v>115</v>
      </c>
      <c r="B122" s="4"/>
      <c r="C122" s="72" t="str">
        <f>IF(AND(ISBLANK(P122),ISBLANK(Q122)),";","#define")</f>
        <v>;</v>
      </c>
      <c r="D122" s="28"/>
      <c r="E122" s="22" t="s">
        <v>799</v>
      </c>
      <c r="F122" s="22" t="s">
        <v>41</v>
      </c>
      <c r="G122" s="22" t="s">
        <v>77</v>
      </c>
      <c r="I122" s="58" t="s">
        <v>802</v>
      </c>
      <c r="J122" s="22" t="s">
        <v>364</v>
      </c>
      <c r="K122" s="22" t="s">
        <v>534</v>
      </c>
      <c r="L122" s="22">
        <v>-9999999</v>
      </c>
      <c r="M122" s="22">
        <v>9999999</v>
      </c>
      <c r="N122" s="10">
        <v>4</v>
      </c>
      <c r="O122" s="13"/>
      <c r="P122" s="44"/>
      <c r="Q122" s="45"/>
      <c r="R122" s="45" t="s">
        <v>365</v>
      </c>
      <c r="S122" s="45"/>
      <c r="T122" s="45" t="s">
        <v>35</v>
      </c>
      <c r="U122" s="45"/>
      <c r="V122" s="45"/>
      <c r="W122" s="98">
        <v>44</v>
      </c>
      <c r="X122" s="98"/>
      <c r="Y122" s="31" t="s">
        <v>784</v>
      </c>
      <c r="Z122" s="31" t="s">
        <v>784</v>
      </c>
      <c r="AA122" s="31">
        <v>30</v>
      </c>
      <c r="AB122" s="55" t="str">
        <f>IF(LEN(R122&amp;S122&amp;T122&amp;U122&amp;V122)&gt;0,"epics","")</f>
        <v>epics</v>
      </c>
      <c r="AC122" s="52" t="str">
        <f>IF(NOT(ISBLANK(V122)),"base",IF(AB122="epics",IF(AND(ISBLANK(P122),ISBLANK(Q122)),"nmp","map"),""))</f>
        <v>nmp</v>
      </c>
      <c r="AD122" s="27" t="str">
        <f>UPPER(AD$1&amp;":"&amp;D122)</f>
        <v>:</v>
      </c>
      <c r="AE122" s="25" t="str">
        <f>UPPER(AE$1&amp;":"&amp;E122)</f>
        <v>:V1_SCANHLM</v>
      </c>
      <c r="AF122" s="27" t="str">
        <f>SUBSTITUTE(D122,"_","")</f>
        <v/>
      </c>
      <c r="AG122" s="25" t="str">
        <f>SUBSTITUTE(E122,"_","")&amp;IF(AND(RIGHT(P122)&lt;&gt;"s",RIGHT(Q122)&lt;&gt;"s"),"","")</f>
        <v>v1ScanHLM</v>
      </c>
      <c r="AH122" s="25" t="str">
        <f>IF(ISNUMBER(Y122),Y122,"$(P)"&amp;$AE$1&amp;":"&amp;Y122)</f>
        <v>$(P):EN_TRAJSET</v>
      </c>
      <c r="AI122" s="25" t="str">
        <f>IF(ISNUMBER(Z122),Z122,"$(P)"&amp;$AE$1&amp;":"&amp;Z122)</f>
        <v>$(P):EN_TRAJSET</v>
      </c>
      <c r="AJ122" s="25"/>
      <c r="AK122" s="12" t="str">
        <f>IF(AC122="map",IF(G122="float",y_varMapAnalog,IF(G122="int",y_varMapLongint,IF(G122="bool",y_varMapBool,IF(G122="string",y_varMapString,IF(G122="option",y_varMapOption,"#unknown Type"))))),IF(AC122="nmp",y_nonMappedAnalog,""))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122" s="12" t="str">
        <f>VLOOKUP(G122,y_mapProtocolLUT,3)</f>
        <v>@pmac.proto getVar($(VAR)) $(PORT)</v>
      </c>
      <c r="AM122" s="12" t="str">
        <f>VLOOKUP(G122,y_mapProtocolLUT,2)</f>
        <v>@pmac.proto setVar($(VAR)) $(PORT)</v>
      </c>
      <c r="AN122" s="25" t="str">
        <f>IF(LEN(AG122)&gt;0,SUBSTITUTE(SUBSTITUTE(SUBSTITUTE(AK122,"$(DTYP)",y_DTYPE),"$(SETPROTO)",AM122),"$(GETPROTO)",AL122),"")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122" s="25" t="str">
        <f>IFERROR(SUBSTITUTE(SUBSTITUTE(SUBSTITUTE(SUBSTITUTE(SUBSTITUTE(SUBSTITUTE(SUBSTITUTE(SUBSTITUTE(SUBSTITUTE(AN122,"$(Q)",AE122),"$(EGU)",K122),"$(PREC)",N122),"$(VAR)",TRIM(CLEAN(y_dedicatedCS&amp;F122))),"$(GetSB)",AH122),"$(SetSB)",AI122),"$(DESC)",LEFT(I122,40)),"$(ENUMS)",AJ122),"$(DEFAULT)",H122),"")</f>
        <v># non-mapped PV
#% autosave 0 VAL
record(ai, "$(P):V1_SCANHLM") {
  field(DESC, "HLM Fly axis line scan velocity ")
  field(PINI, "YES")
  field(EGU, "EGU/s")
  field(PREC, "4")
  field(VAL,"")
  field(SDIS, "$(P):EN_TRAJSET CP MS")
  field(DISV, "0")
  field(DISS, "INVALID")
}
#--------------</v>
      </c>
      <c r="AP122" s="25" t="str">
        <f>IF(ISNUMBER(W122),SUBSTITUTE(SUBSTITUTE(SUBSTITUTE(SUBSTITUTE(SUBSTITUTE(SUBSTITUTE(SUBSTITUTE(SUBSTITUTE(y_QLabel &amp; IF(RIGHT(R122)="s",y_QELineEdit,y_QELabel),"~PVNAME",$AE122&amp;IF($AC122="map","","")),"~EGU",$K122),"~PREC",$N122),"~VAR",$F122),"~CANGET",$AH122),"~CANSET",$AI122),"~ROW",W122),"~NAME",$E122),"")</f>
        <v>&lt;item row="44" column="0"&gt;
         &lt;widget class="QLabel" name="L_v1_ScanHLM"&gt;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&lt;string&gt;v1_ScanHLM&lt;/string&gt;
          &lt;/property&gt;
          &lt;property name="margin"&gt;
           &lt;number&gt;3&lt;/number&gt;
          &lt;/property&gt;
         &lt;/widget&gt;
        &lt;/item&gt;
&lt;item row="44" column="2"&gt;
            &lt;widget class="QELineEdit" name="QLD_v1_ScanHLM"&gt;
             &lt;property name="variable" stdset="0"&gt;
              &lt;string&gt;$(P)$(R):V1_SCANHLM&lt;/string&gt;
             &lt;/property&gt;
             &lt;property name="addUnits"&gt;
             &lt;bool&gt;true&lt;/bool&gt;
             &lt;/property&gt;
            &lt;/widget&gt;
           &lt;/item&gt;</v>
      </c>
      <c r="AQ122" s="25" t="str">
        <f>IF(ISNUMBER(X122),SUBSTITUTE(SUBSTITUTE(SUBSTITUTE(SUBSTITUTE(SUBSTITUTE(SUBSTITUTE(SUBSTITUTE(SUBSTITUTE(y_QLabel &amp; IF(RIGHT(S122)="s",y_QELineEdit,y_QELabel),"~PVNAME",$AE122&amp;IF($AC122="map",":RBV","")),"~EGU",$K122),"~PREC",$N122),"~VAR",$F122),"~CANGET",$AH122),"~CANSET",$AI122),"~ROW",X122),"~NAME",$E122),"")</f>
        <v/>
      </c>
      <c r="AR122" s="25" t="e">
        <f>VLOOKUP(G122,y_EPICS_Formats,2,FALSE)</f>
        <v>#N/A</v>
      </c>
      <c r="AS122" s="25" t="str">
        <f>IF(AB122="epics",y_Prefix&amp;AE122&amp;" = ","")</f>
        <v xml:space="preserve">SR05ID01FST01:V1_SCANHLM = </v>
      </c>
      <c r="AT122" s="25" t="str">
        <f>IF(LEN(P122&amp;Q122)&gt;0,IFERROR(";"&amp;I122&amp;"["&amp;K122&amp;"]"&amp;AB122&amp;"("&amp;AC122&amp;")"&amp;CHAR(10)&amp;C122 &amp;CHAR(9)&amp;AG122&amp;CHAR(9)&amp;F122 &amp;CHAR(9),";;Error!"),"")</f>
        <v/>
      </c>
      <c r="AU122" s="25" t="str">
        <f>IF(IFERROR(AND(AA122&gt;0,LEN(AN122)&gt;0),FALSE),SUBSTITUTE(SUBSTITUTE(SUBSTITUTE(y_archiverXML,"~PVNAME",AE122),"~PREFIX",y_Prefix),"~PERIOD",MIN(30,AA122)),"")</f>
        <v xml:space="preserve">      &lt;channel&gt;
         &lt;name&gt;SR05ID01FST01:V1_SCANHLM&lt;/name&gt;
         &lt;period&gt;30&lt;/period&gt;
         &lt;monitor/&gt;
      &lt;/channel&gt;</v>
      </c>
      <c r="AV122" s="11">
        <f>IF($AB122="epics",AV$1-LEN(AE122),"")</f>
        <v>8</v>
      </c>
      <c r="AW122" s="11">
        <f>IF($AB122="epics",AW$1-LEN(AH122),"")</f>
        <v>9</v>
      </c>
      <c r="AX122" s="11">
        <f>IF($AB122="epics",AX$1-LEN(AI122),"")</f>
        <v>9</v>
      </c>
      <c r="AY122" s="11">
        <f>IF($AB122="epics",AY$1-LEN(I122)-LEN(" readback"),"")</f>
        <v>-1</v>
      </c>
      <c r="AZ122" s="12" t="str">
        <f>IF(LEN(F122)&gt;0,IFERROR(VALUE(RIGHT(F122,LEN(F122)-1)),F122),"zzzzz")</f>
        <v>none</v>
      </c>
      <c r="BA122" s="12" t="str">
        <f>IFERROR(VALUE(RIGHT(F122,LEN(F122)-1)),F122)</f>
        <v>none</v>
      </c>
      <c r="BB122" s="22" t="str">
        <f>y_Prefix&amp;AE122</f>
        <v>SR05ID01FST01:V1_SCANHLM</v>
      </c>
    </row>
    <row r="123" spans="1:54" s="22" customFormat="1" ht="15.75" customHeight="1" x14ac:dyDescent="0.25">
      <c r="A123" s="22">
        <v>115.5</v>
      </c>
      <c r="B123" s="4"/>
      <c r="C123" s="72" t="str">
        <f>IF(AND(ISBLANK(P123),ISBLANK(Q123)),";","#define")</f>
        <v>;</v>
      </c>
      <c r="D123" s="28"/>
      <c r="E123" s="22" t="s">
        <v>800</v>
      </c>
      <c r="F123" s="22" t="s">
        <v>41</v>
      </c>
      <c r="G123" s="22" t="s">
        <v>77</v>
      </c>
      <c r="I123" s="58" t="s">
        <v>801</v>
      </c>
      <c r="J123" s="22" t="s">
        <v>364</v>
      </c>
      <c r="K123" s="22" t="s">
        <v>534</v>
      </c>
      <c r="L123" s="22">
        <v>-9999999</v>
      </c>
      <c r="M123" s="22">
        <v>9999999</v>
      </c>
      <c r="N123" s="10">
        <v>4</v>
      </c>
      <c r="O123" s="13"/>
      <c r="P123" s="44"/>
      <c r="Q123" s="45"/>
      <c r="R123" s="45" t="s">
        <v>365</v>
      </c>
      <c r="S123" s="45"/>
      <c r="T123" s="45" t="s">
        <v>35</v>
      </c>
      <c r="U123" s="45"/>
      <c r="V123" s="45"/>
      <c r="W123" s="98">
        <v>45</v>
      </c>
      <c r="X123" s="98"/>
      <c r="Y123" s="31" t="s">
        <v>784</v>
      </c>
      <c r="Z123" s="31" t="s">
        <v>784</v>
      </c>
      <c r="AA123" s="31">
        <v>30</v>
      </c>
      <c r="AB123" s="55" t="str">
        <f>IF(LEN(R123&amp;S123&amp;T123&amp;U123&amp;V123)&gt;0,"epics","")</f>
        <v>epics</v>
      </c>
      <c r="AC123" s="52" t="str">
        <f>IF(NOT(ISBLANK(V123)),"base",IF(AB123="epics",IF(AND(ISBLANK(P123),ISBLANK(Q123)),"nmp","map"),""))</f>
        <v>nmp</v>
      </c>
      <c r="AD123" s="27" t="str">
        <f>UPPER(AD$1&amp;":"&amp;D123)</f>
        <v>:</v>
      </c>
      <c r="AE123" s="25" t="str">
        <f>UPPER(AE$1&amp;":"&amp;E123)</f>
        <v>:V1_SCANLLM</v>
      </c>
      <c r="AF123" s="27" t="str">
        <f>SUBSTITUTE(D123,"_","")</f>
        <v/>
      </c>
      <c r="AG123" s="25" t="str">
        <f>SUBSTITUTE(E123,"_","")&amp;IF(AND(RIGHT(P123)&lt;&gt;"s",RIGHT(Q123)&lt;&gt;"s"),"","")</f>
        <v>v1ScanLLM</v>
      </c>
      <c r="AH123" s="25" t="str">
        <f>IF(ISNUMBER(Y123),Y123,"$(P)"&amp;$AE$1&amp;":"&amp;Y123)</f>
        <v>$(P):EN_TRAJSET</v>
      </c>
      <c r="AI123" s="25" t="str">
        <f>IF(ISNUMBER(Z123),Z123,"$(P)"&amp;$AE$1&amp;":"&amp;Z123)</f>
        <v>$(P):EN_TRAJSET</v>
      </c>
      <c r="AJ123" s="25"/>
      <c r="AK123" s="12" t="str">
        <f>IF(AC123="map",IF(G123="float",y_varMapAnalog,IF(G123="int",y_varMapLongint,IF(G123="bool",y_varMapBool,IF(G123="string",y_varMapString,IF(G123="option",y_varMapOption,"#unknown Type"))))),IF(AC123="nmp",y_nonMappedAnalog,""))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L123" s="12" t="str">
        <f>VLOOKUP(G123,y_mapProtocolLUT,3)</f>
        <v>@pmac.proto getVar($(VAR)) $(PORT)</v>
      </c>
      <c r="AM123" s="12" t="str">
        <f>VLOOKUP(G123,y_mapProtocolLUT,2)</f>
        <v>@pmac.proto setVar($(VAR)) $(PORT)</v>
      </c>
      <c r="AN123" s="25" t="str">
        <f>IF(LEN(AG123)&gt;0,SUBSTITUTE(SUBSTITUTE(SUBSTITUTE(AK123,"$(DTYP)",y_DTYPE),"$(SETPROTO)",AM123),"$(GETPROTO)",AL123),"")</f>
        <v># non-mapped PV
#% autosave 0 VAL
record(ai, "$(P)$(Q)") {
  field(DESC, "$(DESC)")
  field(PINI, "YES")
  field(EGU, "$(EGU)")
  field(PREC, "$(PREC)")
  field(VAL,"$(DEFAULT)")
  field(SDIS, "$(SetSB) CP MS")
  field(DISV, "0")
  field(DISS, "INVALID")
}
#--------------</v>
      </c>
      <c r="AO123" s="25" t="str">
        <f>IFERROR(SUBSTITUTE(SUBSTITUTE(SUBSTITUTE(SUBSTITUTE(SUBSTITUTE(SUBSTITUTE(SUBSTITUTE(SUBSTITUTE(SUBSTITUTE(AN123,"$(Q)",AE123),"$(EGU)",K123),"$(PREC)",N123),"$(VAR)",TRIM(CLEAN(y_dedicatedCS&amp;F123))),"$(GetSB)",AH123),"$(SetSB)",AI123),"$(DESC)",LEFT(I123,40)),"$(ENUMS)",AJ123),"$(DEFAULT)",H123),"")</f>
        <v># non-mapped PV
#% autosave 0 VAL
record(ai, "$(P):V1_SCANLLM") {
  field(DESC, "LLM Fly axis line scan velocity ")
  field(PINI, "YES")
  field(EGU, "EGU/s")
  field(PREC, "4")
  field(VAL,"")
  field(SDIS, "$(P):EN_TRAJSET CP MS")
  field(DISV, "0")
  field(DISS, "INVALID")
}
#--------------</v>
      </c>
      <c r="AP123" s="25" t="str">
        <f>IF(ISNUMBER(W123),SUBSTITUTE(SUBSTITUTE(SUBSTITUTE(SUBSTITUTE(SUBSTITUTE(SUBSTITUTE(SUBSTITUTE(SUBSTITUTE(y_QLabel &amp; IF(RIGHT(R123)="s",y_QELineEdit,y_QELabel),"~PVNAME",$AE123&amp;IF($AC123="map","","")),"~EGU",$K123),"~PREC",$N123),"~VAR",$F123),"~CANGET",$AH123),"~CANSET",$AI123),"~ROW",W123),"~NAME",$E123),"")</f>
        <v>&lt;item row="45" column="0"&gt;
         &lt;widget class="QLabel" name="L_v1_ScanLLM"&gt;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&lt;string&gt;v1_ScanLLM&lt;/string&gt;
          &lt;/property&gt;
          &lt;property name="margin"&gt;
           &lt;number&gt;3&lt;/number&gt;
          &lt;/property&gt;
         &lt;/widget&gt;
        &lt;/item&gt;
&lt;item row="45" column="2"&gt;
            &lt;widget class="QELineEdit" name="QLD_v1_ScanLLM"&gt;
             &lt;property name="variable" stdset="0"&gt;
              &lt;string&gt;$(P)$(R):V1_SCANLLM&lt;/string&gt;
             &lt;/property&gt;
             &lt;property name="addUnits"&gt;
             &lt;bool&gt;true&lt;/bool&gt;
             &lt;/property&gt;
            &lt;/widget&gt;
           &lt;/item&gt;</v>
      </c>
      <c r="AQ123" s="25" t="str">
        <f>IF(ISNUMBER(X123),SUBSTITUTE(SUBSTITUTE(SUBSTITUTE(SUBSTITUTE(SUBSTITUTE(SUBSTITUTE(SUBSTITUTE(SUBSTITUTE(y_QLabel &amp; IF(RIGHT(S123)="s",y_QELineEdit,y_QELabel),"~PVNAME",$AE123&amp;IF($AC123="map",":RBV","")),"~EGU",$K123),"~PREC",$N123),"~VAR",$F123),"~CANGET",$AH123),"~CANSET",$AI123),"~ROW",X123),"~NAME",$E123),"")</f>
        <v/>
      </c>
      <c r="AR123" s="25" t="e">
        <f>VLOOKUP(G123,y_EPICS_Formats,2,FALSE)</f>
        <v>#N/A</v>
      </c>
      <c r="AS123" s="25" t="str">
        <f>IF(AB123="epics",y_Prefix&amp;AE123&amp;" = ","")</f>
        <v xml:space="preserve">SR05ID01FST01:V1_SCANLLM = </v>
      </c>
      <c r="AT123" s="25" t="str">
        <f>IF(LEN(P123&amp;Q123)&gt;0,IFERROR(";"&amp;I123&amp;"["&amp;K123&amp;"]"&amp;AB123&amp;"("&amp;AC123&amp;")"&amp;CHAR(10)&amp;C123 &amp;CHAR(9)&amp;AG123&amp;CHAR(9)&amp;F123 &amp;CHAR(9),";;Error!"),"")</f>
        <v/>
      </c>
      <c r="AU123" s="25" t="str">
        <f>IF(IFERROR(AND(AA123&gt;0,LEN(AN123)&gt;0),FALSE),SUBSTITUTE(SUBSTITUTE(SUBSTITUTE(y_archiverXML,"~PVNAME",AE123),"~PREFIX",y_Prefix),"~PERIOD",MIN(30,AA123)),"")</f>
        <v xml:space="preserve">      &lt;channel&gt;
         &lt;name&gt;SR05ID01FST01:V1_SCANLLM&lt;/name&gt;
         &lt;period&gt;30&lt;/period&gt;
         &lt;monitor/&gt;
      &lt;/channel&gt;</v>
      </c>
      <c r="AV123" s="11">
        <f>IF($AB123="epics",AV$1-LEN(AE123),"")</f>
        <v>8</v>
      </c>
      <c r="AW123" s="11">
        <f>IF($AB123="epics",AW$1-LEN(AH123),"")</f>
        <v>9</v>
      </c>
      <c r="AX123" s="11">
        <f>IF($AB123="epics",AX$1-LEN(AI123),"")</f>
        <v>9</v>
      </c>
      <c r="AY123" s="11">
        <f>IF($AB123="epics",AY$1-LEN(I123)-LEN(" readback"),"")</f>
        <v>-1</v>
      </c>
      <c r="AZ123" s="12" t="str">
        <f>IF(LEN(F123)&gt;0,IFERROR(VALUE(RIGHT(F123,LEN(F123)-1)),F123),"zzzzz")</f>
        <v>none</v>
      </c>
      <c r="BA123" s="12" t="str">
        <f>IFERROR(VALUE(RIGHT(F123,LEN(F123)-1)),F123)</f>
        <v>none</v>
      </c>
      <c r="BB123" s="22" t="str">
        <f>y_Prefix&amp;AE123</f>
        <v>SR05ID01FST01:V1_SCANLLM</v>
      </c>
    </row>
    <row r="124" spans="1:54" ht="15.75" customHeight="1" x14ac:dyDescent="0.25">
      <c r="A124" s="22">
        <v>116</v>
      </c>
      <c r="C124" s="72" t="str">
        <f>IF(AND(ISBLANK(P124),ISBLANK(Q124)),";","#define")</f>
        <v>#define</v>
      </c>
      <c r="D124" s="28"/>
      <c r="E124" s="2" t="s">
        <v>744</v>
      </c>
      <c r="F124" s="22" t="s">
        <v>745</v>
      </c>
      <c r="G124" s="22" t="s">
        <v>77</v>
      </c>
      <c r="H124" s="22"/>
      <c r="I124" s="58" t="s">
        <v>746</v>
      </c>
      <c r="J124" s="22" t="s">
        <v>35</v>
      </c>
      <c r="K124" s="22" t="s">
        <v>534</v>
      </c>
      <c r="L124" s="22">
        <v>-9999999</v>
      </c>
      <c r="M124" s="22">
        <v>9999999</v>
      </c>
      <c r="N124" s="10">
        <v>4</v>
      </c>
      <c r="P124" s="44" t="s">
        <v>365</v>
      </c>
      <c r="S124" s="45" t="s">
        <v>35</v>
      </c>
      <c r="W124" s="98">
        <v>46</v>
      </c>
      <c r="Y124" s="31" t="s">
        <v>785</v>
      </c>
      <c r="Z124" s="31" t="s">
        <v>786</v>
      </c>
      <c r="AA124" s="31">
        <v>30</v>
      </c>
      <c r="AB124" s="55" t="str">
        <f>IF(LEN(R124&amp;S124&amp;T124&amp;U124&amp;V124)&gt;0,"epics","")</f>
        <v>epics</v>
      </c>
      <c r="AC124" s="52" t="str">
        <f>IF(NOT(ISBLANK(V124)),"base",IF(AB124="epics",IF(AND(ISBLANK(P124),ISBLANK(Q124)),"nmp","map"),""))</f>
        <v>map</v>
      </c>
      <c r="AD124" s="27" t="str">
        <f>UPPER(AD$1&amp;":"&amp;D124)</f>
        <v>:</v>
      </c>
      <c r="AE124" s="25" t="str">
        <f>UPPER(AE$1&amp;":"&amp;E124)</f>
        <v>:V2_IN</v>
      </c>
      <c r="AF124" s="27" t="str">
        <f>SUBSTITUTE(D124,"_","")</f>
        <v/>
      </c>
      <c r="AG124" s="25" t="str">
        <f>SUBSTITUTE(E124,"_","")&amp;IF(AND(RIGHT(P124)&lt;&gt;"s",RIGHT(Q124)&lt;&gt;"s"),"","")</f>
        <v>v2In</v>
      </c>
      <c r="AH124" s="25" t="str">
        <f>IF(ISNUMBER(Y124),Y124,"$(P)"&amp;$AE$1&amp;":"&amp;Y124)</f>
        <v>$(P):EN_MONITOR</v>
      </c>
      <c r="AI124" s="25" t="str">
        <f>IF(ISNUMBER(Z124),Z124,"$(P)"&amp;$AE$1&amp;":"&amp;Z124)</f>
        <v>$(P):EN_NEVER</v>
      </c>
      <c r="AJ124" s="25"/>
      <c r="AK124" s="12" t="str">
        <f>IF(AC124="map",IF(G124="float",y_varMapAnalog,IF(G124="int",y_varMapLongint,IF(G124="bool",y_varMapBool,IF(G124="string",y_varMapString,IF(G124="option",y_varMapOption,"#unknown Type"))))),IF(AC124="nmp",y_nonMappedAnalog,""))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24" s="12" t="str">
        <f>VLOOKUP(G124,y_mapProtocolLUT,3)</f>
        <v>@pmac.proto getVar($(VAR)) $(PORT)</v>
      </c>
      <c r="AM124" s="12" t="str">
        <f>VLOOKUP(G124,y_mapProtocolLUT,2)</f>
        <v>@pmac.proto setVar($(VAR)) $(PORT)</v>
      </c>
      <c r="AN124" s="25" t="str">
        <f>IF(LEN(AG124)&gt;0,SUBSTITUTE(SUBSTITUTE(SUBSTITUTE(AK124,"$(DTYP)",y_DTYPE),"$(SETPROTO)",AM124),"$(GETPROTO)",AL124),"")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24" s="25" t="str">
        <f>IFERROR(SUBSTITUTE(SUBSTITUTE(SUBSTITUTE(SUBSTITUTE(SUBSTITUTE(SUBSTITUTE(SUBSTITUTE(SUBSTITUTE(SUBSTITUTE(AN124,"$(Q)",AE124),"$(EGU)",K124),"$(PREC)",N124),"$(VAR)",TRIM(CLEAN(y_dedicatedCS&amp;F124))),"$(GetSB)",AH124),"$(SetSB)",AI124),"$(DESC)",LEFT(I124,40)),"$(ENUMS)",AJ124),"$(DEFAULT)",H124),"")</f>
        <v>_x000D_
# PVs mapping to P2047 of type Analog_x000D_
record(ao, "$(P):V2_IN") {_x000D_
  field(DESC, "Inc. axis line exit velocity")_x000D_
  field(OUT, "$(P):V2_IN:SET PP MS")_x000D_
  field(PINI, "NO")_x000D_
  field(EGU, "EGU/s") field(PREC, "4")_x000D_
  field(SDIS, "$(P):V2_IN:SCD MS")_x000D_
  field(DISV, "999999")  _x000D_
}_x000D_
record(ai, "$(P):V2_IN:RBV") {_x000D_
  field(DESC, "Inc. axis line exit velocity readback")_x000D_
  field(DTYP, "stream")_x000D_
  field(INP, "@pmac.proto getVar(P2047) $(PORT)")_x000D_
  field(SDIS, "$(P):EN_MONITOR NPP MS")_x000D_
  field(DISV, "0")_x000D_
  field(PINI, "NO")_x000D_
  field(DISS, "INVALID")_x000D_
  field(EGU, "EGU/s") field(PREC, "4")_x000D_
}_x000D_
#% autosave 0 VAL_x000D_
record(ao, "$(P):V2_IN:SET") {_x000D_
  field(DTYP, "stream")_x000D_
  field(SDIS, "$(P):V2_IN:ROL PP MS")_x000D_
  field(OUT, "@pmac.proto setVar(P2047) $(PORT)")_x000D_
  field(PINI, "YES")_x000D_
  field(FLNK, "$(P):V2_IN:SCD")  _x000D_
  field(DISS, "INVALID")_x000D_
}_x000D_
record(calc, "$(P):V2_IN:ROL") {_x000D_
  field(CALC, "(!B) || A")_x000D_
  field(INPA, "$(P):V2_IN:SYN.PACT")_x000D_
  field(INPB, "$(P):EN_NEVER NPP")_x000D_
  field(PINI, "NO")_x000D_
}_x000D_
record(calcout, "$(P):V2_IN:SYN") {_x000D_
 field(INPA, "$(P):V2_IN:RBV PP")_x000D_
 field(INPB, "$(P):EN_MONITOR CP MS")_x000D_
 field(INPC, "$(P):EN_NEVER NPP")_x000D_
 field(INPD, "$(P):V2_IN:SCD CP MS")_x000D_
 field(INPE, "$(P):V2_IN:SET NPP")_x000D_
 field(INPF, "$(P):EN_AUTOSYNC CP")_x000D_
 field(SDIS, "$(P):V2_IN:SET.PACT")_x000D_
 field(DISS, "INVALID")_x000D_
 field(CALC, "((D&gt;0)||(F&gt;0))?A:E")_x000D_
 field(OUT, "$(P):V2_IN PP MS")_x000D_
 field(PINI, "NO")_x000D_
}_x000D_
record(calc, "$(P):V2_IN:SCD") {_x000D_
 field(CALC, "(ABS(B-A)&lt;10^(-C))?1:0")_x000D_
 field(INPA, "$(P):V2_IN:RBV CP MS")_x000D_
 field(INPB, "$(P):V2_IN:SET CP")_x000D_
 field(INPC, "$(P):V2_IN:RBV.PREC")_x000D_
 field(PINI, "YES")_x000D_
 field(VAL,"0")_x000D_
 field(LOLO, "0.5")_x000D_
 field(LLSV, "MINOR") _x000D_
}_x000D_
# -----------------------------_x000D_
#</v>
      </c>
      <c r="AP124" s="25" t="str">
        <f>IF(ISNUMBER(W124),SUBSTITUTE(SUBSTITUTE(SUBSTITUTE(SUBSTITUTE(SUBSTITUTE(SUBSTITUTE(SUBSTITUTE(SUBSTITUTE(y_QLabel &amp; IF(RIGHT(R124)="s",y_QELineEdit,y_QELabel),"~PVNAME",$AE124&amp;IF($AC124="map","","")),"~EGU",$K124),"~PREC",$N124),"~VAR",$F124),"~CANGET",$AH124),"~CANSET",$AI124),"~ROW",W124),"~NAME",$E124),"")</f>
        <v xml:space="preserve">&lt;item row="46" column="0"&gt;
         &lt;widget class="QLabel" name="L_v2_In"&gt;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&lt;string&gt;v2_In&lt;/string&gt;
          &lt;/property&gt;
          &lt;property name="margin"&gt;
           &lt;number&gt;3&lt;/number&gt;
          &lt;/property&gt;
         &lt;/widget&gt;
        &lt;/item&gt;
&lt;item row="46" column="1"&gt;
         &lt;widget class="QELabel" name="QL_v2_In"&gt;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&lt;string&gt;$(P)$(R):V2_IN&lt;/string&gt;
          &lt;/property&gt;
         &lt;/widget&gt;
   &lt;/item&gt;
</v>
      </c>
      <c r="AQ124" s="25" t="str">
        <f>IF(ISNUMBER(X124),SUBSTITUTE(SUBSTITUTE(SUBSTITUTE(SUBSTITUTE(SUBSTITUTE(SUBSTITUTE(SUBSTITUTE(SUBSTITUTE(y_QLabel &amp; IF(RIGHT(S124)="s",y_QELineEdit,y_QELabel),"~PVNAME",$AE124&amp;IF($AC124="map",":RBV","")),"~EGU",$K124),"~PREC",$N124),"~VAR",$F124),"~CANGET",$AH124),"~CANSET",$AI124),"~ROW",X124),"~NAME",$E124),"")</f>
        <v/>
      </c>
      <c r="AR124" s="25" t="e">
        <f>VLOOKUP(G124,y_EPICS_Formats,2,FALSE)</f>
        <v>#N/A</v>
      </c>
      <c r="AS124" s="25" t="str">
        <f>IF(AB124="epics",y_Prefix&amp;AE124&amp;" = ","")</f>
        <v xml:space="preserve">SR05ID01FST01:V2_IN = </v>
      </c>
      <c r="AT124" s="25" t="str">
        <f>IF(LEN(P124&amp;Q124)&gt;0,IFERROR(";"&amp;I124&amp;"["&amp;K124&amp;"]"&amp;AB124&amp;"("&amp;AC124&amp;")"&amp;CHAR(10)&amp;C124 &amp;CHAR(9)&amp;AG124&amp;CHAR(9)&amp;F124 &amp;CHAR(9),";;Error!"),"")</f>
        <v xml:space="preserve">;Inc. axis line exit velocity[EGU/s]epics(map)
#define	v2In	P2047	</v>
      </c>
      <c r="AU124" s="25" t="str">
        <f>IF(IFERROR(AND(AA124&gt;0,LEN(AN124)&gt;0),FALSE),SUBSTITUTE(SUBSTITUTE(SUBSTITUTE(y_archiverXML,"~PVNAME",AE124),"~PREFIX",y_Prefix),"~PERIOD",MIN(30,AA124)),"")</f>
        <v xml:space="preserve">      &lt;channel&gt;
         &lt;name&gt;SR05ID01FST01:V2_IN&lt;/name&gt;
         &lt;period&gt;30&lt;/period&gt;
         &lt;monitor/&gt;
      &lt;/channel&gt;</v>
      </c>
      <c r="AV124" s="11">
        <f>IF($AB124="epics",AV$1-LEN(AE124),"")</f>
        <v>13</v>
      </c>
      <c r="AW124" s="11">
        <f>IF($AB124="epics",AW$1-LEN(AH124),"")</f>
        <v>9</v>
      </c>
      <c r="AX124" s="11">
        <f>IF($AB124="epics",AX$1-LEN(AI124),"")</f>
        <v>11</v>
      </c>
      <c r="AY124" s="11">
        <f>IF($AB124="epics",AY$1-LEN(I124)-LEN(" readback"),"")</f>
        <v>3</v>
      </c>
      <c r="AZ124" s="12">
        <f>IF(LEN(F124)&gt;0,IFERROR(VALUE(RIGHT(F124,LEN(F124)-1)),F124),"zzzzz")</f>
        <v>2047</v>
      </c>
      <c r="BA124" s="12">
        <f>IFERROR(VALUE(RIGHT(F124,LEN(F124)-1)),F124)</f>
        <v>2047</v>
      </c>
      <c r="BB124" s="22" t="str">
        <f>y_Prefix&amp;AE124</f>
        <v>SR05ID01FST01:V2_IN</v>
      </c>
    </row>
    <row r="125" spans="1:54" ht="15.75" customHeight="1" x14ac:dyDescent="0.25">
      <c r="A125" s="22">
        <v>117</v>
      </c>
      <c r="C125" s="72" t="str">
        <f>IF(AND(ISBLANK(P125),ISBLANK(Q125)),";","#define")</f>
        <v>#define</v>
      </c>
      <c r="D125" s="28"/>
      <c r="E125" s="22" t="s">
        <v>747</v>
      </c>
      <c r="F125" s="22" t="s">
        <v>748</v>
      </c>
      <c r="G125" s="22" t="s">
        <v>77</v>
      </c>
      <c r="H125" s="22"/>
      <c r="I125" s="58" t="s">
        <v>749</v>
      </c>
      <c r="J125" s="22" t="s">
        <v>35</v>
      </c>
      <c r="K125" s="22" t="s">
        <v>534</v>
      </c>
      <c r="L125" s="22">
        <v>-9999999</v>
      </c>
      <c r="M125" s="22">
        <v>9999999</v>
      </c>
      <c r="N125" s="10">
        <v>4</v>
      </c>
      <c r="P125" s="44" t="s">
        <v>365</v>
      </c>
      <c r="S125" s="45" t="s">
        <v>35</v>
      </c>
      <c r="W125" s="98">
        <v>47</v>
      </c>
      <c r="Y125" s="31" t="s">
        <v>785</v>
      </c>
      <c r="Z125" s="31" t="s">
        <v>786</v>
      </c>
      <c r="AA125" s="31">
        <v>30</v>
      </c>
      <c r="AB125" s="55" t="str">
        <f>IF(LEN(R125&amp;S125&amp;T125&amp;U125&amp;V125)&gt;0,"epics","")</f>
        <v>epics</v>
      </c>
      <c r="AC125" s="52" t="str">
        <f>IF(NOT(ISBLANK(V125)),"base",IF(AB125="epics",IF(AND(ISBLANK(P125),ISBLANK(Q125)),"nmp","map"),""))</f>
        <v>map</v>
      </c>
      <c r="AD125" s="27" t="str">
        <f>UPPER(AD$1&amp;":"&amp;D125)</f>
        <v>:</v>
      </c>
      <c r="AE125" s="25" t="str">
        <f>UPPER(AE$1&amp;":"&amp;E125)</f>
        <v>:V2_OUT</v>
      </c>
      <c r="AF125" s="27" t="str">
        <f>SUBSTITUTE(D125,"_","")</f>
        <v/>
      </c>
      <c r="AG125" s="25" t="str">
        <f>SUBSTITUTE(E125,"_","")&amp;IF(AND(RIGHT(P125)&lt;&gt;"s",RIGHT(Q125)&lt;&gt;"s"),"","")</f>
        <v>v2Out</v>
      </c>
      <c r="AH125" s="25" t="str">
        <f>IF(ISNUMBER(Y125),Y125,"$(P)"&amp;$AE$1&amp;":"&amp;Y125)</f>
        <v>$(P):EN_MONITOR</v>
      </c>
      <c r="AI125" s="25" t="str">
        <f>IF(ISNUMBER(Z125),Z125,"$(P)"&amp;$AE$1&amp;":"&amp;Z125)</f>
        <v>$(P):EN_NEVER</v>
      </c>
      <c r="AJ125" s="25"/>
      <c r="AK125" s="12" t="str">
        <f>IF(AC125="map",IF(G125="float",y_varMapAnalog,IF(G125="int",y_varMapLongint,IF(G125="bool",y_varMapBool,IF(G125="string",y_varMapString,IF(G125="option",y_varMapOption,"#unknown Type"))))),IF(AC125="nmp",y_nonMappedAnalog,""))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"$(DTYP)")_x000D_
  field(INP, "$(GETPROTO)")_x000D_
  field(SDIS, "$(GetSB) NPP MS")_x000D_
  field(DISV, "0")_x000D_
  field(PINI, "NO")_x000D_
  field(DISS, "INVALID")_x000D_
  field(EGU, "$(EGU)") field(PREC, "$(PREC)")_x000D_
}_x000D_
#% autosave 0 VAL_x000D_
record(ao, "$(P)$(Q):SET") {_x000D_
  field(DTYP, "$(DTYP)")_x000D_
  field(SDIS, "$(P)$(Q):ROL PP MS")_x000D_
  field(OUT, "$(SETPROTO)")_x000D_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L125" s="12" t="str">
        <f>VLOOKUP(G125,y_mapProtocolLUT,3)</f>
        <v>@pmac.proto getVar($(VAR)) $(PORT)</v>
      </c>
      <c r="AM125" s="12" t="str">
        <f>VLOOKUP(G125,y_mapProtocolLUT,2)</f>
        <v>@pmac.proto setVar($(VAR)) $(PORT)</v>
      </c>
      <c r="AN125" s="25" t="str">
        <f>IF(LEN(AG125)&gt;0,SUBSTITUTE(SUBSTITUTE(SUBSTITUTE(AK125,"$(DTYP)",y_DTYPE),"$(SETPROTO)",AM125),"$(GETPROTO)",AL125),"")</f>
        <v>_x000D_
# PVs mapping to $(VAR) of type Analog_x000D_
record(ao, "$(P)$(Q)") {_x000D_
  field(DESC, "$(DESC)")_x000D_
  field(OUT, "$(P)$(Q):SET PP MS")_x000D_
  field(PINI, "NO")_x000D_
  field(EGU, "$(EGU)") field(PREC, "$(PREC)")_x000D_
  field(SDIS, "$(P)$(Q):SCD MS")_x000D_
  field(DISV, "999999")  _x000D_
}_x000D_
record(ai, "$(P)$(Q):RBV") {_x000D_
  field(DESC, "$(DESC) readback")_x000D_
  field(DTYP, "stream")_x000D_
  field(INP, "@pmac.proto getVar($(VAR)) $(PORT)")_x000D_
  field(SDIS, "$(GetSB) NPP MS")_x000D_
  field(DISV, "0")_x000D_
  field(PINI, "NO")_x000D_
  field(DISS, "INVALID")_x000D_
  field(EGU, "$(EGU)") field(PREC, "$(PREC)")_x000D_
}_x000D_
#% autosave 0 VAL_x000D_
record(ao, "$(P)$(Q):SET") {_x000D_
  field(DTYP, "stream")_x000D_
  field(SDIS, "$(P)$(Q):ROL PP MS")_x000D_
  field(OUT, "@pmac.proto setVar($(VAR)) $(PORT)")_x000D_
  field(PINI, "YES")_x000D_
  field(FLNK, "$(P)$(Q):SCD")  _x000D_
  field(DISS, "INVALID")_x000D_
}_x000D_
record(calc, "$(P)$(Q):ROL") {_x000D_
  field(CALC, "(!B) || A")_x000D_
  field(INPA, "$(P)$(Q):SYN.PACT")_x000D_
  field(INPB, "$(SetSB) NPP")_x000D_
  field(PINI, "NO")_x000D_
}_x000D_
record(calcout, "$(P)$(Q):SYN") {_x000D_
 field(INPA, "$(P)$(Q):RBV PP")_x000D_
 field(INPB, "$(GetSB) CP MS")_x000D_
 field(INPC, "$(SetSB) NPP")_x000D_
 field(INPD, "$(P)$(Q):SCD CP MS")_x000D_
 field(INPE, "$(P)$(Q):SET NPP")_x000D_
 field(INPF, "$(P):EN_AUTOSYNC CP")_x000D_
 field(SDIS, "$(P)$(Q):SET.PACT")_x000D_
 field(DISS, "INVALID")_x000D_
 field(CALC, "((D&gt;0)||(F&gt;0))?A:E")_x000D_
 field(OUT, "$(P)$(Q) PP MS")_x000D_
 field(PINI, "NO")_x000D_
}_x000D_
record(calc, "$(P)$(Q):SCD") {_x000D_
 field(CALC, "(ABS(B-A)&lt;10^(-C))?1:0")_x000D_
 field(INPA, "$(P)$(Q):RBV CP MS")_x000D_
 field(INPB, "$(P)$(Q):SET CP")_x000D_
 field(INPC, "$(P)$(Q):RBV.PREC")_x000D_
 field(PINI, "YES")_x000D_
 field(VAL,"0")_x000D_
 field(LOLO, "0.5")_x000D_
 field(LLSV, "MINOR") _x000D_
}_x000D_
# -----------------------------_x000D_
#</v>
      </c>
      <c r="AO125" s="25" t="str">
        <f>IFERROR(SUBSTITUTE(SUBSTITUTE(SUBSTITUTE(SUBSTITUTE(SUBSTITUTE(SUBSTITUTE(SUBSTITUTE(SUBSTITUTE(SUBSTITUTE(AN125,"$(Q)",AE125),"$(EGU)",K125),"$(PREC)",N125),"$(VAR)",TRIM(CLEAN(y_dedicatedCS&amp;F125))),"$(GetSB)",AH125),"$(SetSB)",AI125),"$(DESC)",LEFT(I125,40)),"$(ENUMS)",AJ125),"$(DEFAULT)",H125),"")</f>
        <v>_x000D_
# PVs mapping to P2046 of type Analog_x000D_
record(ao, "$(P):V2_OUT") {_x000D_
  field(DESC, "Inc. axis line entry velocity")_x000D_
  field(OUT, "$(P):V2_OUT:SET PP MS")_x000D_
  field(PINI, "NO")_x000D_
  field(EGU, "EGU/s") field(PREC, "4")_x000D_
  field(SDIS, "$(P):V2_OUT:SCD MS")_x000D_
  field(DISV, "999999")  _x000D_
}_x000D_
record(ai, "$(P):V2_OUT:RBV") {_x000D_
  field(DESC, "Inc. axis line entry velocity readback")_x000D_
  field(DTYP, "stream")_x000D_
  field(INP, "@pmac.proto getVar(P2046) $(PORT)")_x000D_
  field(SDIS, "$(P):EN_MONITOR NPP MS")_x000D_
  field(DISV, "0")_x000D_
  field(PINI, "NO")_x000D_
  field(DISS, "INVALID")_x000D_
  field(EGU, "EGU/s") field(PREC, "4")_x000D_
}_x000D_
#% autosave 0 VAL_x000D_
record(ao, "$(P):V2_OUT:SET") {_x000D_
  field(DTYP, "stream")_x000D_
  field(SDIS, "$(P):V2_OUT:ROL PP MS")_x000D_
  field(OUT, "@pmac.proto setVar(P2046) $(PORT)")_x000D_
  field(PINI, "YES")_x000D_
  field(FLNK, "$(P):V2_OUT:SCD")  _x000D_
  field(DISS, "INVALID")_x000D_
}_x000D_
record(calc, "$(P):V2_OUT:ROL") {_x000D_
  field(CALC, "(!B) || A")_x000D_
  field(INPA, "$(P):V2_OUT:SYN.PACT")_x000D_
  field(INPB, "$(P):EN_NEVER NPP")_x000D_
  field(PINI, "NO")_x000D_
}_x000D_
record(calcout, "$(P):V2_OUT:SYN") {_x000D_
 field(INPA, "$(P):V2_OUT:RBV PP")_x000D_
 field(INPB, "$(P):EN_MONITOR CP MS")_x000D_
 field(INPC, "$(P):EN_NEVER NPP")_x000D_
 field(INPD, "$(P):V2_OUT:SCD CP MS")_x000D_
 field(INPE, "$(P):V2_OUT:SET NPP")_x000D_
 field(INPF, "$(P):EN_AUTOSYNC CP")_x000D_
 field(SDIS, "$(P):V2_OUT:SET.PACT")_x000D_
 field(DISS, "INVALID")_x000D_
 field(CALC, "((D&gt;0)||(F&gt;0))?A:E")_x000D_
 field(OUT, "$(P):V2_OUT PP MS")_x000D_
 field(PINI, "NO")_x000D_
}_x000D_
record(calc, "$(P):V2_OUT:SCD") {_x000D_
 field(CALC, "(ABS(B-A)&lt;10^(-C))?1:0")_x000D_
 field(INPA, "$(P):V2_OUT:RBV CP MS")_x000D_
 field(INPB, "$(P):V2_OUT:SET CP")_x000D_
 field(INPC, "$(P):V2_OUT:RBV.PREC")_x000D_
 field(PINI, "YES")_x000D_
 field(VAL,"0")_x000D_
 field(LOLO, "0.5")_x000D_
 field(LLSV, "MINOR") _x000D_
}_x000D_
# -----------------------------_x000D_
#</v>
      </c>
      <c r="AP125" s="25" t="str">
        <f>IF(ISNUMBER(W125),SUBSTITUTE(SUBSTITUTE(SUBSTITUTE(SUBSTITUTE(SUBSTITUTE(SUBSTITUTE(SUBSTITUTE(SUBSTITUTE(y_QLabel &amp; IF(RIGHT(R125)="s",y_QELineEdit,y_QELabel),"~PVNAME",$AE125&amp;IF($AC125="map","","")),"~EGU",$K125),"~PREC",$N125),"~VAR",$F125),"~CANGET",$AH125),"~CANSET",$AI125),"~ROW",W125),"~NAME",$E125),"")</f>
        <v xml:space="preserve">&lt;item row="47" column="0"&gt;
         &lt;widget class="QLabel" name="L_v2_Out"&gt;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&lt;string&gt;v2_Out&lt;/string&gt;
          &lt;/property&gt;
          &lt;property name="margin"&gt;
           &lt;number&gt;3&lt;/number&gt;
          &lt;/property&gt;
         &lt;/widget&gt;
        &lt;/item&gt;
&lt;item row="47" column="1"&gt;
         &lt;widget class="QELabel" name="QL_v2_Out"&gt;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&lt;string&gt;$(P)$(R):V2_OUT&lt;/string&gt;
          &lt;/property&gt;
         &lt;/widget&gt;
   &lt;/item&gt;
</v>
      </c>
      <c r="AQ125" s="25" t="str">
        <f>IF(ISNUMBER(X125),SUBSTITUTE(SUBSTITUTE(SUBSTITUTE(SUBSTITUTE(SUBSTITUTE(SUBSTITUTE(SUBSTITUTE(SUBSTITUTE(y_QLabel &amp; IF(RIGHT(S125)="s",y_QELineEdit,y_QELabel),"~PVNAME",$AE125&amp;IF($AC125="map",":RBV","")),"~EGU",$K125),"~PREC",$N125),"~VAR",$F125),"~CANGET",$AH125),"~CANSET",$AI125),"~ROW",X125),"~NAME",$E125),"")</f>
        <v/>
      </c>
      <c r="AR125" s="25" t="e">
        <f>VLOOKUP(G125,y_EPICS_Formats,2,FALSE)</f>
        <v>#N/A</v>
      </c>
      <c r="AS125" s="25" t="str">
        <f>IF(AB125="epics",y_Prefix&amp;AE125&amp;" = ","")</f>
        <v xml:space="preserve">SR05ID01FST01:V2_OUT = </v>
      </c>
      <c r="AT125" s="25" t="str">
        <f>IF(LEN(P125&amp;Q125)&gt;0,IFERROR(";"&amp;I125&amp;"["&amp;K125&amp;"]"&amp;AB125&amp;"("&amp;AC125&amp;")"&amp;CHAR(10)&amp;C125 &amp;CHAR(9)&amp;AG125&amp;CHAR(9)&amp;F125 &amp;CHAR(9),";;Error!"),"")</f>
        <v xml:space="preserve">;Inc. axis line entry velocity[EGU/s]epics(map)
#define	v2Out	P2046	</v>
      </c>
      <c r="AU125" s="25" t="str">
        <f>IF(IFERROR(AND(AA125&gt;0,LEN(AN125)&gt;0),FALSE),SUBSTITUTE(SUBSTITUTE(SUBSTITUTE(y_archiverXML,"~PVNAME",AE125),"~PREFIX",y_Prefix),"~PERIOD",MIN(30,AA125)),"")</f>
        <v xml:space="preserve">      &lt;channel&gt;
         &lt;name&gt;SR05ID01FST01:V2_OUT&lt;/name&gt;
         &lt;period&gt;30&lt;/period&gt;
         &lt;monitor/&gt;
      &lt;/channel&gt;</v>
      </c>
      <c r="AV125" s="11">
        <f>IF($AB125="epics",AV$1-LEN(AE125),"")</f>
        <v>12</v>
      </c>
      <c r="AW125" s="11">
        <f>IF($AB125="epics",AW$1-LEN(AH125),"")</f>
        <v>9</v>
      </c>
      <c r="AX125" s="11">
        <f>IF($AB125="epics",AX$1-LEN(AI125),"")</f>
        <v>11</v>
      </c>
      <c r="AY125" s="11">
        <f>IF($AB125="epics",AY$1-LEN(I125)-LEN(" readback"),"")</f>
        <v>2</v>
      </c>
      <c r="AZ125" s="12">
        <f>IF(LEN(F125)&gt;0,IFERROR(VALUE(RIGHT(F125,LEN(F125)-1)),F125),"zzzzz")</f>
        <v>2046</v>
      </c>
      <c r="BA125" s="12">
        <f>IFERROR(VALUE(RIGHT(F125,LEN(F125)-1)),F125)</f>
        <v>2046</v>
      </c>
      <c r="BB125" s="22" t="str">
        <f>y_Prefix&amp;AE125</f>
        <v>SR05ID01FST01:V2_OUT</v>
      </c>
    </row>
    <row r="126" spans="1:54" ht="15.75" customHeight="1" x14ac:dyDescent="0.25">
      <c r="A126" s="22">
        <v>118</v>
      </c>
      <c r="C126" s="72" t="str">
        <f>IF(AND(ISBLANK(P126),ISBLANK(Q126)),";","#define")</f>
        <v>#define</v>
      </c>
      <c r="D126" s="28"/>
      <c r="E126" s="22" t="s">
        <v>750</v>
      </c>
      <c r="F126" s="22" t="s">
        <v>751</v>
      </c>
      <c r="G126" s="22"/>
      <c r="H126" s="22"/>
      <c r="I126" s="58" t="s">
        <v>624</v>
      </c>
      <c r="J126" s="22" t="s">
        <v>625</v>
      </c>
      <c r="K126" s="22"/>
      <c r="L126" s="22"/>
      <c r="M126" s="22"/>
      <c r="N126" s="22"/>
      <c r="P126" s="44" t="s">
        <v>365</v>
      </c>
      <c r="AB126" s="55" t="str">
        <f>IF(LEN(R126&amp;S126&amp;T126&amp;U126&amp;V126)&gt;0,"epics","")</f>
        <v/>
      </c>
      <c r="AC126" s="52" t="str">
        <f>IF(NOT(ISBLANK(V126)),"base",IF(AB126="epics",IF(AND(ISBLANK(P126),ISBLANK(Q126)),"nmp","map"),""))</f>
        <v/>
      </c>
      <c r="AD126" s="27" t="str">
        <f>UPPER(AD$1&amp;":"&amp;D126)</f>
        <v>:</v>
      </c>
      <c r="AE126" s="25" t="str">
        <f>UPPER(AE$1&amp;":"&amp;E126)</f>
        <v>:XD1</v>
      </c>
      <c r="AF126" s="27" t="str">
        <f>SUBSTITUTE(D126,"_","")</f>
        <v/>
      </c>
      <c r="AG126" s="25" t="str">
        <f>SUBSTITUTE(E126,"_","")&amp;IF(AND(RIGHT(P126)&lt;&gt;"s",RIGHT(Q126)&lt;&gt;"s"),"","")</f>
        <v>Xd1</v>
      </c>
      <c r="AH126" s="25" t="str">
        <f>IF(ISNUMBER(Y126),Y126,"$(P)"&amp;$AE$1&amp;":"&amp;Y126)</f>
        <v>$(P):</v>
      </c>
      <c r="AI126" s="25" t="str">
        <f>IF(ISNUMBER(Z126),Z126,"$(P)"&amp;$AE$1&amp;":"&amp;Z126)</f>
        <v>$(P):</v>
      </c>
      <c r="AJ126" s="25"/>
      <c r="AK126" s="12" t="str">
        <f>IF(AC126="map",IF(G126="float",y_varMapAnalog,IF(G126="int",y_varMapLongint,IF(G126="bool",y_varMapBool,IF(G126="string",y_varMapString,IF(G126="option",y_varMapOption,"#unknown Type"))))),IF(AC126="nmp",y_nonMappedAnalog,""))</f>
        <v/>
      </c>
      <c r="AL126" s="12" t="e">
        <f>VLOOKUP(G126,y_mapProtocolLUT,3)</f>
        <v>#N/A</v>
      </c>
      <c r="AM126" s="12" t="e">
        <f>VLOOKUP(G126,y_mapProtocolLUT,2)</f>
        <v>#N/A</v>
      </c>
      <c r="AN126" s="25" t="e">
        <f>IF(LEN(AG126)&gt;0,SUBSTITUTE(SUBSTITUTE(SUBSTITUTE(AK126,"$(DTYP)",y_DTYPE),"$(SETPROTO)",AM126),"$(GETPROTO)",AL126),"")</f>
        <v>#N/A</v>
      </c>
      <c r="AO126" s="25" t="str">
        <f>IFERROR(SUBSTITUTE(SUBSTITUTE(SUBSTITUTE(SUBSTITUTE(SUBSTITUTE(SUBSTITUTE(SUBSTITUTE(SUBSTITUTE(SUBSTITUTE(AN126,"$(Q)",AE126),"$(EGU)",K126),"$(PREC)",N126),"$(VAR)",TRIM(CLEAN(y_dedicatedCS&amp;F126))),"$(GetSB)",AH126),"$(SetSB)",AI126),"$(DESC)",LEFT(I126,40)),"$(ENUMS)",AJ126),"$(DEFAULT)",H126),"")</f>
        <v/>
      </c>
      <c r="AP126" s="25" t="str">
        <f>IF(ISNUMBER(W126),SUBSTITUTE(SUBSTITUTE(SUBSTITUTE(SUBSTITUTE(SUBSTITUTE(SUBSTITUTE(SUBSTITUTE(SUBSTITUTE(y_QLabel &amp; IF(RIGHT(R126)="s",y_QELineEdit,y_QELabel),"~PVNAME",$AE126&amp;IF($AC126="map","","")),"~EGU",$K126),"~PREC",$N126),"~VAR",$F126),"~CANGET",$AH126),"~CANSET",$AI126),"~ROW",W126),"~NAME",$E126),"")</f>
        <v/>
      </c>
      <c r="AQ126" s="25" t="str">
        <f>IF(ISNUMBER(X126),SUBSTITUTE(SUBSTITUTE(SUBSTITUTE(SUBSTITUTE(SUBSTITUTE(SUBSTITUTE(SUBSTITUTE(SUBSTITUTE(y_QLabel &amp; IF(RIGHT(S126)="s",y_QELineEdit,y_QELabel),"~PVNAME",$AE126&amp;IF($AC126="map",":RBV","")),"~EGU",$K126),"~PREC",$N126),"~VAR",$F126),"~CANGET",$AH126),"~CANSET",$AI126),"~ROW",X126),"~NAME",$E126),"")</f>
        <v/>
      </c>
      <c r="AR126" s="25" t="e">
        <f>VLOOKUP(G126,y_EPICS_Formats,2,FALSE)</f>
        <v>#N/A</v>
      </c>
      <c r="AS126" s="25" t="str">
        <f>IF(AB126="epics",y_Prefix&amp;AE126&amp;" = ","")</f>
        <v/>
      </c>
      <c r="AT126" s="25" t="str">
        <f>IF(LEN(P126&amp;Q126)&gt;0,IFERROR(";"&amp;I126&amp;"["&amp;K126&amp;"]"&amp;AB126&amp;"("&amp;AC126&amp;")"&amp;CHAR(10)&amp;C126 &amp;CHAR(9)&amp;AG126&amp;CHAR(9)&amp;F126 &amp;CHAR(9),";;Error!"),"")</f>
        <v xml:space="preserve">;Pmac internal variable[]()
#define	Xd1	P2051	</v>
      </c>
      <c r="AU126" s="25" t="str">
        <f>IF(IFERROR(AND(AA126&gt;0,LEN(AN126)&gt;0),FALSE),SUBSTITUTE(SUBSTITUTE(SUBSTITUTE(y_archiverXML,"~PVNAME",AE126),"~PREFIX",y_Prefix),"~PERIOD",MIN(30,AA126)),"")</f>
        <v/>
      </c>
      <c r="AV126" s="11" t="str">
        <f>IF($AB126="epics",AV$1-LEN(AE126),"")</f>
        <v/>
      </c>
      <c r="AW126" s="11" t="str">
        <f>IF($AB126="epics",AW$1-LEN(AH126),"")</f>
        <v/>
      </c>
      <c r="AX126" s="11" t="str">
        <f>IF($AB126="epics",AX$1-LEN(AI126),"")</f>
        <v/>
      </c>
      <c r="AY126" s="11" t="str">
        <f>IF($AB126="epics",AY$1-LEN(I126)-LEN(" readback"),"")</f>
        <v/>
      </c>
      <c r="AZ126" s="12">
        <f>IF(LEN(F126)&gt;0,IFERROR(VALUE(RIGHT(F126,LEN(F126)-1)),F126),"zzzzz")</f>
        <v>2051</v>
      </c>
      <c r="BA126" s="12">
        <f>IFERROR(VALUE(RIGHT(F126,LEN(F126)-1)),F126)</f>
        <v>2051</v>
      </c>
      <c r="BB126" s="22" t="str">
        <f>y_Prefix&amp;AE126</f>
        <v>SR05ID01FST01:XD1</v>
      </c>
    </row>
    <row r="127" spans="1:54" ht="15.75" customHeight="1" x14ac:dyDescent="0.25">
      <c r="A127" s="22">
        <v>119</v>
      </c>
      <c r="C127" s="72" t="str">
        <f>IF(AND(ISBLANK(P127),ISBLANK(Q127)),";","#define")</f>
        <v>;</v>
      </c>
      <c r="E127" s="2" t="s">
        <v>776</v>
      </c>
      <c r="F127" s="22" t="s">
        <v>621</v>
      </c>
      <c r="G127" s="22"/>
      <c r="H127" s="22"/>
      <c r="I127" s="58" t="s">
        <v>792</v>
      </c>
      <c r="J127" s="22" t="s">
        <v>693</v>
      </c>
      <c r="K127" s="22"/>
      <c r="L127" s="22"/>
      <c r="M127" s="22"/>
      <c r="N127" s="22"/>
      <c r="V127" s="45" t="s">
        <v>365</v>
      </c>
      <c r="X127" s="98">
        <v>12</v>
      </c>
      <c r="AB127" s="55" t="str">
        <f>IF(LEN(R127&amp;S127&amp;T127&amp;U127&amp;V127)&gt;0,"epics","")</f>
        <v>epics</v>
      </c>
      <c r="AC127" s="52" t="str">
        <f>IF(NOT(ISBLANK(V127)),"base",IF(AB127="epics",IF(AND(ISBLANK(P127),ISBLANK(Q127)),"nmp","map"),""))</f>
        <v>base</v>
      </c>
      <c r="AD127" s="27" t="str">
        <f>UPPER(AD$1&amp;":"&amp;D127)</f>
        <v>:</v>
      </c>
      <c r="AE127" s="25" t="str">
        <f>UPPER(AE$1&amp;":"&amp;E127)</f>
        <v>:EN_AUTOSYNC</v>
      </c>
      <c r="AF127" s="27" t="str">
        <f>SUBSTITUTE(D127,"_","")</f>
        <v/>
      </c>
      <c r="AG127" s="25" t="str">
        <f>SUBSTITUTE(E127,"_","")&amp;IF(AND(RIGHT(P127)&lt;&gt;"s",RIGHT(Q127)&lt;&gt;"s"),"","")</f>
        <v>enAutoSync</v>
      </c>
      <c r="AH127" s="25" t="str">
        <f>IF(ISNUMBER(Y127),Y127,"$(P)"&amp;$AE$1&amp;":"&amp;Y127)</f>
        <v>$(P):</v>
      </c>
      <c r="AI127" s="25" t="str">
        <f>IF(ISNUMBER(Z127),Z127,"$(P)"&amp;$AE$1&amp;":"&amp;Z127)</f>
        <v>$(P):</v>
      </c>
      <c r="AJ127" s="25"/>
      <c r="AK127" s="12" t="str">
        <f>IF(AC127="map",IF(G127="float",y_varMapAnalog,IF(G127="int",y_varMapLongint,IF(G127="bool",y_varMapBool,IF(G127="string",y_varMapString,IF(G127="option",y_varMapOption,"#unknown Type"))))),IF(AC127="nmp",y_nonMappedAnalog,""))</f>
        <v/>
      </c>
      <c r="AL127" s="12" t="e">
        <f>VLOOKUP(G127,y_mapProtocolLUT,3)</f>
        <v>#N/A</v>
      </c>
      <c r="AM127" s="12" t="e">
        <f>VLOOKUP(G127,y_mapProtocolLUT,2)</f>
        <v>#N/A</v>
      </c>
      <c r="AN127" s="25" t="e">
        <f>IF(LEN(AG127)&gt;0,SUBSTITUTE(SUBSTITUTE(SUBSTITUTE(AK127,"$(DTYP)",y_DTYPE),"$(SETPROTO)",AM127),"$(GETPROTO)",AL127),"")</f>
        <v>#N/A</v>
      </c>
      <c r="AO127" s="25" t="str">
        <f>IFERROR(SUBSTITUTE(SUBSTITUTE(SUBSTITUTE(SUBSTITUTE(SUBSTITUTE(SUBSTITUTE(SUBSTITUTE(SUBSTITUTE(SUBSTITUTE(AN127,"$(Q)",AE127),"$(EGU)",K127),"$(PREC)",N127),"$(VAR)",TRIM(CLEAN(y_dedicatedCS&amp;F127))),"$(GetSB)",AH127),"$(SetSB)",AI127),"$(DESC)",LEFT(I127,40)),"$(ENUMS)",AJ127),"$(DEFAULT)",H127),"")</f>
        <v/>
      </c>
      <c r="AP127" s="25" t="str">
        <f>IF(ISNUMBER(W127),SUBSTITUTE(SUBSTITUTE(SUBSTITUTE(SUBSTITUTE(SUBSTITUTE(SUBSTITUTE(SUBSTITUTE(SUBSTITUTE(y_QLabel &amp; IF(RIGHT(R127)="s",y_QELineEdit,y_QELabel),"~PVNAME",$AE127&amp;IF($AC127="map","","")),"~EGU",$K127),"~PREC",$N127),"~VAR",$F127),"~CANGET",$AH127),"~CANSET",$AI127),"~ROW",W127),"~NAME",$E127),"")</f>
        <v/>
      </c>
      <c r="AQ127" s="25" t="str">
        <f>IF(ISNUMBER(X127),SUBSTITUTE(SUBSTITUTE(SUBSTITUTE(SUBSTITUTE(SUBSTITUTE(SUBSTITUTE(SUBSTITUTE(SUBSTITUTE(y_QLabel &amp; IF(RIGHT(S127)="s",y_QELineEdit,y_QELabel),"~PVNAME",$AE127&amp;IF($AC127="map",":RBV","")),"~EGU",$K127),"~PREC",$N127),"~VAR",$F127),"~CANGET",$AH127),"~CANSET",$AI127),"~ROW",X127),"~NAME",$E127),"")</f>
        <v xml:space="preserve">&lt;item row="12" column="0"&gt;
         &lt;widget class="QLabel" name="L_en_AutoSync"&gt;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&lt;string&gt;en_AutoSync&lt;/string&gt;
          &lt;/property&gt;
          &lt;property name="margin"&gt;
           &lt;number&gt;3&lt;/number&gt;
          &lt;/property&gt;
         &lt;/widget&gt;
        &lt;/item&gt;
&lt;item row="12" column="1"&gt;
         &lt;widget class="QELabel" name="QL_en_AutoSync"&gt;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&lt;string&gt;$(P)$(R):EN_AUTOSYNC&lt;/string&gt;
          &lt;/property&gt;
         &lt;/widget&gt;
   &lt;/item&gt;
</v>
      </c>
      <c r="AR127" s="25" t="e">
        <f>VLOOKUP(G127,y_EPICS_Formats,2,FALSE)</f>
        <v>#N/A</v>
      </c>
      <c r="AS127" s="25" t="str">
        <f>IF(AB127="epics",y_Prefix&amp;AE127&amp;" = ","")</f>
        <v xml:space="preserve">SR05ID01FST01:EN_AUTOSYNC = </v>
      </c>
      <c r="AT127" s="25" t="str">
        <f>IF(LEN(P127&amp;Q127)&gt;0,IFERROR(";"&amp;I127&amp;"["&amp;K127&amp;"]"&amp;AB127&amp;"("&amp;AC127&amp;")"&amp;CHAR(10)&amp;C127 &amp;CHAR(9)&amp;AG127&amp;CHAR(9)&amp;F127 &amp;CHAR(9),";;Error!"),"")</f>
        <v/>
      </c>
      <c r="AU127" s="25" t="str">
        <f>IF(IFERROR(AND(AA127&gt;0,LEN(AN127)&gt;0),FALSE),SUBSTITUTE(SUBSTITUTE(SUBSTITUTE(y_archiverXML,"~PVNAME",AE127),"~PREFIX",y_Prefix),"~PERIOD",MIN(30,AA127)),"")</f>
        <v/>
      </c>
      <c r="AV127" s="11">
        <f>IF($AB127="epics",AV$1-LEN(AE127),"")</f>
        <v>7</v>
      </c>
      <c r="AW127" s="11">
        <f>IF($AB127="epics",AW$1-LEN(AH127),"")</f>
        <v>19</v>
      </c>
      <c r="AX127" s="11">
        <f>IF($AB127="epics",AX$1-LEN(AI127),"")</f>
        <v>19</v>
      </c>
      <c r="AY127" s="11">
        <f>IF($AB127="epics",AY$1-LEN(I127)-LEN(" readback"),"")</f>
        <v>7</v>
      </c>
      <c r="AZ127" s="12" t="str">
        <f>IF(LEN(F127)&gt;0,IFERROR(VALUE(RIGHT(F127,LEN(F127)-1)),F127),"zzzzz")</f>
        <v>x</v>
      </c>
      <c r="BA127" s="12" t="str">
        <f>IFERROR(VALUE(RIGHT(F127,LEN(F127)-1)),F127)</f>
        <v>x</v>
      </c>
      <c r="BB127" s="22" t="str">
        <f>y_Prefix&amp;AE127</f>
        <v>SR05ID01FST01:EN_AUTOSYNC</v>
      </c>
    </row>
    <row r="128" spans="1:54" ht="15.75" customHeight="1" x14ac:dyDescent="0.25">
      <c r="A128" s="22">
        <v>120</v>
      </c>
      <c r="C128" s="72" t="str">
        <f>IF(AND(ISBLANK(P128),ISBLANK(Q128)),";","#define")</f>
        <v>;</v>
      </c>
      <c r="E128" s="2" t="s">
        <v>819</v>
      </c>
      <c r="F128" s="2" t="s">
        <v>818</v>
      </c>
      <c r="I128" s="61" t="s">
        <v>820</v>
      </c>
      <c r="J128" s="2" t="s">
        <v>625</v>
      </c>
      <c r="AB128" s="55" t="str">
        <f>IF(LEN(R128&amp;S128&amp;T128&amp;U128&amp;V128)&gt;0,"epics","")</f>
        <v/>
      </c>
      <c r="AC128" s="52" t="str">
        <f>IF(NOT(ISBLANK(V128)),"base",IF(AB128="epics",IF(AND(ISBLANK(P128),ISBLANK(Q128)),"nmp","map"),""))</f>
        <v/>
      </c>
      <c r="AD128" s="27" t="str">
        <f>UPPER(AD$1&amp;":"&amp;D128)</f>
        <v>:</v>
      </c>
      <c r="AE128" s="25" t="str">
        <f>UPPER(AE$1&amp;":"&amp;E128)</f>
        <v>:PCOS</v>
      </c>
      <c r="AF128" s="27" t="str">
        <f>SUBSTITUTE(D128,"_","")</f>
        <v/>
      </c>
      <c r="AG128" s="25" t="str">
        <f>SUBSTITUTE(E128,"_","")&amp;IF(AND(RIGHT(P128)&lt;&gt;"s",RIGHT(Q128)&lt;&gt;"s"),"","")</f>
        <v>pCos</v>
      </c>
      <c r="AH128" s="25" t="str">
        <f>IF(ISNUMBER(Y128),Y128,"$(P)"&amp;$AE$1&amp;":"&amp;Y128)</f>
        <v>$(P):</v>
      </c>
      <c r="AI128" s="25" t="str">
        <f>IF(ISNUMBER(Z128),Z128,"$(P)"&amp;$AE$1&amp;":"&amp;Z128)</f>
        <v>$(P):</v>
      </c>
      <c r="AJ128" s="25"/>
      <c r="AK128" s="12" t="str">
        <f>IF(AC128="map",IF(G128="float",y_varMapAnalog,IF(G128="int",y_varMapLongint,IF(G128="bool",y_varMapBool,IF(G128="string",y_varMapString,IF(G128="option",y_varMapOption,"#unknown Type"))))),IF(AC128="nmp",y_nonMappedAnalog,""))</f>
        <v/>
      </c>
      <c r="AL128" s="12" t="e">
        <f>VLOOKUP(G128,y_mapProtocolLUT,3)</f>
        <v>#N/A</v>
      </c>
      <c r="AM128" s="12" t="e">
        <f>VLOOKUP(G128,y_mapProtocolLUT,2)</f>
        <v>#N/A</v>
      </c>
      <c r="AN128" s="25" t="e">
        <f>IF(LEN(AG128)&gt;0,SUBSTITUTE(SUBSTITUTE(SUBSTITUTE(AK128,"$(DTYP)",y_DTYPE),"$(SETPROTO)",AM128),"$(GETPROTO)",AL128),"")</f>
        <v>#N/A</v>
      </c>
      <c r="AO128" s="25" t="str">
        <f>IFERROR(SUBSTITUTE(SUBSTITUTE(SUBSTITUTE(SUBSTITUTE(SUBSTITUTE(SUBSTITUTE(SUBSTITUTE(SUBSTITUTE(SUBSTITUTE(AN128,"$(Q)",AE128),"$(EGU)",K128),"$(PREC)",N128),"$(VAR)",TRIM(CLEAN(y_dedicatedCS&amp;F128))),"$(GetSB)",AH128),"$(SetSB)",AI128),"$(DESC)",LEFT(I128,40)),"$(ENUMS)",AJ128),"$(DEFAULT)",H128),"")</f>
        <v/>
      </c>
      <c r="AP128" s="25" t="str">
        <f>IF(ISNUMBER(W128),SUBSTITUTE(SUBSTITUTE(SUBSTITUTE(SUBSTITUTE(SUBSTITUTE(SUBSTITUTE(SUBSTITUTE(SUBSTITUTE(y_QLabel &amp; IF(RIGHT(R128)="s",y_QELineEdit,y_QELabel),"~PVNAME",$AE128&amp;IF($AC128="map","","")),"~EGU",$K128),"~PREC",$N128),"~VAR",$F128),"~CANGET",$AH128),"~CANSET",$AI128),"~ROW",W128),"~NAME",$E128),"")</f>
        <v/>
      </c>
      <c r="AQ128" s="25" t="str">
        <f>IF(ISNUMBER(X128),SUBSTITUTE(SUBSTITUTE(SUBSTITUTE(SUBSTITUTE(SUBSTITUTE(SUBSTITUTE(SUBSTITUTE(SUBSTITUTE(y_QLabel &amp; IF(RIGHT(S128)="s",y_QELineEdit,y_QELabel),"~PVNAME",$AE128&amp;IF($AC128="map",":RBV","")),"~EGU",$K128),"~PREC",$N128),"~VAR",$F128),"~CANGET",$AH128),"~CANSET",$AI128),"~ROW",X128),"~NAME",$E128),"")</f>
        <v/>
      </c>
      <c r="AR128" s="25" t="e">
        <f>VLOOKUP(G128,y_EPICS_Formats,2,FALSE)</f>
        <v>#N/A</v>
      </c>
      <c r="AS128" s="25" t="str">
        <f>IF(AB128="epics",y_Prefix&amp;AE128&amp;" = ","")</f>
        <v/>
      </c>
      <c r="AT128" s="25" t="str">
        <f>IF(LEN(P128&amp;Q128)&gt;0,IFERROR(";"&amp;I128&amp;"["&amp;K128&amp;"]"&amp;AB128&amp;"("&amp;AC128&amp;")"&amp;CHAR(10)&amp;C128 &amp;CHAR(9)&amp;AG128&amp;CHAR(9)&amp;F128 &amp;CHAR(9),";;Error!"),"")</f>
        <v/>
      </c>
      <c r="AU128" s="25" t="str">
        <f>IF(IFERROR(AND(AA128&gt;0,LEN(AN128)&gt;0),FALSE),SUBSTITUTE(SUBSTITUTE(SUBSTITUTE(y_archiverXML,"~PVNAME",AE128),"~PREFIX",y_Prefix),"~PERIOD",MIN(30,AA128)),"")</f>
        <v/>
      </c>
      <c r="AV128" s="11" t="str">
        <f>IF($AB128="epics",AV$1-LEN(AE128),"")</f>
        <v/>
      </c>
      <c r="AW128" s="11" t="str">
        <f>IF($AB128="epics",AW$1-LEN(AH128),"")</f>
        <v/>
      </c>
      <c r="AX128" s="11" t="str">
        <f>IF($AB128="epics",AX$1-LEN(AI128),"")</f>
        <v/>
      </c>
      <c r="AY128" s="11" t="str">
        <f>IF($AB128="epics",AY$1-LEN(I128)-LEN(" readback"),"")</f>
        <v/>
      </c>
      <c r="AZ128" s="12">
        <f>IF(LEN(F128)&gt;0,IFERROR(VALUE(RIGHT(F128,LEN(F128)-1)),F128),"zzzzz")</f>
        <v>2071</v>
      </c>
      <c r="BA128" s="12">
        <f>IFERROR(VALUE(RIGHT(F128,LEN(F128)-1)),F128)</f>
        <v>2071</v>
      </c>
      <c r="BB128" s="22" t="str">
        <f>y_Prefix&amp;AE128</f>
        <v>SR05ID01FST01:PCOS</v>
      </c>
    </row>
    <row r="129" spans="1:54" ht="15.75" customHeight="1" x14ac:dyDescent="0.25">
      <c r="A129" s="22">
        <v>121</v>
      </c>
      <c r="C129" s="72" t="str">
        <f>IF(AND(ISBLANK(P129),ISBLANK(Q129)),";","#define")</f>
        <v>;</v>
      </c>
      <c r="E129" s="2" t="s">
        <v>821</v>
      </c>
      <c r="F129" s="2" t="s">
        <v>817</v>
      </c>
      <c r="I129" s="61" t="s">
        <v>820</v>
      </c>
      <c r="J129" s="22" t="s">
        <v>625</v>
      </c>
      <c r="AB129" s="55" t="str">
        <f>IF(LEN(R129&amp;S129&amp;T129&amp;U129&amp;V129)&gt;0,"epics","")</f>
        <v/>
      </c>
      <c r="AC129" s="52" t="str">
        <f>IF(NOT(ISBLANK(V129)),"base",IF(AB129="epics",IF(AND(ISBLANK(P129),ISBLANK(Q129)),"nmp","map"),""))</f>
        <v/>
      </c>
      <c r="AD129" s="27" t="str">
        <f>UPPER(AD$1&amp;":"&amp;D129)</f>
        <v>:</v>
      </c>
      <c r="AE129" s="25" t="str">
        <f>UPPER(AE$1&amp;":"&amp;E129)</f>
        <v>:PSIN</v>
      </c>
      <c r="AF129" s="27" t="str">
        <f>SUBSTITUTE(D129,"_","")</f>
        <v/>
      </c>
      <c r="AG129" s="25" t="str">
        <f>SUBSTITUTE(E129,"_","")&amp;IF(AND(RIGHT(P129)&lt;&gt;"s",RIGHT(Q129)&lt;&gt;"s"),"","")</f>
        <v>pSin</v>
      </c>
      <c r="AH129" s="25" t="str">
        <f>IF(ISNUMBER(Y129),Y129,"$(P)"&amp;$AE$1&amp;":"&amp;Y129)</f>
        <v>$(P):</v>
      </c>
      <c r="AI129" s="25" t="str">
        <f>IF(ISNUMBER(Z129),Z129,"$(P)"&amp;$AE$1&amp;":"&amp;Z129)</f>
        <v>$(P):</v>
      </c>
      <c r="AJ129" s="25"/>
      <c r="AK129" s="12" t="str">
        <f>IF(AC129="map",IF(G129="float",y_varMapAnalog,IF(G129="int",y_varMapLongint,IF(G129="bool",y_varMapBool,IF(G129="string",y_varMapString,IF(G129="option",y_varMapOption,"#unknown Type"))))),IF(AC129="nmp",y_nonMappedAnalog,""))</f>
        <v/>
      </c>
      <c r="AL129" s="12" t="e">
        <f>VLOOKUP(G129,y_mapProtocolLUT,3)</f>
        <v>#N/A</v>
      </c>
      <c r="AM129" s="12" t="e">
        <f>VLOOKUP(G129,y_mapProtocolLUT,2)</f>
        <v>#N/A</v>
      </c>
      <c r="AN129" s="25" t="e">
        <f>IF(LEN(AG129)&gt;0,SUBSTITUTE(SUBSTITUTE(SUBSTITUTE(AK129,"$(DTYP)",y_DTYPE),"$(SETPROTO)",AM129),"$(GETPROTO)",AL129),"")</f>
        <v>#N/A</v>
      </c>
      <c r="AO129" s="25" t="str">
        <f>IFERROR(SUBSTITUTE(SUBSTITUTE(SUBSTITUTE(SUBSTITUTE(SUBSTITUTE(SUBSTITUTE(SUBSTITUTE(SUBSTITUTE(SUBSTITUTE(AN129,"$(Q)",AE129),"$(EGU)",K129),"$(PREC)",N129),"$(VAR)",TRIM(CLEAN(y_dedicatedCS&amp;F129))),"$(GetSB)",AH129),"$(SetSB)",AI129),"$(DESC)",LEFT(I129,40)),"$(ENUMS)",AJ129),"$(DEFAULT)",H129),"")</f>
        <v/>
      </c>
      <c r="AP129" s="25" t="str">
        <f>IF(ISNUMBER(W129),SUBSTITUTE(SUBSTITUTE(SUBSTITUTE(SUBSTITUTE(SUBSTITUTE(SUBSTITUTE(SUBSTITUTE(SUBSTITUTE(y_QLabel &amp; IF(RIGHT(R129)="s",y_QELineEdit,y_QELabel),"~PVNAME",$AE129&amp;IF($AC129="map","","")),"~EGU",$K129),"~PREC",$N129),"~VAR",$F129),"~CANGET",$AH129),"~CANSET",$AI129),"~ROW",W129),"~NAME",$E129),"")</f>
        <v/>
      </c>
      <c r="AQ129" s="25" t="str">
        <f>IF(ISNUMBER(X129),SUBSTITUTE(SUBSTITUTE(SUBSTITUTE(SUBSTITUTE(SUBSTITUTE(SUBSTITUTE(SUBSTITUTE(SUBSTITUTE(y_QLabel &amp; IF(RIGHT(S129)="s",y_QELineEdit,y_QELabel),"~PVNAME",$AE129&amp;IF($AC129="map",":RBV","")),"~EGU",$K129),"~PREC",$N129),"~VAR",$F129),"~CANGET",$AH129),"~CANSET",$AI129),"~ROW",X129),"~NAME",$E129),"")</f>
        <v/>
      </c>
      <c r="AR129" s="25" t="e">
        <f>VLOOKUP(G129,y_EPICS_Formats,2,FALSE)</f>
        <v>#N/A</v>
      </c>
      <c r="AS129" s="25" t="str">
        <f>IF(AB129="epics",y_Prefix&amp;AE129&amp;" = ","")</f>
        <v/>
      </c>
      <c r="AT129" s="25" t="str">
        <f>IF(LEN(P129&amp;Q129)&gt;0,IFERROR(";"&amp;I129&amp;"["&amp;K129&amp;"]"&amp;AB129&amp;"("&amp;AC129&amp;")"&amp;CHAR(10)&amp;C129 &amp;CHAR(9)&amp;AG129&amp;CHAR(9)&amp;F129 &amp;CHAR(9),";;Error!"),"")</f>
        <v/>
      </c>
      <c r="AU129" s="25" t="str">
        <f>IF(IFERROR(AND(AA129&gt;0,LEN(AN129)&gt;0),FALSE),SUBSTITUTE(SUBSTITUTE(SUBSTITUTE(y_archiverXML,"~PVNAME",AE129),"~PREFIX",y_Prefix),"~PERIOD",MIN(30,AA129)),"")</f>
        <v/>
      </c>
      <c r="AV129" s="11" t="str">
        <f>IF($AB129="epics",AV$1-LEN(AE129),"")</f>
        <v/>
      </c>
      <c r="AW129" s="11" t="str">
        <f>IF($AB129="epics",AW$1-LEN(AH129),"")</f>
        <v/>
      </c>
      <c r="AX129" s="11" t="str">
        <f>IF($AB129="epics",AX$1-LEN(AI129),"")</f>
        <v/>
      </c>
      <c r="AY129" s="11" t="str">
        <f>IF($AB129="epics",AY$1-LEN(I129)-LEN(" readback"),"")</f>
        <v/>
      </c>
      <c r="AZ129" s="12">
        <f>IF(LEN(F129)&gt;0,IFERROR(VALUE(RIGHT(F129,LEN(F129)-1)),F129),"zzzzz")</f>
        <v>2070</v>
      </c>
      <c r="BA129" s="12">
        <f>IFERROR(VALUE(RIGHT(F129,LEN(F129)-1)),F129)</f>
        <v>2070</v>
      </c>
      <c r="BB129" s="22" t="str">
        <f>y_Prefix&amp;AE129</f>
        <v>SR05ID01FST01:PSIN</v>
      </c>
    </row>
    <row r="130" spans="1:54" ht="15.75" customHeight="1" x14ac:dyDescent="0.25">
      <c r="A130" s="22">
        <v>122</v>
      </c>
      <c r="C130" s="72" t="str">
        <f>IF(AND(ISBLANK(P130),ISBLANK(Q130)),";","#define")</f>
        <v>;</v>
      </c>
      <c r="AB130" s="55" t="str">
        <f>IF(LEN(R130&amp;S130&amp;T130&amp;U130&amp;V130)&gt;0,"epics","")</f>
        <v/>
      </c>
      <c r="AC130" s="52" t="str">
        <f>IF(NOT(ISBLANK(V130)),"base",IF(AB130="epics",IF(AND(ISBLANK(P130),ISBLANK(Q130)),"nmp","map"),""))</f>
        <v/>
      </c>
      <c r="AD130" s="27" t="str">
        <f>UPPER(AD$1&amp;":"&amp;D130)</f>
        <v>:</v>
      </c>
      <c r="AE130" s="25" t="str">
        <f>UPPER(AE$1&amp;":"&amp;E130)</f>
        <v>:</v>
      </c>
      <c r="AF130" s="27" t="str">
        <f>SUBSTITUTE(D130,"_","")</f>
        <v/>
      </c>
      <c r="AG130" s="25" t="str">
        <f>SUBSTITUTE(E130,"_","")&amp;IF(AND(RIGHT(P130)&lt;&gt;"s",RIGHT(Q130)&lt;&gt;"s"),"","")</f>
        <v/>
      </c>
      <c r="AH130" s="25" t="str">
        <f>IF(ISNUMBER(Y130),Y130,"$(P)"&amp;$AE$1&amp;":"&amp;Y130)</f>
        <v>$(P):</v>
      </c>
      <c r="AI130" s="25" t="str">
        <f>IF(ISNUMBER(Z130),Z130,"$(P)"&amp;$AE$1&amp;":"&amp;Z130)</f>
        <v>$(P):</v>
      </c>
      <c r="AJ130" s="25"/>
      <c r="AK130" s="12" t="str">
        <f>IF(AC130="map",IF(G130="float",y_varMapAnalog,IF(G130="int",y_varMapLongint,IF(G130="bool",y_varMapBool,IF(G130="string",y_varMapString,IF(G130="option",y_varMapOption,"#unknown Type"))))),IF(AC130="nmp",y_nonMappedAnalog,""))</f>
        <v/>
      </c>
      <c r="AL130" s="12" t="e">
        <f>VLOOKUP(G130,y_mapProtocolLUT,3)</f>
        <v>#N/A</v>
      </c>
      <c r="AM130" s="12" t="e">
        <f>VLOOKUP(G130,y_mapProtocolLUT,2)</f>
        <v>#N/A</v>
      </c>
      <c r="AN130" s="25" t="str">
        <f>IF(LEN(AG130)&gt;0,SUBSTITUTE(SUBSTITUTE(SUBSTITUTE(AK130,"$(DTYP)",y_DTYPE),"$(SETPROTO)",AM130),"$(GETPROTO)",AL130),"")</f>
        <v/>
      </c>
      <c r="AO130" s="25" t="str">
        <f>IFERROR(SUBSTITUTE(SUBSTITUTE(SUBSTITUTE(SUBSTITUTE(SUBSTITUTE(SUBSTITUTE(SUBSTITUTE(SUBSTITUTE(SUBSTITUTE(AN130,"$(Q)",AE130),"$(EGU)",K130),"$(PREC)",N130),"$(VAR)",TRIM(CLEAN(y_dedicatedCS&amp;F130))),"$(GetSB)",AH130),"$(SetSB)",AI130),"$(DESC)",LEFT(I130,40)),"$(ENUMS)",AJ130),"$(DEFAULT)",H130),"")</f>
        <v/>
      </c>
      <c r="AP130" s="25" t="str">
        <f>IF(ISNUMBER(W130),SUBSTITUTE(SUBSTITUTE(SUBSTITUTE(SUBSTITUTE(SUBSTITUTE(SUBSTITUTE(SUBSTITUTE(SUBSTITUTE(y_QLabel &amp; IF(RIGHT(R130)="s",y_QELineEdit,y_QELabel),"~PVNAME",$AE130&amp;IF($AC130="map","","")),"~EGU",$K130),"~PREC",$N130),"~VAR",$F130),"~CANGET",$AH130),"~CANSET",$AI130),"~ROW",W130),"~NAME",$E130),"")</f>
        <v/>
      </c>
      <c r="AQ130" s="25" t="str">
        <f>IF(ISNUMBER(X130),SUBSTITUTE(SUBSTITUTE(SUBSTITUTE(SUBSTITUTE(SUBSTITUTE(SUBSTITUTE(SUBSTITUTE(SUBSTITUTE(y_QLabel &amp; IF(RIGHT(S130)="s",y_QELineEdit,y_QELabel),"~PVNAME",$AE130&amp;IF($AC130="map",":RBV","")),"~EGU",$K130),"~PREC",$N130),"~VAR",$F130),"~CANGET",$AH130),"~CANSET",$AI130),"~ROW",X130),"~NAME",$E130),"")</f>
        <v/>
      </c>
      <c r="AR130" s="25" t="e">
        <f>VLOOKUP(G130,y_EPICS_Formats,2,FALSE)</f>
        <v>#N/A</v>
      </c>
      <c r="AS130" s="25" t="str">
        <f>IF(AB130="epics",y_Prefix&amp;AE130&amp;" = ","")</f>
        <v/>
      </c>
      <c r="AT130" s="25" t="str">
        <f>IF(LEN(P130&amp;Q130)&gt;0,IFERROR(";"&amp;I130&amp;"["&amp;K130&amp;"]"&amp;AB130&amp;"("&amp;AC130&amp;")"&amp;CHAR(10)&amp;C130 &amp;CHAR(9)&amp;AG130&amp;CHAR(9)&amp;F130 &amp;CHAR(9),";;Error!"),"")</f>
        <v/>
      </c>
      <c r="AU130" s="25" t="str">
        <f>IF(IFERROR(AND(AA130&gt;0,LEN(AN130)&gt;0),FALSE),SUBSTITUTE(SUBSTITUTE(SUBSTITUTE(y_archiverXML,"~PVNAME",AE130),"~PREFIX",y_Prefix),"~PERIOD",MIN(30,AA130)),"")</f>
        <v/>
      </c>
      <c r="AV130" s="11" t="str">
        <f>IF($AB130="epics",AV$1-LEN(AE130),"")</f>
        <v/>
      </c>
      <c r="AW130" s="11" t="str">
        <f>IF($AB130="epics",AW$1-LEN(AH130),"")</f>
        <v/>
      </c>
      <c r="AX130" s="11" t="str">
        <f>IF($AB130="epics",AX$1-LEN(AI130),"")</f>
        <v/>
      </c>
      <c r="AY130" s="11" t="str">
        <f>IF($AB130="epics",AY$1-LEN(I130)-LEN(" readback"),"")</f>
        <v/>
      </c>
      <c r="AZ130" s="12" t="str">
        <f>IF(LEN(F130)&gt;0,IFERROR(VALUE(RIGHT(F130,LEN(F130)-1)),F130),"zzzzz")</f>
        <v>zzzzz</v>
      </c>
      <c r="BA130" s="12">
        <f>IFERROR(VALUE(RIGHT(F130,LEN(F130)-1)),F130)</f>
        <v>0</v>
      </c>
      <c r="BB130" s="22" t="str">
        <f>y_Prefix&amp;AE130</f>
        <v>SR05ID01FST01:</v>
      </c>
    </row>
    <row r="131" spans="1:54" ht="15.75" customHeight="1" x14ac:dyDescent="0.25">
      <c r="A131" s="22">
        <v>123</v>
      </c>
      <c r="C131" s="72" t="str">
        <f>IF(AND(ISBLANK(P131),ISBLANK(Q131)),";","#define")</f>
        <v>;</v>
      </c>
      <c r="AB131" s="55" t="str">
        <f>IF(LEN(R131&amp;S131&amp;T131&amp;U131&amp;V131)&gt;0,"epics","")</f>
        <v/>
      </c>
      <c r="AC131" s="52" t="str">
        <f>IF(NOT(ISBLANK(V131)),"base",IF(AB131="epics",IF(AND(ISBLANK(P131),ISBLANK(Q131)),"nmp","map"),""))</f>
        <v/>
      </c>
      <c r="AD131" s="27" t="str">
        <f>UPPER(AD$1&amp;":"&amp;D131)</f>
        <v>:</v>
      </c>
      <c r="AE131" s="25" t="str">
        <f>UPPER(AE$1&amp;":"&amp;E131)</f>
        <v>:</v>
      </c>
      <c r="AF131" s="27" t="str">
        <f>SUBSTITUTE(D131,"_","")</f>
        <v/>
      </c>
      <c r="AG131" s="25" t="str">
        <f>SUBSTITUTE(E131,"_","")&amp;IF(AND(RIGHT(P131)&lt;&gt;"s",RIGHT(Q131)&lt;&gt;"s"),"","")</f>
        <v/>
      </c>
      <c r="AH131" s="25" t="str">
        <f>IF(ISNUMBER(Y131),Y131,"$(P)"&amp;$AE$1&amp;":"&amp;Y131)</f>
        <v>$(P):</v>
      </c>
      <c r="AI131" s="25" t="str">
        <f>IF(ISNUMBER(Z131),Z131,"$(P)"&amp;$AE$1&amp;":"&amp;Z131)</f>
        <v>$(P):</v>
      </c>
      <c r="AJ131" s="25"/>
      <c r="AK131" s="12" t="str">
        <f>IF(AC131="map",IF(G131="float",y_varMapAnalog,IF(G131="int",y_varMapLongint,IF(G131="bool",y_varMapBool,IF(G131="string",y_varMapString,IF(G131="option",y_varMapOption,"#unknown Type"))))),IF(AC131="nmp",y_nonMappedAnalog,""))</f>
        <v/>
      </c>
      <c r="AL131" s="12" t="e">
        <f>VLOOKUP(G131,y_mapProtocolLUT,3)</f>
        <v>#N/A</v>
      </c>
      <c r="AM131" s="12" t="e">
        <f>VLOOKUP(G131,y_mapProtocolLUT,2)</f>
        <v>#N/A</v>
      </c>
      <c r="AN131" s="25" t="str">
        <f>IF(LEN(AG131)&gt;0,SUBSTITUTE(SUBSTITUTE(SUBSTITUTE(AK131,"$(DTYP)",y_DTYPE),"$(SETPROTO)",AM131),"$(GETPROTO)",AL131),"")</f>
        <v/>
      </c>
      <c r="AO131" s="25" t="str">
        <f>IFERROR(SUBSTITUTE(SUBSTITUTE(SUBSTITUTE(SUBSTITUTE(SUBSTITUTE(SUBSTITUTE(SUBSTITUTE(SUBSTITUTE(SUBSTITUTE(AN131,"$(Q)",AE131),"$(EGU)",K131),"$(PREC)",N131),"$(VAR)",TRIM(CLEAN(y_dedicatedCS&amp;F131))),"$(GetSB)",AH131),"$(SetSB)",AI131),"$(DESC)",LEFT(I131,40)),"$(ENUMS)",AJ131),"$(DEFAULT)",H131),"")</f>
        <v/>
      </c>
      <c r="AP131" s="25" t="str">
        <f>IF(ISNUMBER(W131),SUBSTITUTE(SUBSTITUTE(SUBSTITUTE(SUBSTITUTE(SUBSTITUTE(SUBSTITUTE(SUBSTITUTE(SUBSTITUTE(y_QLabel &amp; IF(RIGHT(R131)="s",y_QELineEdit,y_QELabel),"~PVNAME",$AE131&amp;IF($AC131="map","","")),"~EGU",$K131),"~PREC",$N131),"~VAR",$F131),"~CANGET",$AH131),"~CANSET",$AI131),"~ROW",W131),"~NAME",$E131),"")</f>
        <v/>
      </c>
      <c r="AQ131" s="25" t="str">
        <f>IF(ISNUMBER(X131),SUBSTITUTE(SUBSTITUTE(SUBSTITUTE(SUBSTITUTE(SUBSTITUTE(SUBSTITUTE(SUBSTITUTE(SUBSTITUTE(y_QLabel &amp; IF(RIGHT(S131)="s",y_QELineEdit,y_QELabel),"~PVNAME",$AE131&amp;IF($AC131="map",":RBV","")),"~EGU",$K131),"~PREC",$N131),"~VAR",$F131),"~CANGET",$AH131),"~CANSET",$AI131),"~ROW",X131),"~NAME",$E131),"")</f>
        <v/>
      </c>
      <c r="AR131" s="25" t="e">
        <f>VLOOKUP(G131,y_EPICS_Formats,2,FALSE)</f>
        <v>#N/A</v>
      </c>
      <c r="AS131" s="25" t="str">
        <f>IF(AB131="epics",y_Prefix&amp;AE131&amp;" = ","")</f>
        <v/>
      </c>
      <c r="AT131" s="25" t="str">
        <f>IF(LEN(P131&amp;Q131)&gt;0,IFERROR(";"&amp;I131&amp;"["&amp;K131&amp;"]"&amp;AB131&amp;"("&amp;AC131&amp;")"&amp;CHAR(10)&amp;C131 &amp;CHAR(9)&amp;AG131&amp;CHAR(9)&amp;F131 &amp;CHAR(9),";;Error!"),"")</f>
        <v/>
      </c>
      <c r="AU131" s="25" t="str">
        <f>IF(IFERROR(AND(AA131&gt;0,LEN(AN131)&gt;0),FALSE),SUBSTITUTE(SUBSTITUTE(SUBSTITUTE(y_archiverXML,"~PVNAME",AE131),"~PREFIX",y_Prefix),"~PERIOD",MIN(30,AA131)),"")</f>
        <v/>
      </c>
      <c r="AV131" s="11" t="str">
        <f>IF($AB131="epics",AV$1-LEN(AE131),"")</f>
        <v/>
      </c>
      <c r="AW131" s="11" t="str">
        <f>IF($AB131="epics",AW$1-LEN(AH131),"")</f>
        <v/>
      </c>
      <c r="AX131" s="11" t="str">
        <f>IF($AB131="epics",AX$1-LEN(AI131),"")</f>
        <v/>
      </c>
      <c r="AY131" s="11" t="str">
        <f>IF($AB131="epics",AY$1-LEN(I131)-LEN(" readback"),"")</f>
        <v/>
      </c>
      <c r="AZ131" s="12" t="str">
        <f>IF(LEN(F131)&gt;0,IFERROR(VALUE(RIGHT(F131,LEN(F131)-1)),F131),"zzzzz")</f>
        <v>zzzzz</v>
      </c>
      <c r="BA131" s="12">
        <f>IFERROR(VALUE(RIGHT(F131,LEN(F131)-1)),F131)</f>
        <v>0</v>
      </c>
      <c r="BB131" s="22" t="str">
        <f>y_Prefix&amp;AE131</f>
        <v>SR05ID01FST01:</v>
      </c>
    </row>
    <row r="132" spans="1:54" ht="15.75" customHeight="1" x14ac:dyDescent="0.25">
      <c r="A132" s="22">
        <v>124</v>
      </c>
      <c r="C132" s="72" t="str">
        <f>IF(AND(ISBLANK(P132),ISBLANK(Q132)),";","#define")</f>
        <v>;</v>
      </c>
      <c r="AB132" s="55" t="str">
        <f>IF(LEN(R132&amp;S132&amp;T132&amp;U132&amp;V132)&gt;0,"epics","")</f>
        <v/>
      </c>
      <c r="AC132" s="52" t="str">
        <f>IF(NOT(ISBLANK(V132)),"base",IF(AB132="epics",IF(AND(ISBLANK(P132),ISBLANK(Q132)),"nmp","map"),""))</f>
        <v/>
      </c>
      <c r="AD132" s="27" t="str">
        <f>UPPER(AD$1&amp;":"&amp;D132)</f>
        <v>:</v>
      </c>
      <c r="AE132" s="25" t="str">
        <f>UPPER(AE$1&amp;":"&amp;E132)</f>
        <v>:</v>
      </c>
      <c r="AF132" s="27" t="str">
        <f>SUBSTITUTE(D132,"_","")</f>
        <v/>
      </c>
      <c r="AG132" s="25" t="str">
        <f>SUBSTITUTE(E132,"_","")&amp;IF(AND(RIGHT(P132)&lt;&gt;"s",RIGHT(Q132)&lt;&gt;"s"),"","")</f>
        <v/>
      </c>
      <c r="AH132" s="25" t="str">
        <f>IF(ISNUMBER(Y132),Y132,"$(P)"&amp;$AE$1&amp;":"&amp;Y132)</f>
        <v>$(P):</v>
      </c>
      <c r="AI132" s="25" t="str">
        <f>IF(ISNUMBER(Z132),Z132,"$(P)"&amp;$AE$1&amp;":"&amp;Z132)</f>
        <v>$(P):</v>
      </c>
      <c r="AJ132" s="25"/>
      <c r="AK132" s="12" t="str">
        <f>IF(AC132="map",IF(G132="float",y_varMapAnalog,IF(G132="int",y_varMapLongint,IF(G132="bool",y_varMapBool,IF(G132="string",y_varMapString,IF(G132="option",y_varMapOption,"#unknown Type"))))),IF(AC132="nmp",y_nonMappedAnalog,""))</f>
        <v/>
      </c>
      <c r="AL132" s="12" t="e">
        <f>VLOOKUP(G132,y_mapProtocolLUT,3)</f>
        <v>#N/A</v>
      </c>
      <c r="AM132" s="12" t="e">
        <f>VLOOKUP(G132,y_mapProtocolLUT,2)</f>
        <v>#N/A</v>
      </c>
      <c r="AN132" s="25" t="str">
        <f>IF(LEN(AG132)&gt;0,SUBSTITUTE(SUBSTITUTE(SUBSTITUTE(AK132,"$(DTYP)",y_DTYPE),"$(SETPROTO)",AM132),"$(GETPROTO)",AL132),"")</f>
        <v/>
      </c>
      <c r="AO132" s="25" t="str">
        <f>IFERROR(SUBSTITUTE(SUBSTITUTE(SUBSTITUTE(SUBSTITUTE(SUBSTITUTE(SUBSTITUTE(SUBSTITUTE(SUBSTITUTE(SUBSTITUTE(AN132,"$(Q)",AE132),"$(EGU)",K132),"$(PREC)",N132),"$(VAR)",TRIM(CLEAN(y_dedicatedCS&amp;F132))),"$(GetSB)",AH132),"$(SetSB)",AI132),"$(DESC)",LEFT(I132,40)),"$(ENUMS)",AJ132),"$(DEFAULT)",H132),"")</f>
        <v/>
      </c>
      <c r="AP132" s="25" t="str">
        <f>IF(ISNUMBER(W132),SUBSTITUTE(SUBSTITUTE(SUBSTITUTE(SUBSTITUTE(SUBSTITUTE(SUBSTITUTE(SUBSTITUTE(SUBSTITUTE(y_QLabel &amp; IF(RIGHT(R132)="s",y_QELineEdit,y_QELabel),"~PVNAME",$AE132&amp;IF($AC132="map","","")),"~EGU",$K132),"~PREC",$N132),"~VAR",$F132),"~CANGET",$AH132),"~CANSET",$AI132),"~ROW",W132),"~NAME",$E132),"")</f>
        <v/>
      </c>
      <c r="AQ132" s="25" t="str">
        <f>IF(ISNUMBER(X132),SUBSTITUTE(SUBSTITUTE(SUBSTITUTE(SUBSTITUTE(SUBSTITUTE(SUBSTITUTE(SUBSTITUTE(SUBSTITUTE(y_QLabel &amp; IF(RIGHT(S132)="s",y_QELineEdit,y_QELabel),"~PVNAME",$AE132&amp;IF($AC132="map",":RBV","")),"~EGU",$K132),"~PREC",$N132),"~VAR",$F132),"~CANGET",$AH132),"~CANSET",$AI132),"~ROW",X132),"~NAME",$E132),"")</f>
        <v/>
      </c>
      <c r="AR132" s="25" t="e">
        <f>VLOOKUP(G132,y_EPICS_Formats,2,FALSE)</f>
        <v>#N/A</v>
      </c>
      <c r="AS132" s="25" t="str">
        <f>IF(AB132="epics",y_Prefix&amp;AE132&amp;" = ","")</f>
        <v/>
      </c>
      <c r="AT132" s="25" t="str">
        <f>IF(LEN(P132&amp;Q132)&gt;0,IFERROR(";"&amp;I132&amp;"["&amp;K132&amp;"]"&amp;AB132&amp;"("&amp;AC132&amp;")"&amp;CHAR(10)&amp;C132 &amp;CHAR(9)&amp;AG132&amp;CHAR(9)&amp;F132 &amp;CHAR(9),";;Error!"),"")</f>
        <v/>
      </c>
      <c r="AU132" s="25" t="str">
        <f>IF(IFERROR(AND(AA132&gt;0,LEN(AN132)&gt;0),FALSE),SUBSTITUTE(SUBSTITUTE(SUBSTITUTE(y_archiverXML,"~PVNAME",AE132),"~PREFIX",y_Prefix),"~PERIOD",MIN(30,AA132)),"")</f>
        <v/>
      </c>
      <c r="AV132" s="11" t="str">
        <f>IF($AB132="epics",AV$1-LEN(AE132),"")</f>
        <v/>
      </c>
      <c r="AW132" s="11" t="str">
        <f>IF($AB132="epics",AW$1-LEN(AH132),"")</f>
        <v/>
      </c>
      <c r="AX132" s="11" t="str">
        <f>IF($AB132="epics",AX$1-LEN(AI132),"")</f>
        <v/>
      </c>
      <c r="AY132" s="11" t="str">
        <f>IF($AB132="epics",AY$1-LEN(I132)-LEN(" readback"),"")</f>
        <v/>
      </c>
      <c r="AZ132" s="12" t="str">
        <f>IF(LEN(F132)&gt;0,IFERROR(VALUE(RIGHT(F132,LEN(F132)-1)),F132),"zzzzz")</f>
        <v>zzzzz</v>
      </c>
      <c r="BA132" s="12">
        <f>IFERROR(VALUE(RIGHT(F132,LEN(F132)-1)),F132)</f>
        <v>0</v>
      </c>
      <c r="BB132" s="22" t="str">
        <f>y_Prefix&amp;AE132</f>
        <v>SR05ID01FST01:</v>
      </c>
    </row>
    <row r="133" spans="1:54" ht="15.75" customHeight="1" x14ac:dyDescent="0.25">
      <c r="A133" s="22">
        <v>125</v>
      </c>
      <c r="C133" s="72" t="str">
        <f>IF(AND(ISBLANK(P133),ISBLANK(Q133)),";","#define")</f>
        <v>;</v>
      </c>
      <c r="AB133" s="55" t="str">
        <f>IF(LEN(R133&amp;S133&amp;T133&amp;U133&amp;V133)&gt;0,"epics","")</f>
        <v/>
      </c>
      <c r="AC133" s="52" t="str">
        <f>IF(NOT(ISBLANK(V133)),"base",IF(AB133="epics",IF(AND(ISBLANK(P133),ISBLANK(Q133)),"nmp","map"),""))</f>
        <v/>
      </c>
      <c r="AD133" s="27" t="str">
        <f>UPPER(AD$1&amp;":"&amp;D133)</f>
        <v>:</v>
      </c>
      <c r="AE133" s="25" t="str">
        <f>UPPER(AE$1&amp;":"&amp;E133)</f>
        <v>:</v>
      </c>
      <c r="AF133" s="27" t="str">
        <f>SUBSTITUTE(D133,"_","")</f>
        <v/>
      </c>
      <c r="AG133" s="25" t="str">
        <f>SUBSTITUTE(E133,"_","")&amp;IF(AND(RIGHT(P133)&lt;&gt;"s",RIGHT(Q133)&lt;&gt;"s"),"","")</f>
        <v/>
      </c>
      <c r="AH133" s="25" t="str">
        <f>IF(ISNUMBER(Y133),Y133,"$(P)"&amp;$AE$1&amp;":"&amp;Y133)</f>
        <v>$(P):</v>
      </c>
      <c r="AI133" s="25" t="str">
        <f>IF(ISNUMBER(Z133),Z133,"$(P)"&amp;$AE$1&amp;":"&amp;Z133)</f>
        <v>$(P):</v>
      </c>
      <c r="AJ133" s="25"/>
      <c r="AK133" s="12" t="str">
        <f>IF(AC133="map",IF(G133="float",y_varMapAnalog,IF(G133="int",y_varMapLongint,IF(G133="bool",y_varMapBool,IF(G133="string",y_varMapString,IF(G133="option",y_varMapOption,"#unknown Type"))))),IF(AC133="nmp",y_nonMappedAnalog,""))</f>
        <v/>
      </c>
      <c r="AL133" s="12" t="e">
        <f>VLOOKUP(G133,y_mapProtocolLUT,3)</f>
        <v>#N/A</v>
      </c>
      <c r="AM133" s="12" t="e">
        <f>VLOOKUP(G133,y_mapProtocolLUT,2)</f>
        <v>#N/A</v>
      </c>
      <c r="AN133" s="25" t="str">
        <f>IF(LEN(AG133)&gt;0,SUBSTITUTE(SUBSTITUTE(SUBSTITUTE(AK133,"$(DTYP)",y_DTYPE),"$(SETPROTO)",AM133),"$(GETPROTO)",AL133),"")</f>
        <v/>
      </c>
      <c r="AO133" s="25" t="str">
        <f>IFERROR(SUBSTITUTE(SUBSTITUTE(SUBSTITUTE(SUBSTITUTE(SUBSTITUTE(SUBSTITUTE(SUBSTITUTE(SUBSTITUTE(SUBSTITUTE(AN133,"$(Q)",AE133),"$(EGU)",K133),"$(PREC)",N133),"$(VAR)",TRIM(CLEAN(y_dedicatedCS&amp;F133))),"$(GetSB)",AH133),"$(SetSB)",AI133),"$(DESC)",LEFT(I133,40)),"$(ENUMS)",AJ133),"$(DEFAULT)",H133),"")</f>
        <v/>
      </c>
      <c r="AP133" s="25" t="str">
        <f>IF(ISNUMBER(W133),SUBSTITUTE(SUBSTITUTE(SUBSTITUTE(SUBSTITUTE(SUBSTITUTE(SUBSTITUTE(SUBSTITUTE(SUBSTITUTE(y_QLabel &amp; IF(RIGHT(R133)="s",y_QELineEdit,y_QELabel),"~PVNAME",$AE133&amp;IF($AC133="map","","")),"~EGU",$K133),"~PREC",$N133),"~VAR",$F133),"~CANGET",$AH133),"~CANSET",$AI133),"~ROW",W133),"~NAME",$E133),"")</f>
        <v/>
      </c>
      <c r="AQ133" s="25" t="str">
        <f>IF(ISNUMBER(X133),SUBSTITUTE(SUBSTITUTE(SUBSTITUTE(SUBSTITUTE(SUBSTITUTE(SUBSTITUTE(SUBSTITUTE(SUBSTITUTE(y_QLabel &amp; IF(RIGHT(S133)="s",y_QELineEdit,y_QELabel),"~PVNAME",$AE133&amp;IF($AC133="map",":RBV","")),"~EGU",$K133),"~PREC",$N133),"~VAR",$F133),"~CANGET",$AH133),"~CANSET",$AI133),"~ROW",X133),"~NAME",$E133),"")</f>
        <v/>
      </c>
      <c r="AR133" s="25" t="e">
        <f>VLOOKUP(G133,y_EPICS_Formats,2,FALSE)</f>
        <v>#N/A</v>
      </c>
      <c r="AS133" s="25" t="str">
        <f>IF(AB133="epics",y_Prefix&amp;AE133&amp;" = ","")</f>
        <v/>
      </c>
      <c r="AT133" s="25" t="str">
        <f>IF(LEN(P133&amp;Q133)&gt;0,IFERROR(";"&amp;I133&amp;"["&amp;K133&amp;"]"&amp;AB133&amp;"("&amp;AC133&amp;")"&amp;CHAR(10)&amp;C133 &amp;CHAR(9)&amp;AG133&amp;CHAR(9)&amp;F133 &amp;CHAR(9),";;Error!"),"")</f>
        <v/>
      </c>
      <c r="AU133" s="25" t="str">
        <f>IF(IFERROR(AND(AA133&gt;0,LEN(AN133)&gt;0),FALSE),SUBSTITUTE(SUBSTITUTE(SUBSTITUTE(y_archiverXML,"~PVNAME",AE133),"~PREFIX",y_Prefix),"~PERIOD",MIN(30,AA133)),"")</f>
        <v/>
      </c>
      <c r="AV133" s="11" t="str">
        <f>IF($AB133="epics",AV$1-LEN(AE133),"")</f>
        <v/>
      </c>
      <c r="AW133" s="11" t="str">
        <f>IF($AB133="epics",AW$1-LEN(AH133),"")</f>
        <v/>
      </c>
      <c r="AX133" s="11" t="str">
        <f>IF($AB133="epics",AX$1-LEN(AI133),"")</f>
        <v/>
      </c>
      <c r="AY133" s="11" t="str">
        <f>IF($AB133="epics",AY$1-LEN(I133)-LEN(" readback"),"")</f>
        <v/>
      </c>
      <c r="AZ133" s="12" t="str">
        <f>IF(LEN(F133)&gt;0,IFERROR(VALUE(RIGHT(F133,LEN(F133)-1)),F133),"zzzzz")</f>
        <v>zzzzz</v>
      </c>
      <c r="BA133" s="12">
        <f>IFERROR(VALUE(RIGHT(F133,LEN(F133)-1)),F133)</f>
        <v>0</v>
      </c>
      <c r="BB133" s="22" t="str">
        <f>y_Prefix&amp;AE133</f>
        <v>SR05ID01FST01:</v>
      </c>
    </row>
    <row r="134" spans="1:54" ht="15.75" customHeight="1" x14ac:dyDescent="0.25">
      <c r="A134" s="22">
        <v>126</v>
      </c>
      <c r="C134" s="72" t="str">
        <f>IF(AND(ISBLANK(P134),ISBLANK(Q134)),";","#define")</f>
        <v>;</v>
      </c>
      <c r="D134" s="63"/>
      <c r="Y134" s="64"/>
      <c r="Z134" s="64"/>
      <c r="AA134" s="64"/>
      <c r="AB134" s="55" t="str">
        <f>IF(LEN(R134&amp;S134&amp;T134&amp;U134&amp;V134)&gt;0,"epics","")</f>
        <v/>
      </c>
      <c r="AC134" s="52" t="str">
        <f>IF(NOT(ISBLANK(V134)),"base",IF(AB134="epics",IF(AND(ISBLANK(P134),ISBLANK(Q134)),"nmp","map"),""))</f>
        <v/>
      </c>
      <c r="AD134" s="27" t="str">
        <f>UPPER(AD$1&amp;":"&amp;D134)</f>
        <v>:</v>
      </c>
      <c r="AE134" s="25" t="str">
        <f>UPPER(AE$1&amp;":"&amp;E134)</f>
        <v>:</v>
      </c>
      <c r="AF134" s="27" t="str">
        <f>SUBSTITUTE(D134,"_","")</f>
        <v/>
      </c>
      <c r="AG134" s="25" t="str">
        <f>SUBSTITUTE(E134,"_","")&amp;IF(AND(RIGHT(P134)&lt;&gt;"s",RIGHT(Q134)&lt;&gt;"s"),"","")</f>
        <v/>
      </c>
      <c r="AH134" s="25" t="str">
        <f>IF(ISNUMBER(Y134),Y134,"$(P)"&amp;$AE$1&amp;":"&amp;Y134)</f>
        <v>$(P):</v>
      </c>
      <c r="AI134" s="25" t="str">
        <f>IF(ISNUMBER(Z134),Z134,"$(P)"&amp;$AE$1&amp;":"&amp;Z134)</f>
        <v>$(P):</v>
      </c>
      <c r="AJ134" s="25"/>
      <c r="AK134" s="12" t="str">
        <f>IF(AC134="map",IF(G134="float",y_varMapAnalog,IF(G134="int",y_varMapLongint,IF(G134="bool",y_varMapBool,IF(G134="string",y_varMapString,IF(G134="option",y_varMapOption,"#unknown Type"))))),IF(AC134="nmp",y_nonMappedAnalog,""))</f>
        <v/>
      </c>
      <c r="AL134" s="12" t="e">
        <f>VLOOKUP(G134,y_mapProtocolLUT,3)</f>
        <v>#N/A</v>
      </c>
      <c r="AM134" s="12" t="e">
        <f>VLOOKUP(G134,y_mapProtocolLUT,2)</f>
        <v>#N/A</v>
      </c>
      <c r="AN134" s="25" t="str">
        <f>IF(LEN(AG134)&gt;0,SUBSTITUTE(SUBSTITUTE(SUBSTITUTE(AK134,"$(DTYP)",y_DTYPE),"$(SETPROTO)",AM134),"$(GETPROTO)",AL134),"")</f>
        <v/>
      </c>
      <c r="AO134" s="25" t="str">
        <f>IFERROR(SUBSTITUTE(SUBSTITUTE(SUBSTITUTE(SUBSTITUTE(SUBSTITUTE(SUBSTITUTE(SUBSTITUTE(SUBSTITUTE(SUBSTITUTE(AN134,"$(Q)",AE134),"$(EGU)",K134),"$(PREC)",N134),"$(VAR)",TRIM(CLEAN(y_dedicatedCS&amp;F134))),"$(GetSB)",AH134),"$(SetSB)",AI134),"$(DESC)",LEFT(I134,40)),"$(ENUMS)",AJ134),"$(DEFAULT)",H134),"")</f>
        <v/>
      </c>
      <c r="AP134" s="25" t="str">
        <f>IF(ISNUMBER(W134),SUBSTITUTE(SUBSTITUTE(SUBSTITUTE(SUBSTITUTE(SUBSTITUTE(SUBSTITUTE(SUBSTITUTE(SUBSTITUTE(y_QLabel &amp; IF(RIGHT(R134)="s",y_QELineEdit,y_QELabel),"~PVNAME",$AE134&amp;IF($AC134="map","","")),"~EGU",$K134),"~PREC",$N134),"~VAR",$F134),"~CANGET",$AH134),"~CANSET",$AI134),"~ROW",W134),"~NAME",$E134),"")</f>
        <v/>
      </c>
      <c r="AQ134" s="25" t="str">
        <f>IF(ISNUMBER(X134),SUBSTITUTE(SUBSTITUTE(SUBSTITUTE(SUBSTITUTE(SUBSTITUTE(SUBSTITUTE(SUBSTITUTE(SUBSTITUTE(y_QLabel &amp; IF(RIGHT(S134)="s",y_QELineEdit,y_QELabel),"~PVNAME",$AE134&amp;IF($AC134="map",":RBV","")),"~EGU",$K134),"~PREC",$N134),"~VAR",$F134),"~CANGET",$AH134),"~CANSET",$AI134),"~ROW",X134),"~NAME",$E134),"")</f>
        <v/>
      </c>
      <c r="AR134" s="25" t="e">
        <f>VLOOKUP(G134,y_EPICS_Formats,2,FALSE)</f>
        <v>#N/A</v>
      </c>
      <c r="AS134" s="25" t="str">
        <f>IF(AB134="epics",y_Prefix&amp;AE134&amp;" = ","")</f>
        <v/>
      </c>
      <c r="AT134" s="25" t="str">
        <f>IF(LEN(P134&amp;Q134)&gt;0,IFERROR(";"&amp;I134&amp;"["&amp;K134&amp;"]"&amp;AB134&amp;"("&amp;AC134&amp;")"&amp;CHAR(10)&amp;C134 &amp;CHAR(9)&amp;AG134&amp;CHAR(9)&amp;F134 &amp;CHAR(9),";;Error!"),"")</f>
        <v/>
      </c>
      <c r="AU134" s="25" t="str">
        <f>IF(IFERROR(AND(AA134&gt;0,LEN(AN134)&gt;0),FALSE),SUBSTITUTE(SUBSTITUTE(SUBSTITUTE(y_archiverXML,"~PVNAME",AE134),"~PREFIX",y_Prefix),"~PERIOD",MIN(30,AA134)),"")</f>
        <v/>
      </c>
      <c r="AV134" s="11" t="str">
        <f>IF($AB134="epics",AV$1-LEN(AE134),"")</f>
        <v/>
      </c>
      <c r="AW134" s="11" t="str">
        <f>IF($AB134="epics",AW$1-LEN(AH134),"")</f>
        <v/>
      </c>
      <c r="AX134" s="11" t="str">
        <f>IF($AB134="epics",AX$1-LEN(AI134),"")</f>
        <v/>
      </c>
      <c r="AY134" s="11" t="str">
        <f>IF($AB134="epics",AY$1-LEN(I134)-LEN(" readback"),"")</f>
        <v/>
      </c>
      <c r="AZ134" s="12" t="str">
        <f>IF(LEN(F134)&gt;0,IFERROR(VALUE(RIGHT(F134,LEN(F134)-1)),F134),"zzzzz")</f>
        <v>zzzzz</v>
      </c>
      <c r="BA134" s="12">
        <f>IFERROR(VALUE(RIGHT(F134,LEN(F134)-1)),F134)</f>
        <v>0</v>
      </c>
      <c r="BB134" s="22" t="str">
        <f>y_Prefix&amp;AE134</f>
        <v>SR05ID01FST01:</v>
      </c>
    </row>
    <row r="135" spans="1:54" s="78" customFormat="1" ht="15.75" customHeight="1" thickBot="1" x14ac:dyDescent="0.3">
      <c r="A135" s="22" t="s">
        <v>755</v>
      </c>
      <c r="B135" s="75"/>
      <c r="C135" s="76" t="s">
        <v>481</v>
      </c>
      <c r="D135" s="77"/>
      <c r="I135" s="79"/>
      <c r="O135" s="80"/>
      <c r="P135" s="81"/>
      <c r="Q135" s="82"/>
      <c r="R135" s="82"/>
      <c r="S135" s="82"/>
      <c r="T135" s="82"/>
      <c r="U135" s="82"/>
      <c r="V135" s="82"/>
      <c r="W135" s="98"/>
      <c r="X135" s="98"/>
      <c r="Y135" s="83"/>
      <c r="Z135" s="83"/>
      <c r="AA135" s="83"/>
      <c r="AB135" s="84"/>
      <c r="AC135" s="85"/>
      <c r="AD135" s="86"/>
      <c r="AE135" s="87"/>
      <c r="AF135" s="86"/>
      <c r="AG135" s="87"/>
      <c r="AH135" s="87"/>
      <c r="AI135" s="87"/>
      <c r="AJ135" s="87"/>
      <c r="AK135" s="88"/>
      <c r="AL135" s="88"/>
      <c r="AM135" s="88"/>
      <c r="AN135" s="87"/>
      <c r="AO135" s="87"/>
      <c r="AP135" s="89" t="s">
        <v>402</v>
      </c>
      <c r="AQ135" s="89" t="s">
        <v>402</v>
      </c>
      <c r="AR135" s="87" t="e">
        <f>VLOOKUP(G135,y_EPICS_Formats,2,FALSE)</f>
        <v>#N/A</v>
      </c>
      <c r="AS135" s="87" t="str">
        <f>IF(AB135="epics",y_Prefix&amp;AE135&amp;" = ","")</f>
        <v/>
      </c>
      <c r="AT135" s="87" t="str">
        <f>IF(LEN(P135&amp;Q135)&gt;0,IFERROR(";"&amp;I135&amp;"["&amp;K135&amp;"]"&amp;AB135&amp;"("&amp;AC135&amp;")"&amp;CHAR(10)&amp;C135 &amp;CHAR(9)&amp;AG135&amp;CHAR(9)&amp;F135 &amp;CHAR(9),";;Error!"),"")</f>
        <v/>
      </c>
      <c r="AU135" s="87"/>
      <c r="AV135" s="90"/>
      <c r="AW135" s="90"/>
      <c r="AX135" s="90"/>
      <c r="AY135" s="90"/>
      <c r="AZ135" s="88"/>
      <c r="BA135" s="88"/>
    </row>
    <row r="136" spans="1:54" ht="15.75" customHeight="1" thickTop="1" x14ac:dyDescent="0.25">
      <c r="D136" s="65"/>
      <c r="Y136" s="66"/>
      <c r="Z136" s="66"/>
      <c r="AA136" s="66"/>
    </row>
  </sheetData>
  <sheetProtection deleteColumns="0" deleteRows="0" sort="0" autoFilter="0"/>
  <autoFilter ref="A3:BB135">
    <sortState ref="A4:BB135">
      <sortCondition ref="A3:A135"/>
    </sortState>
  </autoFilter>
  <sortState ref="C7:Q16">
    <sortCondition ref="F7:F16"/>
  </sortState>
  <dataConsolidate function="varp" link="1"/>
  <customSheetViews>
    <customSheetView guid="{2E790F67-B1CF-4589-8EE3-FDE1E951836B}" scale="85" showAutoFilter="1">
      <pane xSplit="4" ySplit="3" topLeftCell="E49" activePane="bottomRight" state="frozen"/>
      <selection pane="bottomRight" activeCell="C72" sqref="C72"/>
      <pageMargins left="0.7" right="0.7" top="0.75" bottom="0.75" header="0.3" footer="0.3"/>
      <pageSetup paperSize="9" orientation="portrait" r:id="rId1"/>
      <autoFilter ref="A3:AD90">
        <sortState ref="A4:AD93">
          <sortCondition ref="E3:E93"/>
        </sortState>
      </autoFilter>
    </customSheetView>
  </customSheetViews>
  <conditionalFormatting sqref="BC1:ZZ92 AR135:BB135 AF5:AG5 AF4:BB4 AH5:BB92 BC123:ZZ1048576 Y93:ZZ122 Y123:BB134 Y6:AG92 Y4:AD5 Y135:AO135 Y1:BB3 Y136:BB1048576 A1:V1048576">
    <cfRule type="endsWith" dxfId="43" priority="75" stopIfTrue="1" operator="endsWith" text="_">
      <formula>RIGHT(A1,LEN("_"))="_"</formula>
    </cfRule>
    <cfRule type="endsWith" dxfId="42" priority="77" stopIfTrue="1" operator="endsWith" text="*">
      <formula>RIGHT(A1,LEN("*"))="*"</formula>
    </cfRule>
    <cfRule type="endsWith" dxfId="41" priority="78" stopIfTrue="1" operator="endsWith" text="!">
      <formula>RIGHT(A1,LEN("!"))="!"</formula>
    </cfRule>
    <cfRule type="endsWith" dxfId="40" priority="79" stopIfTrue="1" operator="endsWith" text="?">
      <formula>RIGHT(A1,LEN("?"))="?"</formula>
    </cfRule>
  </conditionalFormatting>
  <conditionalFormatting sqref="F1:F1048576">
    <cfRule type="duplicateValues" dxfId="39" priority="39"/>
  </conditionalFormatting>
  <conditionalFormatting sqref="E1:E1048576">
    <cfRule type="duplicateValues" dxfId="38" priority="38"/>
  </conditionalFormatting>
  <conditionalFormatting sqref="AP135:AQ135">
    <cfRule type="endsWith" dxfId="37" priority="23" stopIfTrue="1" operator="endsWith" text="_">
      <formula>RIGHT(AP135,LEN("_"))="_"</formula>
    </cfRule>
    <cfRule type="endsWith" dxfId="36" priority="25" stopIfTrue="1" operator="endsWith" text="*">
      <formula>RIGHT(AP135,LEN("*"))="*"</formula>
    </cfRule>
    <cfRule type="endsWith" dxfId="35" priority="26" stopIfTrue="1" operator="endsWith" text="!">
      <formula>RIGHT(AP135,LEN("!"))="!"</formula>
    </cfRule>
    <cfRule type="endsWith" dxfId="34" priority="27" stopIfTrue="1" operator="endsWith" text="?">
      <formula>RIGHT(AP135,LEN("?"))="?"</formula>
    </cfRule>
  </conditionalFormatting>
  <conditionalFormatting sqref="AE4:AE5">
    <cfRule type="endsWith" dxfId="33" priority="18" stopIfTrue="1" operator="endsWith" text="_">
      <formula>RIGHT(AE4,LEN("_"))="_"</formula>
    </cfRule>
    <cfRule type="endsWith" dxfId="32" priority="20" stopIfTrue="1" operator="endsWith" text="*">
      <formula>RIGHT(AE4,LEN("*"))="*"</formula>
    </cfRule>
    <cfRule type="endsWith" dxfId="31" priority="21" stopIfTrue="1" operator="endsWith" text="!">
      <formula>RIGHT(AE4,LEN("!"))="!"</formula>
    </cfRule>
    <cfRule type="endsWith" dxfId="30" priority="22" stopIfTrue="1" operator="endsWith" text="?">
      <formula>RIGHT(AE4,LEN("?"))="?"</formula>
    </cfRule>
  </conditionalFormatting>
  <conditionalFormatting sqref="X1:X2 X4:X1048576">
    <cfRule type="endsWith" dxfId="29" priority="13" stopIfTrue="1" operator="endsWith" text="_">
      <formula>RIGHT(X1,LEN("_"))="_"</formula>
    </cfRule>
    <cfRule type="endsWith" dxfId="28" priority="15" stopIfTrue="1" operator="endsWith" text="*">
      <formula>RIGHT(X1,LEN("*"))="*"</formula>
    </cfRule>
    <cfRule type="endsWith" dxfId="27" priority="16" stopIfTrue="1" operator="endsWith" text="!">
      <formula>RIGHT(X1,LEN("!"))="!"</formula>
    </cfRule>
    <cfRule type="endsWith" dxfId="26" priority="17" stopIfTrue="1" operator="endsWith" text="?">
      <formula>RIGHT(X1,LEN("?"))="?"</formula>
    </cfRule>
  </conditionalFormatting>
  <conditionalFormatting sqref="X1:X2 X4:X1048576">
    <cfRule type="duplicateValues" dxfId="25" priority="12"/>
  </conditionalFormatting>
  <conditionalFormatting sqref="W1:W2 W4:W1048576">
    <cfRule type="endsWith" dxfId="24" priority="7" stopIfTrue="1" operator="endsWith" text="_">
      <formula>RIGHT(W1,LEN("_"))="_"</formula>
    </cfRule>
    <cfRule type="endsWith" dxfId="23" priority="9" stopIfTrue="1" operator="endsWith" text="*">
      <formula>RIGHT(W1,LEN("*"))="*"</formula>
    </cfRule>
    <cfRule type="endsWith" dxfId="22" priority="10" stopIfTrue="1" operator="endsWith" text="!">
      <formula>RIGHT(W1,LEN("!"))="!"</formula>
    </cfRule>
    <cfRule type="endsWith" dxfId="21" priority="11" stopIfTrue="1" operator="endsWith" text="?">
      <formula>RIGHT(W1,LEN("?"))="?"</formula>
    </cfRule>
  </conditionalFormatting>
  <conditionalFormatting sqref="W1:W2 W4:W1048576">
    <cfRule type="duplicateValues" dxfId="20" priority="6"/>
  </conditionalFormatting>
  <conditionalFormatting sqref="W3:X3">
    <cfRule type="endsWith" dxfId="19" priority="1" stopIfTrue="1" operator="endsWith" text="_">
      <formula>RIGHT(W3,LEN("_"))="_"</formula>
    </cfRule>
    <cfRule type="endsWith" dxfId="18" priority="3" stopIfTrue="1" operator="endsWith" text="*">
      <formula>RIGHT(W3,LEN("*"))="*"</formula>
    </cfRule>
    <cfRule type="endsWith" dxfId="17" priority="4" stopIfTrue="1" operator="endsWith" text="!">
      <formula>RIGHT(W3,LEN("!"))="!"</formula>
    </cfRule>
    <cfRule type="endsWith" dxfId="16" priority="5" stopIfTrue="1" operator="endsWith" text="?">
      <formula>RIGHT(W3,LEN("?"))="?"</formula>
    </cfRule>
  </conditionalFormatting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81" r:id="rId5" name="L_ExportFindReplace">
          <controlPr defaultSize="0" autoFill="0" autoLine="0" r:id="rId6">
            <anchor moveWithCells="1">
              <from>
                <xdr:col>0</xdr:col>
                <xdr:colOff>0</xdr:colOff>
                <xdr:row>2</xdr:row>
                <xdr:rowOff>85725</xdr:rowOff>
              </from>
              <to>
                <xdr:col>0</xdr:col>
                <xdr:colOff>428625</xdr:colOff>
                <xdr:row>2</xdr:row>
                <xdr:rowOff>447675</xdr:rowOff>
              </to>
            </anchor>
          </controlPr>
        </control>
      </mc:Choice>
      <mc:Fallback>
        <control shapeId="3081" r:id="rId5" name="L_ExportFindReplace"/>
      </mc:Fallback>
    </mc:AlternateContent>
    <mc:AlternateContent xmlns:mc="http://schemas.openxmlformats.org/markup-compatibility/2006">
      <mc:Choice Requires="x14">
        <control shapeId="3077" r:id="rId7" name="L_ExportPMAC">
          <controlPr defaultSize="0" autoFill="0" autoLine="0" r:id="rId8">
            <anchor moveWithCells="1">
              <from>
                <xdr:col>24</xdr:col>
                <xdr:colOff>257175</xdr:colOff>
                <xdr:row>1</xdr:row>
                <xdr:rowOff>0</xdr:rowOff>
              </from>
              <to>
                <xdr:col>24</xdr:col>
                <xdr:colOff>685800</xdr:colOff>
                <xdr:row>2</xdr:row>
                <xdr:rowOff>419100</xdr:rowOff>
              </to>
            </anchor>
          </controlPr>
        </control>
      </mc:Choice>
      <mc:Fallback>
        <control shapeId="3077" r:id="rId7" name="L_ExportPMAC"/>
      </mc:Fallback>
    </mc:AlternateContent>
    <mc:AlternateContent xmlns:mc="http://schemas.openxmlformats.org/markup-compatibility/2006">
      <mc:Choice Requires="x14">
        <control shapeId="3079" r:id="rId9" name="L_ExportEPICS">
          <controlPr defaultSize="0" autoFill="0" autoLine="0" r:id="rId10">
            <anchor moveWithCells="1">
              <from>
                <xdr:col>17</xdr:col>
                <xdr:colOff>152400</xdr:colOff>
                <xdr:row>1</xdr:row>
                <xdr:rowOff>28575</xdr:rowOff>
              </from>
              <to>
                <xdr:col>18</xdr:col>
                <xdr:colOff>200025</xdr:colOff>
                <xdr:row>2</xdr:row>
                <xdr:rowOff>504825</xdr:rowOff>
              </to>
            </anchor>
          </controlPr>
        </control>
      </mc:Choice>
      <mc:Fallback>
        <control shapeId="3079" r:id="rId9" name="L_ExportEPICS"/>
      </mc:Fallback>
    </mc:AlternateContent>
    <mc:AlternateContent xmlns:mc="http://schemas.openxmlformats.org/markup-compatibility/2006">
      <mc:Choice Requires="x14">
        <control shapeId="3080" r:id="rId11" name="L_ExportArchiverXML">
          <controlPr defaultSize="0" autoFill="0" autoLine="0" r:id="rId12">
            <anchor moveWithCells="1">
              <from>
                <xdr:col>26</xdr:col>
                <xdr:colOff>114300</xdr:colOff>
                <xdr:row>0</xdr:row>
                <xdr:rowOff>190500</xdr:rowOff>
              </from>
              <to>
                <xdr:col>27</xdr:col>
                <xdr:colOff>304800</xdr:colOff>
                <xdr:row>2</xdr:row>
                <xdr:rowOff>295275</xdr:rowOff>
              </to>
            </anchor>
          </controlPr>
        </control>
      </mc:Choice>
      <mc:Fallback>
        <control shapeId="3080" r:id="rId11" name="L_ExportArchiverXML"/>
      </mc:Fallback>
    </mc:AlternateContent>
    <mc:AlternateContent xmlns:mc="http://schemas.openxmlformats.org/markup-compatibility/2006">
      <mc:Choice Requires="x14">
        <control shapeId="3082" r:id="rId13" name="CB_PVNAMES">
          <controlPr defaultSize="0" autoLine="0" r:id="rId14">
            <anchor moveWithCells="1">
              <from>
                <xdr:col>4</xdr:col>
                <xdr:colOff>1000125</xdr:colOff>
                <xdr:row>2</xdr:row>
                <xdr:rowOff>47625</xdr:rowOff>
              </from>
              <to>
                <xdr:col>6</xdr:col>
                <xdr:colOff>38100</xdr:colOff>
                <xdr:row>2</xdr:row>
                <xdr:rowOff>676275</xdr:rowOff>
              </to>
            </anchor>
          </controlPr>
        </control>
      </mc:Choice>
      <mc:Fallback>
        <control shapeId="3082" r:id="rId13" name="CB_PVNAMES"/>
      </mc:Fallback>
    </mc:AlternateContent>
    <mc:AlternateContent xmlns:mc="http://schemas.openxmlformats.org/markup-compatibility/2006">
      <mc:Choice Requires="x14">
        <control shapeId="3083" r:id="rId15" name="L_CtrlUI">
          <controlPr defaultSize="0" autoFill="0" autoLine="0" r:id="rId16">
            <anchor moveWithCells="1">
              <from>
                <xdr:col>21</xdr:col>
                <xdr:colOff>333375</xdr:colOff>
                <xdr:row>0</xdr:row>
                <xdr:rowOff>180975</xdr:rowOff>
              </from>
              <to>
                <xdr:col>22</xdr:col>
                <xdr:colOff>381000</xdr:colOff>
                <xdr:row>2</xdr:row>
                <xdr:rowOff>457200</xdr:rowOff>
              </to>
            </anchor>
          </controlPr>
        </control>
      </mc:Choice>
      <mc:Fallback>
        <control shapeId="3083" r:id="rId15" name="L_CtrlUI"/>
      </mc:Fallback>
    </mc:AlternateContent>
    <mc:AlternateContent xmlns:mc="http://schemas.openxmlformats.org/markup-compatibility/2006">
      <mc:Choice Requires="x14">
        <control shapeId="3084" r:id="rId17" name="L_MonUI">
          <controlPr defaultSize="0" autoFill="0" autoLine="0" r:id="rId18">
            <anchor moveWithCells="1">
              <from>
                <xdr:col>23</xdr:col>
                <xdr:colOff>19050</xdr:colOff>
                <xdr:row>0</xdr:row>
                <xdr:rowOff>171450</xdr:rowOff>
              </from>
              <to>
                <xdr:col>24</xdr:col>
                <xdr:colOff>66675</xdr:colOff>
                <xdr:row>2</xdr:row>
                <xdr:rowOff>447675</xdr:rowOff>
              </to>
            </anchor>
          </controlPr>
        </control>
      </mc:Choice>
      <mc:Fallback>
        <control shapeId="3084" r:id="rId17" name="L_MonU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76" stopIfTrue="1" operator="endsWith" id="{1AD75303-6667-484E-8385-0C2D78C9B394}">
            <xm:f>RIGHT(A1,LEN("\"))="\"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BC1:ZZ92 AR135:BB135 AF5:AG5 AF4:BB4 AH5:BB92 BC123:ZZ1048576 Y93:ZZ122 Y123:BB134 Y6:AG92 Y4:AD5 Y135:AO135 Y1:BB3 Y136:BB1048576 A1:V1048576</xm:sqref>
        </x14:conditionalFormatting>
        <x14:conditionalFormatting xmlns:xm="http://schemas.microsoft.com/office/excel/2006/main">
          <x14:cfRule type="endsWith" priority="24" stopIfTrue="1" operator="endsWith" id="{F471DE1D-04E8-4525-9833-08A5AA0BC8F2}">
            <xm:f>RIGHT(AP135,LEN("\"))="\"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AP135:AQ135</xm:sqref>
        </x14:conditionalFormatting>
        <x14:conditionalFormatting xmlns:xm="http://schemas.microsoft.com/office/excel/2006/main">
          <x14:cfRule type="endsWith" priority="19" stopIfTrue="1" operator="endsWith" id="{7DB2447A-10FE-46D2-B217-FFACD314C235}">
            <xm:f>RIGHT(AE4,LEN("\"))="\"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AE4:AE5</xm:sqref>
        </x14:conditionalFormatting>
        <x14:conditionalFormatting xmlns:xm="http://schemas.microsoft.com/office/excel/2006/main">
          <x14:cfRule type="endsWith" priority="14" stopIfTrue="1" operator="endsWith" id="{9090F6F1-1F50-4AD4-8F80-5E36CEBCD683}">
            <xm:f>RIGHT(X1,LEN("\"))="\"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X1:X2 X4:X1048576</xm:sqref>
        </x14:conditionalFormatting>
        <x14:conditionalFormatting xmlns:xm="http://schemas.microsoft.com/office/excel/2006/main">
          <x14:cfRule type="endsWith" priority="8" stopIfTrue="1" operator="endsWith" id="{FD240A8D-913A-4D72-8A61-F44F914B5A68}">
            <xm:f>RIGHT(W1,LEN("\"))="\"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W1:W2 W4:W1048576</xm:sqref>
        </x14:conditionalFormatting>
        <x14:conditionalFormatting xmlns:xm="http://schemas.microsoft.com/office/excel/2006/main">
          <x14:cfRule type="endsWith" priority="2" stopIfTrue="1" operator="endsWith" id="{8E6FB686-3E70-4C48-B5A4-FC6BA9994AB0}">
            <xm:f>RIGHT(W3,LEN("\"))="\"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W3:X3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5" tint="0.39997558519241921"/>
  </sheetPr>
  <dimension ref="A2:O14"/>
  <sheetViews>
    <sheetView topLeftCell="E1" zoomScale="115" zoomScaleNormal="115" workbookViewId="0">
      <selection activeCell="K10" sqref="K10"/>
    </sheetView>
  </sheetViews>
  <sheetFormatPr defaultRowHeight="15" x14ac:dyDescent="0.25"/>
  <cols>
    <col min="1" max="4" width="7.42578125" customWidth="1"/>
    <col min="10" max="10" width="86.42578125" customWidth="1"/>
    <col min="11" max="11" width="55.140625" customWidth="1"/>
    <col min="12" max="12" width="41.7109375" customWidth="1"/>
    <col min="13" max="13" width="23.42578125" customWidth="1"/>
    <col min="14" max="14" width="21" customWidth="1"/>
    <col min="15" max="15" width="28.42578125" customWidth="1"/>
  </cols>
  <sheetData>
    <row r="2" spans="1:15" x14ac:dyDescent="0.25">
      <c r="A2" t="s">
        <v>36</v>
      </c>
      <c r="B2" t="s">
        <v>37</v>
      </c>
      <c r="C2" t="s">
        <v>26</v>
      </c>
      <c r="D2" t="s">
        <v>38</v>
      </c>
      <c r="G2" t="s">
        <v>353</v>
      </c>
      <c r="H2" t="s">
        <v>355</v>
      </c>
      <c r="I2" t="s">
        <v>354</v>
      </c>
    </row>
    <row r="3" spans="1:15" x14ac:dyDescent="0.25">
      <c r="A3" t="s">
        <v>27</v>
      </c>
      <c r="B3" t="s">
        <v>39</v>
      </c>
      <c r="C3" t="s">
        <v>31</v>
      </c>
      <c r="D3">
        <f>2^47</f>
        <v>140737488355328</v>
      </c>
      <c r="G3" t="s">
        <v>77</v>
      </c>
      <c r="H3" t="s">
        <v>356</v>
      </c>
      <c r="I3" t="s">
        <v>357</v>
      </c>
      <c r="J3" s="3" t="s">
        <v>352</v>
      </c>
      <c r="K3" s="2" t="s">
        <v>367</v>
      </c>
    </row>
    <row r="4" spans="1:15" x14ac:dyDescent="0.25">
      <c r="A4" t="s">
        <v>32</v>
      </c>
      <c r="B4" t="s">
        <v>40</v>
      </c>
      <c r="C4" t="s">
        <v>35</v>
      </c>
      <c r="K4" t="s">
        <v>489</v>
      </c>
      <c r="L4" t="s">
        <v>493</v>
      </c>
      <c r="M4" t="s">
        <v>492</v>
      </c>
      <c r="N4" t="s">
        <v>495</v>
      </c>
      <c r="O4" t="s">
        <v>490</v>
      </c>
    </row>
    <row r="5" spans="1:15" x14ac:dyDescent="0.25">
      <c r="A5" t="s">
        <v>41</v>
      </c>
      <c r="B5" t="str">
        <f>""</f>
        <v/>
      </c>
      <c r="C5" t="s">
        <v>33</v>
      </c>
      <c r="K5" s="16" t="s">
        <v>368</v>
      </c>
      <c r="L5" s="16" t="s">
        <v>512</v>
      </c>
      <c r="M5" s="16" t="s">
        <v>368</v>
      </c>
      <c r="N5" s="16" t="s">
        <v>516</v>
      </c>
      <c r="O5" s="16" t="s">
        <v>368</v>
      </c>
    </row>
    <row r="6" spans="1:15" x14ac:dyDescent="0.25">
      <c r="A6" t="s">
        <v>34</v>
      </c>
      <c r="B6" t="s">
        <v>42</v>
      </c>
      <c r="K6" s="16" t="s">
        <v>369</v>
      </c>
      <c r="L6" s="16" t="s">
        <v>511</v>
      </c>
      <c r="M6" s="16" t="s">
        <v>369</v>
      </c>
      <c r="N6" s="16" t="s">
        <v>41</v>
      </c>
      <c r="O6" s="16" t="s">
        <v>369</v>
      </c>
    </row>
    <row r="7" spans="1:15" x14ac:dyDescent="0.25">
      <c r="A7" t="s">
        <v>43</v>
      </c>
      <c r="B7" t="s">
        <v>39</v>
      </c>
      <c r="K7" t="s">
        <v>756</v>
      </c>
    </row>
    <row r="8" spans="1:15" x14ac:dyDescent="0.25">
      <c r="A8" t="s">
        <v>86</v>
      </c>
      <c r="B8" t="s">
        <v>350</v>
      </c>
      <c r="C8" t="s">
        <v>351</v>
      </c>
    </row>
    <row r="9" spans="1:15" ht="226.5" customHeight="1" x14ac:dyDescent="0.25">
      <c r="J9" s="1" t="s">
        <v>45</v>
      </c>
      <c r="K9" s="1" t="s">
        <v>811</v>
      </c>
      <c r="L9" s="1" t="s">
        <v>812</v>
      </c>
      <c r="M9" s="1" t="s">
        <v>813</v>
      </c>
      <c r="N9" s="1" t="s">
        <v>814</v>
      </c>
      <c r="O9" s="1" t="s">
        <v>815</v>
      </c>
    </row>
    <row r="10" spans="1:15" ht="107.25" customHeight="1" x14ac:dyDescent="0.25">
      <c r="J10" s="1" t="s">
        <v>403</v>
      </c>
      <c r="K10" s="21" t="s">
        <v>760</v>
      </c>
    </row>
    <row r="11" spans="1:15" ht="409.5" x14ac:dyDescent="0.25">
      <c r="J11" s="1" t="s">
        <v>404</v>
      </c>
    </row>
    <row r="12" spans="1:15" ht="40.5" customHeight="1" x14ac:dyDescent="0.25">
      <c r="J12" s="1" t="s">
        <v>405</v>
      </c>
    </row>
    <row r="13" spans="1:15" ht="39" customHeight="1" x14ac:dyDescent="0.25">
      <c r="J13" s="1" t="s">
        <v>47</v>
      </c>
    </row>
    <row r="14" spans="1:15" x14ac:dyDescent="0.25">
      <c r="J14" s="1"/>
    </row>
  </sheetData>
  <autoFilter ref="A2:B7">
    <sortState ref="A3:B7">
      <sortCondition ref="A2:A7"/>
    </sortState>
  </autoFilter>
  <customSheetViews>
    <customSheetView guid="{2E790F67-B1CF-4589-8EE3-FDE1E951836B}" showAutoFilter="1" topLeftCell="A10">
      <selection activeCell="G13" sqref="G13"/>
      <pageMargins left="0.7" right="0.7" top="0.75" bottom="0.75" header="0.3" footer="0.3"/>
      <pageSetup paperSize="9" orientation="portrait" r:id="rId1"/>
      <autoFilter ref="A2:B7">
        <sortState ref="A3:B7">
          <sortCondition ref="A2:A7"/>
        </sortState>
      </autoFilter>
    </customSheetView>
  </customSheetViews>
  <conditionalFormatting sqref="K3">
    <cfRule type="endsWith" dxfId="9" priority="6" stopIfTrue="1" operator="endsWith" text="_">
      <formula>RIGHT(K3,LEN("_"))="_"</formula>
    </cfRule>
    <cfRule type="endsWith" dxfId="8" priority="8" stopIfTrue="1" operator="endsWith" text="*">
      <formula>RIGHT(K3,LEN("*"))="*"</formula>
    </cfRule>
    <cfRule type="endsWith" dxfId="7" priority="9" stopIfTrue="1" operator="endsWith" text="!">
      <formula>RIGHT(K3,LEN("!"))="!"</formula>
    </cfRule>
    <cfRule type="endsWith" dxfId="6" priority="10" stopIfTrue="1" operator="endsWith" text="?">
      <formula>RIGHT(K3,LEN("?"))="?"</formula>
    </cfRule>
  </conditionalFormatting>
  <conditionalFormatting sqref="J3">
    <cfRule type="endsWith" dxfId="5" priority="1" stopIfTrue="1" operator="endsWith" text="_">
      <formula>RIGHT(J3,LEN("_"))="_"</formula>
    </cfRule>
    <cfRule type="endsWith" dxfId="4" priority="3" stopIfTrue="1" operator="endsWith" text="*">
      <formula>RIGHT(J3,LEN("*"))="*"</formula>
    </cfRule>
    <cfRule type="endsWith" dxfId="3" priority="4" stopIfTrue="1" operator="endsWith" text="!">
      <formula>RIGHT(J3,LEN("!"))="!"</formula>
    </cfRule>
    <cfRule type="endsWith" dxfId="2" priority="5" stopIfTrue="1" operator="endsWith" text="?">
      <formula>RIGHT(J3,LEN("?"))="?"</formula>
    </cfRule>
  </conditionalFormatting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CB_LoadVarTemplate">
          <controlPr defaultSize="0" autoLine="0" r:id="rId6">
            <anchor moveWithCells="1">
              <from>
                <xdr:col>11</xdr:col>
                <xdr:colOff>0</xdr:colOff>
                <xdr:row>6</xdr:row>
                <xdr:rowOff>57150</xdr:rowOff>
              </from>
              <to>
                <xdr:col>11</xdr:col>
                <xdr:colOff>723900</xdr:colOff>
                <xdr:row>7</xdr:row>
                <xdr:rowOff>95250</xdr:rowOff>
              </to>
            </anchor>
          </controlPr>
        </control>
      </mc:Choice>
      <mc:Fallback>
        <control shapeId="2050" r:id="rId5" name="CB_LoadVarTemplat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7" stopIfTrue="1" operator="endsWith" id="{B38E4C93-EF10-49F8-937E-D8E231160362}">
            <xm:f>RIGHT(K3,LEN("\"))="\"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K3</xm:sqref>
        </x14:conditionalFormatting>
        <x14:conditionalFormatting xmlns:xm="http://schemas.microsoft.com/office/excel/2006/main">
          <x14:cfRule type="endsWith" priority="2" stopIfTrue="1" operator="endsWith" id="{A46D0CEB-A58A-4A65-B5E7-1A1216B9960D}">
            <xm:f>RIGHT(J3,LEN("\"))="\"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J3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E10"/>
  <sheetViews>
    <sheetView workbookViewId="0">
      <selection activeCell="D13" sqref="D13"/>
    </sheetView>
  </sheetViews>
  <sheetFormatPr defaultRowHeight="15" x14ac:dyDescent="0.25"/>
  <cols>
    <col min="3" max="3" width="38.140625" customWidth="1"/>
    <col min="4" max="4" width="24.140625" customWidth="1"/>
  </cols>
  <sheetData>
    <row r="3" spans="2:5" x14ac:dyDescent="0.25">
      <c r="B3" t="s">
        <v>517</v>
      </c>
    </row>
    <row r="4" spans="2:5" x14ac:dyDescent="0.25">
      <c r="C4" t="s">
        <v>6</v>
      </c>
      <c r="E4" t="s">
        <v>518</v>
      </c>
    </row>
    <row r="6" spans="2:5" x14ac:dyDescent="0.25">
      <c r="B6" s="20" t="s">
        <v>86</v>
      </c>
      <c r="C6" s="16" t="s">
        <v>512</v>
      </c>
      <c r="D6" s="16" t="s">
        <v>511</v>
      </c>
    </row>
    <row r="7" spans="2:5" x14ac:dyDescent="0.25">
      <c r="B7" s="20" t="s">
        <v>77</v>
      </c>
      <c r="C7" s="16" t="s">
        <v>368</v>
      </c>
      <c r="D7" s="16" t="s">
        <v>369</v>
      </c>
    </row>
    <row r="8" spans="2:5" x14ac:dyDescent="0.25">
      <c r="B8" s="20" t="s">
        <v>32</v>
      </c>
      <c r="C8" s="16" t="s">
        <v>512</v>
      </c>
      <c r="D8" s="16" t="s">
        <v>511</v>
      </c>
    </row>
    <row r="9" spans="2:5" x14ac:dyDescent="0.25">
      <c r="B9" s="20" t="s">
        <v>61</v>
      </c>
      <c r="C9" s="16" t="s">
        <v>512</v>
      </c>
      <c r="D9" s="16" t="s">
        <v>511</v>
      </c>
    </row>
    <row r="10" spans="2:5" x14ac:dyDescent="0.25">
      <c r="B10" s="20" t="s">
        <v>43</v>
      </c>
      <c r="C10" s="16" t="s">
        <v>516</v>
      </c>
      <c r="D10" s="16" t="s">
        <v>41</v>
      </c>
    </row>
  </sheetData>
  <sortState ref="B6:D10">
    <sortCondition ref="B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7:I29"/>
  <sheetViews>
    <sheetView workbookViewId="0">
      <selection activeCell="C30" sqref="C30:E30"/>
    </sheetView>
  </sheetViews>
  <sheetFormatPr defaultRowHeight="15" x14ac:dyDescent="0.25"/>
  <cols>
    <col min="4" max="4" width="25.7109375" customWidth="1"/>
    <col min="5" max="5" width="43.140625" customWidth="1"/>
    <col min="6" max="6" width="25.28515625" customWidth="1"/>
    <col min="7" max="7" width="28.28515625" customWidth="1"/>
    <col min="8" max="8" width="28.28515625" style="20" customWidth="1"/>
    <col min="9" max="9" width="16.5703125" customWidth="1"/>
  </cols>
  <sheetData>
    <row r="7" spans="4:9" x14ac:dyDescent="0.25">
      <c r="F7" t="s">
        <v>7</v>
      </c>
      <c r="I7" t="s">
        <v>1</v>
      </c>
    </row>
    <row r="8" spans="4:9" x14ac:dyDescent="0.25">
      <c r="D8" t="s">
        <v>5</v>
      </c>
      <c r="E8" t="s">
        <v>2</v>
      </c>
    </row>
    <row r="9" spans="4:9" x14ac:dyDescent="0.25">
      <c r="D9" t="s">
        <v>0</v>
      </c>
      <c r="E9" t="s">
        <v>3</v>
      </c>
      <c r="I9" t="s">
        <v>6</v>
      </c>
    </row>
    <row r="10" spans="4:9" x14ac:dyDescent="0.25">
      <c r="D10" t="s">
        <v>4</v>
      </c>
      <c r="I10" t="s">
        <v>6</v>
      </c>
    </row>
    <row r="17" spans="4:9" x14ac:dyDescent="0.25">
      <c r="D17">
        <f>0.00000003/0.3</f>
        <v>9.9999999999999995E-8</v>
      </c>
    </row>
    <row r="18" spans="4:9" x14ac:dyDescent="0.25">
      <c r="D18">
        <f>0.00000015/0.3</f>
        <v>4.9999999999999998E-7</v>
      </c>
    </row>
    <row r="25" spans="4:9" x14ac:dyDescent="0.25">
      <c r="F25" t="s">
        <v>374</v>
      </c>
      <c r="G25" t="s">
        <v>377</v>
      </c>
      <c r="H25" s="20" t="s">
        <v>378</v>
      </c>
      <c r="I25" t="s">
        <v>371</v>
      </c>
    </row>
    <row r="26" spans="4:9" x14ac:dyDescent="0.25">
      <c r="D26" t="s">
        <v>381</v>
      </c>
      <c r="E26" s="20" t="s">
        <v>375</v>
      </c>
      <c r="F26" s="20" t="s">
        <v>372</v>
      </c>
      <c r="G26" s="20" t="s">
        <v>372</v>
      </c>
      <c r="H26" s="20" t="s">
        <v>373</v>
      </c>
      <c r="I26" t="s">
        <v>373</v>
      </c>
    </row>
    <row r="27" spans="4:9" x14ac:dyDescent="0.25">
      <c r="D27" t="s">
        <v>382</v>
      </c>
      <c r="E27" t="s">
        <v>376</v>
      </c>
      <c r="F27" s="20" t="s">
        <v>380</v>
      </c>
      <c r="G27" s="20" t="s">
        <v>372</v>
      </c>
      <c r="H27" s="20" t="s">
        <v>373</v>
      </c>
      <c r="I27" s="20" t="s">
        <v>373</v>
      </c>
    </row>
    <row r="28" spans="4:9" x14ac:dyDescent="0.25">
      <c r="D28" t="s">
        <v>384</v>
      </c>
      <c r="E28" t="s">
        <v>370</v>
      </c>
      <c r="F28" t="s">
        <v>373</v>
      </c>
      <c r="G28" t="s">
        <v>373</v>
      </c>
      <c r="H28" s="20" t="s">
        <v>379</v>
      </c>
      <c r="I28" s="20" t="s">
        <v>373</v>
      </c>
    </row>
    <row r="29" spans="4:9" x14ac:dyDescent="0.25">
      <c r="D29" t="s">
        <v>387</v>
      </c>
      <c r="E29" t="s">
        <v>385</v>
      </c>
      <c r="F29" t="s">
        <v>379</v>
      </c>
      <c r="G29" t="s">
        <v>373</v>
      </c>
      <c r="H29" s="20" t="s">
        <v>373</v>
      </c>
      <c r="I29" t="s">
        <v>12</v>
      </c>
    </row>
  </sheetData>
  <customSheetViews>
    <customSheetView guid="{2E790F67-B1CF-4589-8EE3-FDE1E951836B}">
      <selection activeCell="D51" sqref="D5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2"/>
  <sheetViews>
    <sheetView workbookViewId="0">
      <selection activeCell="I22" sqref="I22"/>
    </sheetView>
  </sheetViews>
  <sheetFormatPr defaultRowHeight="15" x14ac:dyDescent="0.25"/>
  <cols>
    <col min="4" max="4" width="29.7109375" customWidth="1"/>
    <col min="5" max="5" width="34.42578125" customWidth="1"/>
    <col min="8" max="8" width="69.42578125" bestFit="1" customWidth="1"/>
    <col min="9" max="9" width="24" customWidth="1"/>
  </cols>
  <sheetData>
    <row r="1" spans="1:9" x14ac:dyDescent="0.25">
      <c r="A1" t="s">
        <v>15</v>
      </c>
      <c r="B1">
        <v>30</v>
      </c>
      <c r="C1" t="s">
        <v>16</v>
      </c>
    </row>
    <row r="2" spans="1:9" x14ac:dyDescent="0.25">
      <c r="A2" t="s">
        <v>17</v>
      </c>
      <c r="B2">
        <v>360</v>
      </c>
      <c r="C2" t="s">
        <v>18</v>
      </c>
    </row>
    <row r="6" spans="1:9" ht="14.25" customHeight="1" x14ac:dyDescent="0.25"/>
    <row r="7" spans="1:9" x14ac:dyDescent="0.25">
      <c r="D7" t="s">
        <v>14</v>
      </c>
      <c r="E7" t="s">
        <v>12</v>
      </c>
      <c r="F7" t="s">
        <v>13</v>
      </c>
      <c r="H7" t="s">
        <v>19</v>
      </c>
      <c r="I7" t="s">
        <v>20</v>
      </c>
    </row>
    <row r="8" spans="1:9" x14ac:dyDescent="0.25">
      <c r="D8" t="s">
        <v>8</v>
      </c>
      <c r="E8" t="e">
        <f>COS(k_Yth/180*PI())</f>
        <v>#NAME?</v>
      </c>
      <c r="H8" t="str">
        <f xml:space="preserve"> $D8&amp;"_Pinv_egu = "&amp;IF(ISNUMBER(E8),$D8&amp;"_"&amp;E$7&amp;"0_egu+"&amp;E$7&amp;"_Pcmd_egu*"&amp;E8,"") &amp; IF(ISNUMBER(F8)," + "&amp;$D8&amp;"_"&amp;F$7&amp;"0_egu+"&amp;F$7&amp;"_Pcmd_egu*"&amp;F8,"")</f>
        <v xml:space="preserve">m1_Pinv_egu = </v>
      </c>
      <c r="I8" t="str">
        <f>E$7&amp;"_rbv_egu = "&amp;IF(ISNUMBER(E8),"("&amp;D8&amp;"_Prbv_egu-"&amp;D8&amp;"_"&amp;E$7&amp;"0_egu)/"&amp;E8,"")&amp;IF(ISNUMBER(F8)," + ("&amp;D8&amp;"_Prbv_egu-"&amp;D8&amp;"_"&amp;F$7&amp;"0_egu)/"&amp;F8,"")</f>
        <v xml:space="preserve">X_rbv_egu = </v>
      </c>
    </row>
    <row r="9" spans="1:9" x14ac:dyDescent="0.25">
      <c r="D9" t="s">
        <v>9</v>
      </c>
      <c r="F9">
        <v>10000</v>
      </c>
      <c r="H9" t="str">
        <f xml:space="preserve"> $D9&amp;"_Pinv_egu = "&amp;IF(ISNUMBER(E9),$D9&amp;"_"&amp;E$7&amp;"0_egu+"&amp;E$7&amp;"_Pcmd_egu*"&amp;E9,"") &amp; IF(ISNUMBER(F9)," + "&amp;$D9&amp;"_"&amp;F$7&amp;"0_egu+"&amp;F$7&amp;"_Pcmd_egu*"&amp;F9,"")</f>
        <v>m2_Pinv_egu =  + m2_Y0_egu+Y_Pcmd_egu*10000</v>
      </c>
      <c r="I9" t="str">
        <f>E$7&amp;"_rbv_egu = "&amp;IF(ISNUMBER(E9),"("&amp;D9&amp;"_Prbv_egu-"&amp;D9&amp;"_"&amp;E$7&amp;"0_egu)/"&amp;E9,"")&amp;IF(ISNUMBER(F9)," + ("&amp;D9&amp;"_Prbv_egu-"&amp;D9&amp;"_"&amp;F$7&amp;"0_egu)/"&amp;F9,"")</f>
        <v>X_rbv_egu =  + (m2_Prbv_egu-m2_Y0_egu)/10000</v>
      </c>
    </row>
    <row r="10" spans="1:9" x14ac:dyDescent="0.25">
      <c r="D10" t="s">
        <v>10</v>
      </c>
      <c r="E10" t="e">
        <f>-SIN(k_Yth/180*PI())</f>
        <v>#NAME?</v>
      </c>
      <c r="F10">
        <v>3</v>
      </c>
      <c r="H10" t="str">
        <f xml:space="preserve"> $D10&amp;"_Pinv_egu = "&amp;IF(ISNUMBER(E10),$D10&amp;"_"&amp;E$7&amp;"0_egu+"&amp;E$7&amp;"_Pcmd_egu*"&amp;E10,"") &amp; IF(ISNUMBER(F10)," + "&amp;$D10&amp;"_"&amp;F$7&amp;"0_egu+"&amp;F$7&amp;"_Pcmd_egu*"&amp;F10,"")</f>
        <v>m3_Pinv_egu =  + m3_Y0_egu+Y_Pcmd_egu*3</v>
      </c>
      <c r="I10" t="str">
        <f>E$7&amp;"_rbv_egu = "&amp;IF(ISNUMBER(E10),"("&amp;D10&amp;"_Prbv_egu-"&amp;D10&amp;"_"&amp;E$7&amp;"0_egu)/"&amp;E10,"")&amp;IF(ISNUMBER(F10)," + ("&amp;D10&amp;"_Prbv_egu-"&amp;D10&amp;"_"&amp;F$7&amp;"0_egu)/"&amp;F10,"")</f>
        <v>X_rbv_egu =  + (m3_Prbv_egu-m3_Y0_egu)/3</v>
      </c>
    </row>
    <row r="11" spans="1:9" x14ac:dyDescent="0.25">
      <c r="D11" t="s">
        <v>11</v>
      </c>
      <c r="F11">
        <v>20</v>
      </c>
      <c r="H11" t="str">
        <f xml:space="preserve"> $D11&amp;"_Pinv_egu = "&amp;IF(ISNUMBER(E11),$D11&amp;"_"&amp;E$7&amp;"0_egu+"&amp;E$7&amp;"_Pcmd_egu*"&amp;E11,"") &amp; IF(ISNUMBER(F11)," + "&amp;$D11&amp;"_"&amp;F$7&amp;"0_egu+"&amp;F$7&amp;"_Pcmd_egu*"&amp;F11,"")</f>
        <v>m4_Pinv_egu =  + m4_Y0_egu+Y_Pcmd_egu*20</v>
      </c>
      <c r="I11" t="str">
        <f>E$7&amp;"_rbv_egu = "&amp;IF(ISNUMBER(E11),"("&amp;D11&amp;"_Prbv_egu-"&amp;D11&amp;"_"&amp;E$7&amp;"0_egu)/"&amp;E11,"")&amp;IF(ISNUMBER(F11)," + ("&amp;D11&amp;"_Prbv_egu-"&amp;D11&amp;"_"&amp;F$7&amp;"0_egu)/"&amp;F11,"")</f>
        <v>X_rbv_egu =  + (m4_Prbv_egu-m4_Y0_egu)/20</v>
      </c>
    </row>
    <row r="18" spans="4:9" x14ac:dyDescent="0.25">
      <c r="D18" t="s">
        <v>14</v>
      </c>
      <c r="E18" t="s">
        <v>12</v>
      </c>
      <c r="F18" t="s">
        <v>13</v>
      </c>
      <c r="H18" t="s">
        <v>19</v>
      </c>
      <c r="I18" t="s">
        <v>20</v>
      </c>
    </row>
    <row r="19" spans="4:9" x14ac:dyDescent="0.25">
      <c r="D19" t="s">
        <v>8</v>
      </c>
      <c r="E19" t="s">
        <v>23</v>
      </c>
      <c r="H19" t="str">
        <f xml:space="preserve"> $D19&amp;"_Pinv_egu = "&amp;$D19&amp;"_X0_egu+"&amp;SUBSTITUTE(SUBSTITUTE(E19,"YY","Y_Pcmd_egu"),"XX","X_Pcmd_egu")</f>
        <v>m1_Pinv_egu = m1_X0_egu+X_Pcmd_egu*cos(Yth)+Y_Pcmd_egu</v>
      </c>
      <c r="I19" t="str">
        <f>E$7&amp;"_rbv_egu = "&amp;IF(ISNUMBER(E19),"("&amp;D19&amp;"_Prbv_egu-"&amp;D19&amp;"_"&amp;E$7&amp;"0_egu)/"&amp;E19,"")&amp;IF(ISNUMBER(F19)," + ("&amp;D19&amp;"_Prbv_egu-"&amp;D19&amp;"_"&amp;F$7&amp;"0_egu)/"&amp;F19,"")</f>
        <v xml:space="preserve">X_rbv_egu = </v>
      </c>
    </row>
    <row r="20" spans="4:9" x14ac:dyDescent="0.25">
      <c r="D20" t="s">
        <v>9</v>
      </c>
      <c r="E20" t="s">
        <v>21</v>
      </c>
      <c r="F20">
        <v>10000</v>
      </c>
      <c r="H20" t="str">
        <f xml:space="preserve"> $D20&amp;"_Pinv_egu = "&amp;$D20&amp;"_X0_egu+"&amp;SUBSTITUTE(SUBSTITUTE(E20,"YY","Y_Pcmd_egu"),"XX","X_Pcmd_egu")</f>
        <v>m2_Pinv_egu = m2_X0_egu+10000*Y_Pcmd_egu</v>
      </c>
      <c r="I20" t="str">
        <f>E$7&amp;"_rbv_egu = "&amp;IF(ISNUMBER(E20),"("&amp;D20&amp;"_Prbv_egu-"&amp;D20&amp;"_"&amp;E$7&amp;"0_egu)/"&amp;E20,"")&amp;IF(ISNUMBER(F20)," + ("&amp;D20&amp;"_Prbv_egu-"&amp;D20&amp;"_"&amp;F$7&amp;"0_egu)/"&amp;F20,"")</f>
        <v>X_rbv_egu =  + (m2_Prbv_egu-m2_Y0_egu)/10000</v>
      </c>
    </row>
    <row r="21" spans="4:9" x14ac:dyDescent="0.25">
      <c r="D21" t="s">
        <v>10</v>
      </c>
      <c r="E21" t="s">
        <v>22</v>
      </c>
      <c r="F21">
        <v>3</v>
      </c>
      <c r="H21" t="str">
        <f xml:space="preserve"> $D21&amp;"_Pinv_egu = "&amp;$D21&amp;"_X0_egu+"&amp;SUBSTITUTE(SUBSTITUTE(E21,"YY","Y_Pcmd_egu"),"XX","X_Pcmd_egu")</f>
        <v>m3_Pinv_egu = m3_X0_egu+X_Pcmd_egu*-sin(Yth)</v>
      </c>
      <c r="I21" t="str">
        <f>E$7&amp;"_rbv_egu = "&amp;IF(ISNUMBER(E21),"("&amp;D21&amp;"_Prbv_egu-"&amp;D21&amp;"_"&amp;E$7&amp;"0_egu)/"&amp;E21,"")&amp;IF(ISNUMBER(F21)," + ("&amp;D21&amp;"_Prbv_egu-"&amp;D21&amp;"_"&amp;F$7&amp;"0_egu)/"&amp;F21,"")</f>
        <v>X_rbv_egu =  + (m3_Prbv_egu-m3_Y0_egu)/3</v>
      </c>
    </row>
    <row r="22" spans="4:9" x14ac:dyDescent="0.25">
      <c r="D22" t="s">
        <v>11</v>
      </c>
      <c r="F22">
        <v>20</v>
      </c>
      <c r="H22" t="str">
        <f xml:space="preserve"> $D22&amp;"_Pinv_egu = "&amp;$D22&amp;"_X0_egu+"&amp;SUBSTITUTE(SUBSTITUTE(E22,"YY","Y_Pcmd_egu"),"XX","X_Pcmd_egu")</f>
        <v>m4_Pinv_egu = m4_X0_egu+</v>
      </c>
      <c r="I22" t="str">
        <f>E$7&amp;"_rbv_egu = "&amp;IF(ISNUMBER(E22),"("&amp;D22&amp;"_Prbv_egu-"&amp;D22&amp;"_"&amp;E$7&amp;"0_egu)/"&amp;E22,"")&amp;IF(ISNUMBER(F22)," + ("&amp;D22&amp;"_Prbv_egu-"&amp;D22&amp;"_"&amp;F$7&amp;"0_egu)/"&amp;F22,"")</f>
        <v>X_rbv_egu =  + (m4_Prbv_egu-m4_Y0_egu)/20</v>
      </c>
    </row>
  </sheetData>
  <customSheetViews>
    <customSheetView guid="{2E790F67-B1CF-4589-8EE3-FDE1E951836B}">
      <selection activeCell="C21" sqref="C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4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8" sqref="D8"/>
    </sheetView>
  </sheetViews>
  <sheetFormatPr defaultRowHeight="15" x14ac:dyDescent="0.25"/>
  <cols>
    <col min="1" max="1" width="34.5703125" bestFit="1" customWidth="1"/>
    <col min="2" max="2" width="6" bestFit="1" customWidth="1"/>
    <col min="3" max="3" width="22.28515625" bestFit="1" customWidth="1"/>
    <col min="4" max="4" width="16.42578125" bestFit="1" customWidth="1"/>
    <col min="5" max="5" width="21.42578125" bestFit="1" customWidth="1"/>
    <col min="6" max="6" width="6" bestFit="1" customWidth="1"/>
    <col min="7" max="7" width="8.85546875" bestFit="1" customWidth="1"/>
    <col min="8" max="8" width="7.42578125" customWidth="1"/>
    <col min="9" max="9" width="6.28515625" bestFit="1" customWidth="1"/>
    <col min="10" max="11" width="6.42578125" bestFit="1" customWidth="1"/>
    <col min="12" max="12" width="76.85546875" bestFit="1" customWidth="1"/>
    <col min="13" max="13" width="18" customWidth="1"/>
  </cols>
  <sheetData>
    <row r="1" spans="1:15" x14ac:dyDescent="0.25">
      <c r="A1" t="s">
        <v>343</v>
      </c>
    </row>
    <row r="2" spans="1:15" x14ac:dyDescent="0.25">
      <c r="A2" t="s">
        <v>48</v>
      </c>
      <c r="B2" t="s">
        <v>49</v>
      </c>
      <c r="C2" t="s">
        <v>50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59</v>
      </c>
    </row>
    <row r="3" spans="1:15" x14ac:dyDescent="0.25">
      <c r="A3" t="s">
        <v>60</v>
      </c>
      <c r="B3" t="s">
        <v>61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70</v>
      </c>
      <c r="L3" t="s">
        <v>71</v>
      </c>
    </row>
    <row r="4" spans="1:15" x14ac:dyDescent="0.25">
      <c r="A4" t="s">
        <v>72</v>
      </c>
      <c r="B4" t="s">
        <v>61</v>
      </c>
      <c r="C4" t="s">
        <v>73</v>
      </c>
      <c r="D4" t="s">
        <v>73</v>
      </c>
      <c r="E4" t="s">
        <v>74</v>
      </c>
      <c r="F4" t="s">
        <v>65</v>
      </c>
      <c r="G4" t="s">
        <v>66</v>
      </c>
      <c r="H4" t="s">
        <v>67</v>
      </c>
      <c r="I4" t="s">
        <v>68</v>
      </c>
      <c r="J4" t="s">
        <v>69</v>
      </c>
      <c r="K4" t="s">
        <v>70</v>
      </c>
      <c r="L4" t="s">
        <v>75</v>
      </c>
    </row>
    <row r="5" spans="1:15" x14ac:dyDescent="0.25">
      <c r="A5" t="s">
        <v>76</v>
      </c>
      <c r="B5" t="s">
        <v>77</v>
      </c>
      <c r="C5">
        <v>3512</v>
      </c>
      <c r="D5">
        <v>2048</v>
      </c>
      <c r="E5" t="s">
        <v>78</v>
      </c>
      <c r="F5">
        <v>0</v>
      </c>
      <c r="G5">
        <v>4095</v>
      </c>
      <c r="H5">
        <v>1</v>
      </c>
      <c r="I5" t="s">
        <v>68</v>
      </c>
      <c r="J5" t="s">
        <v>69</v>
      </c>
      <c r="K5" t="s">
        <v>70</v>
      </c>
    </row>
    <row r="6" spans="1:15" x14ac:dyDescent="0.25">
      <c r="A6" t="s">
        <v>79</v>
      </c>
      <c r="B6" t="s">
        <v>77</v>
      </c>
      <c r="C6">
        <v>2048</v>
      </c>
      <c r="D6">
        <v>2048</v>
      </c>
      <c r="E6" t="s">
        <v>80</v>
      </c>
      <c r="F6">
        <v>0</v>
      </c>
      <c r="G6">
        <v>4095</v>
      </c>
      <c r="H6">
        <v>1</v>
      </c>
      <c r="I6" t="s">
        <v>68</v>
      </c>
      <c r="J6" t="s">
        <v>69</v>
      </c>
      <c r="K6" t="s">
        <v>70</v>
      </c>
    </row>
    <row r="7" spans="1:15" x14ac:dyDescent="0.25">
      <c r="A7" t="s">
        <v>81</v>
      </c>
      <c r="B7" t="s">
        <v>61</v>
      </c>
      <c r="C7" t="s">
        <v>82</v>
      </c>
      <c r="D7" t="s">
        <v>82</v>
      </c>
      <c r="E7" t="s">
        <v>83</v>
      </c>
      <c r="F7" t="s">
        <v>65</v>
      </c>
      <c r="G7" t="s">
        <v>66</v>
      </c>
      <c r="H7" t="s">
        <v>67</v>
      </c>
      <c r="I7" t="s">
        <v>68</v>
      </c>
      <c r="J7" t="s">
        <v>69</v>
      </c>
      <c r="K7" t="s">
        <v>70</v>
      </c>
      <c r="L7" t="s">
        <v>84</v>
      </c>
    </row>
    <row r="8" spans="1:15" x14ac:dyDescent="0.25">
      <c r="A8" t="s">
        <v>85</v>
      </c>
      <c r="B8" t="s">
        <v>86</v>
      </c>
      <c r="C8" t="s">
        <v>87</v>
      </c>
      <c r="D8" t="s">
        <v>87</v>
      </c>
      <c r="E8" t="s">
        <v>88</v>
      </c>
      <c r="F8" t="s">
        <v>65</v>
      </c>
      <c r="G8" t="s">
        <v>66</v>
      </c>
      <c r="H8" t="s">
        <v>67</v>
      </c>
      <c r="I8" t="s">
        <v>68</v>
      </c>
      <c r="J8" t="s">
        <v>69</v>
      </c>
      <c r="K8" t="s">
        <v>70</v>
      </c>
    </row>
    <row r="9" spans="1:15" x14ac:dyDescent="0.25">
      <c r="A9" t="s">
        <v>89</v>
      </c>
      <c r="B9" t="s">
        <v>32</v>
      </c>
      <c r="C9">
        <v>250</v>
      </c>
      <c r="D9" t="s">
        <v>90</v>
      </c>
      <c r="E9" t="s">
        <v>91</v>
      </c>
      <c r="F9">
        <v>0</v>
      </c>
      <c r="G9">
        <v>400</v>
      </c>
      <c r="H9" t="s">
        <v>67</v>
      </c>
      <c r="I9" t="s">
        <v>92</v>
      </c>
      <c r="J9" t="s">
        <v>93</v>
      </c>
      <c r="K9" t="s">
        <v>94</v>
      </c>
    </row>
    <row r="10" spans="1:15" x14ac:dyDescent="0.25">
      <c r="A10" t="s">
        <v>95</v>
      </c>
      <c r="B10" t="s">
        <v>61</v>
      </c>
      <c r="C10" t="s">
        <v>96</v>
      </c>
      <c r="D10" t="s">
        <v>96</v>
      </c>
      <c r="E10" t="s">
        <v>97</v>
      </c>
      <c r="F10" t="s">
        <v>65</v>
      </c>
      <c r="G10" t="s">
        <v>66</v>
      </c>
      <c r="H10" t="s">
        <v>67</v>
      </c>
      <c r="I10" t="s">
        <v>68</v>
      </c>
      <c r="J10" t="s">
        <v>69</v>
      </c>
      <c r="K10" t="s">
        <v>70</v>
      </c>
      <c r="L10" t="s">
        <v>98</v>
      </c>
      <c r="N10" t="s">
        <v>427</v>
      </c>
      <c r="O10" t="s">
        <v>453</v>
      </c>
    </row>
    <row r="11" spans="1:15" x14ac:dyDescent="0.25">
      <c r="A11" t="s">
        <v>99</v>
      </c>
      <c r="B11" t="s">
        <v>77</v>
      </c>
      <c r="C11">
        <v>3.2478332999999998E-2</v>
      </c>
      <c r="D11">
        <v>0</v>
      </c>
      <c r="E11" t="s">
        <v>100</v>
      </c>
      <c r="F11">
        <v>-1</v>
      </c>
      <c r="G11">
        <v>1</v>
      </c>
      <c r="H11">
        <v>0.1</v>
      </c>
      <c r="I11" t="s">
        <v>68</v>
      </c>
      <c r="J11" t="s">
        <v>69</v>
      </c>
      <c r="K11" t="s">
        <v>94</v>
      </c>
      <c r="N11" t="s">
        <v>428</v>
      </c>
      <c r="O11" t="s">
        <v>454</v>
      </c>
    </row>
    <row r="12" spans="1:15" x14ac:dyDescent="0.25">
      <c r="A12" t="s">
        <v>101</v>
      </c>
      <c r="B12" t="s">
        <v>61</v>
      </c>
      <c r="C12" t="s">
        <v>102</v>
      </c>
      <c r="D12" t="s">
        <v>102</v>
      </c>
      <c r="E12" t="s">
        <v>103</v>
      </c>
      <c r="F12" t="s">
        <v>65</v>
      </c>
      <c r="G12" t="s">
        <v>66</v>
      </c>
      <c r="H12" t="s">
        <v>67</v>
      </c>
      <c r="I12" t="s">
        <v>68</v>
      </c>
      <c r="J12" t="s">
        <v>69</v>
      </c>
      <c r="K12" t="s">
        <v>94</v>
      </c>
      <c r="L12" t="s">
        <v>104</v>
      </c>
      <c r="N12" t="s">
        <v>429</v>
      </c>
      <c r="O12" t="s">
        <v>455</v>
      </c>
    </row>
    <row r="13" spans="1:15" x14ac:dyDescent="0.25">
      <c r="A13" t="s">
        <v>105</v>
      </c>
      <c r="B13" t="s">
        <v>86</v>
      </c>
      <c r="C13" t="s">
        <v>106</v>
      </c>
      <c r="D13" t="s">
        <v>106</v>
      </c>
      <c r="E13" t="s">
        <v>107</v>
      </c>
      <c r="F13" t="s">
        <v>65</v>
      </c>
      <c r="G13" t="s">
        <v>66</v>
      </c>
      <c r="H13" t="s">
        <v>67</v>
      </c>
      <c r="I13" t="s">
        <v>68</v>
      </c>
      <c r="J13" t="s">
        <v>69</v>
      </c>
      <c r="K13" t="s">
        <v>94</v>
      </c>
      <c r="N13" t="s">
        <v>459</v>
      </c>
      <c r="O13" t="s">
        <v>434</v>
      </c>
    </row>
    <row r="14" spans="1:15" x14ac:dyDescent="0.25">
      <c r="A14" t="s">
        <v>108</v>
      </c>
      <c r="B14" t="s">
        <v>32</v>
      </c>
      <c r="C14">
        <v>5</v>
      </c>
      <c r="D14">
        <v>250</v>
      </c>
      <c r="E14" t="s">
        <v>109</v>
      </c>
      <c r="F14">
        <v>0</v>
      </c>
      <c r="G14">
        <v>1020</v>
      </c>
      <c r="H14" t="s">
        <v>67</v>
      </c>
      <c r="I14" t="s">
        <v>68</v>
      </c>
      <c r="J14" t="s">
        <v>69</v>
      </c>
      <c r="K14" t="s">
        <v>94</v>
      </c>
      <c r="N14" t="s">
        <v>470</v>
      </c>
      <c r="O14" t="s">
        <v>442</v>
      </c>
    </row>
    <row r="15" spans="1:15" x14ac:dyDescent="0.25">
      <c r="A15" t="s">
        <v>110</v>
      </c>
      <c r="B15" t="s">
        <v>32</v>
      </c>
      <c r="C15">
        <v>5</v>
      </c>
      <c r="D15">
        <v>25</v>
      </c>
      <c r="E15" t="s">
        <v>111</v>
      </c>
      <c r="F15">
        <v>0</v>
      </c>
      <c r="G15">
        <v>125</v>
      </c>
      <c r="H15" t="s">
        <v>67</v>
      </c>
      <c r="I15" t="s">
        <v>68</v>
      </c>
      <c r="J15" t="s">
        <v>69</v>
      </c>
      <c r="K15" t="s">
        <v>94</v>
      </c>
      <c r="N15" t="s">
        <v>460</v>
      </c>
      <c r="O15" t="s">
        <v>435</v>
      </c>
    </row>
    <row r="16" spans="1:15" x14ac:dyDescent="0.25">
      <c r="A16" t="s">
        <v>112</v>
      </c>
      <c r="B16" t="s">
        <v>77</v>
      </c>
      <c r="C16">
        <v>-2.4986458E-2</v>
      </c>
      <c r="D16">
        <v>-2.4994087000000002E-2</v>
      </c>
      <c r="E16" t="s">
        <v>113</v>
      </c>
      <c r="F16">
        <v>-1</v>
      </c>
      <c r="G16">
        <v>1</v>
      </c>
      <c r="H16" t="s">
        <v>67</v>
      </c>
      <c r="I16" t="s">
        <v>68</v>
      </c>
      <c r="J16" t="s">
        <v>69</v>
      </c>
      <c r="K16" t="s">
        <v>94</v>
      </c>
      <c r="N16" t="s">
        <v>471</v>
      </c>
      <c r="O16" t="s">
        <v>443</v>
      </c>
    </row>
    <row r="17" spans="1:15" x14ac:dyDescent="0.25">
      <c r="A17" t="s">
        <v>114</v>
      </c>
      <c r="B17" t="s">
        <v>32</v>
      </c>
      <c r="C17">
        <v>0</v>
      </c>
      <c r="D17" t="s">
        <v>90</v>
      </c>
      <c r="E17" t="s">
        <v>115</v>
      </c>
      <c r="F17" t="s">
        <v>65</v>
      </c>
      <c r="G17" t="s">
        <v>66</v>
      </c>
      <c r="H17" t="s">
        <v>67</v>
      </c>
      <c r="I17" t="s">
        <v>68</v>
      </c>
      <c r="J17" t="s">
        <v>93</v>
      </c>
      <c r="K17" t="s">
        <v>94</v>
      </c>
      <c r="N17" t="s">
        <v>461</v>
      </c>
      <c r="O17" t="s">
        <v>436</v>
      </c>
    </row>
    <row r="18" spans="1:15" x14ac:dyDescent="0.25">
      <c r="A18" t="s">
        <v>116</v>
      </c>
      <c r="B18" t="s">
        <v>61</v>
      </c>
      <c r="C18" t="s">
        <v>117</v>
      </c>
      <c r="D18" t="s">
        <v>90</v>
      </c>
      <c r="E18" t="s">
        <v>118</v>
      </c>
      <c r="F18" t="s">
        <v>65</v>
      </c>
      <c r="G18" t="s">
        <v>66</v>
      </c>
      <c r="H18" t="s">
        <v>67</v>
      </c>
      <c r="I18" t="s">
        <v>68</v>
      </c>
      <c r="J18" t="s">
        <v>93</v>
      </c>
      <c r="K18" t="s">
        <v>94</v>
      </c>
      <c r="L18" t="s">
        <v>119</v>
      </c>
      <c r="N18" t="s">
        <v>472</v>
      </c>
      <c r="O18" t="s">
        <v>444</v>
      </c>
    </row>
    <row r="19" spans="1:15" x14ac:dyDescent="0.25">
      <c r="A19" t="s">
        <v>120</v>
      </c>
      <c r="B19" t="s">
        <v>61</v>
      </c>
      <c r="C19" t="s">
        <v>121</v>
      </c>
      <c r="D19" t="s">
        <v>102</v>
      </c>
      <c r="E19" t="s">
        <v>122</v>
      </c>
      <c r="F19" t="s">
        <v>65</v>
      </c>
      <c r="G19" t="s">
        <v>66</v>
      </c>
      <c r="H19" t="s">
        <v>67</v>
      </c>
      <c r="I19" t="s">
        <v>68</v>
      </c>
      <c r="J19" t="s">
        <v>69</v>
      </c>
      <c r="K19" t="s">
        <v>94</v>
      </c>
      <c r="L19" t="s">
        <v>123</v>
      </c>
      <c r="N19" t="s">
        <v>462</v>
      </c>
      <c r="O19" t="s">
        <v>437</v>
      </c>
    </row>
    <row r="20" spans="1:15" x14ac:dyDescent="0.25">
      <c r="A20" t="s">
        <v>124</v>
      </c>
      <c r="B20" t="s">
        <v>32</v>
      </c>
      <c r="C20">
        <v>4095</v>
      </c>
      <c r="D20">
        <v>4095</v>
      </c>
      <c r="E20" t="s">
        <v>125</v>
      </c>
      <c r="F20">
        <v>0</v>
      </c>
      <c r="G20">
        <v>4095</v>
      </c>
      <c r="H20" t="s">
        <v>67</v>
      </c>
      <c r="I20" t="s">
        <v>68</v>
      </c>
      <c r="J20" t="s">
        <v>69</v>
      </c>
      <c r="K20" t="s">
        <v>94</v>
      </c>
      <c r="N20" t="s">
        <v>473</v>
      </c>
      <c r="O20" t="s">
        <v>445</v>
      </c>
    </row>
    <row r="21" spans="1:15" x14ac:dyDescent="0.25">
      <c r="A21" t="s">
        <v>126</v>
      </c>
      <c r="B21" t="s">
        <v>32</v>
      </c>
      <c r="C21">
        <v>0</v>
      </c>
      <c r="D21">
        <v>0</v>
      </c>
      <c r="E21" t="s">
        <v>127</v>
      </c>
      <c r="F21">
        <v>0</v>
      </c>
      <c r="G21">
        <v>4095</v>
      </c>
      <c r="H21" t="s">
        <v>67</v>
      </c>
      <c r="I21" t="s">
        <v>68</v>
      </c>
      <c r="J21" t="s">
        <v>69</v>
      </c>
      <c r="K21" t="s">
        <v>94</v>
      </c>
      <c r="N21" t="s">
        <v>463</v>
      </c>
      <c r="O21" t="s">
        <v>438</v>
      </c>
    </row>
    <row r="22" spans="1:15" x14ac:dyDescent="0.25">
      <c r="A22" t="s">
        <v>128</v>
      </c>
      <c r="B22" t="s">
        <v>32</v>
      </c>
      <c r="C22">
        <v>1</v>
      </c>
      <c r="D22">
        <v>1</v>
      </c>
      <c r="E22" t="s">
        <v>129</v>
      </c>
      <c r="F22">
        <v>0</v>
      </c>
      <c r="G22">
        <v>256</v>
      </c>
      <c r="H22" t="s">
        <v>67</v>
      </c>
      <c r="I22" t="s">
        <v>68</v>
      </c>
      <c r="J22" t="s">
        <v>69</v>
      </c>
      <c r="K22" t="s">
        <v>94</v>
      </c>
      <c r="N22" t="s">
        <v>474</v>
      </c>
      <c r="O22" t="s">
        <v>446</v>
      </c>
    </row>
    <row r="23" spans="1:15" x14ac:dyDescent="0.25">
      <c r="A23" t="s">
        <v>130</v>
      </c>
      <c r="B23" t="s">
        <v>32</v>
      </c>
      <c r="C23">
        <v>1</v>
      </c>
      <c r="D23">
        <v>1</v>
      </c>
      <c r="E23" t="s">
        <v>131</v>
      </c>
      <c r="F23">
        <v>0</v>
      </c>
      <c r="G23">
        <v>128</v>
      </c>
      <c r="H23" t="s">
        <v>67</v>
      </c>
      <c r="I23" t="s">
        <v>68</v>
      </c>
      <c r="J23" t="s">
        <v>69</v>
      </c>
      <c r="K23" t="s">
        <v>94</v>
      </c>
      <c r="N23" t="s">
        <v>464</v>
      </c>
      <c r="O23" t="s">
        <v>456</v>
      </c>
    </row>
    <row r="24" spans="1:15" x14ac:dyDescent="0.25">
      <c r="A24" t="s">
        <v>132</v>
      </c>
      <c r="B24" t="s">
        <v>86</v>
      </c>
      <c r="C24" t="s">
        <v>87</v>
      </c>
      <c r="D24" t="s">
        <v>90</v>
      </c>
      <c r="E24" t="s">
        <v>133</v>
      </c>
      <c r="F24" t="s">
        <v>65</v>
      </c>
      <c r="G24" t="s">
        <v>66</v>
      </c>
      <c r="H24" t="s">
        <v>67</v>
      </c>
      <c r="I24" t="s">
        <v>68</v>
      </c>
      <c r="J24" t="s">
        <v>69</v>
      </c>
      <c r="K24" t="s">
        <v>134</v>
      </c>
      <c r="N24" t="s">
        <v>475</v>
      </c>
      <c r="O24" t="s">
        <v>447</v>
      </c>
    </row>
    <row r="25" spans="1:15" x14ac:dyDescent="0.25">
      <c r="A25" t="s">
        <v>135</v>
      </c>
      <c r="B25" t="s">
        <v>43</v>
      </c>
      <c r="C25" t="s">
        <v>136</v>
      </c>
      <c r="D25" t="s">
        <v>90</v>
      </c>
      <c r="E25" t="s">
        <v>137</v>
      </c>
      <c r="F25" t="s">
        <v>65</v>
      </c>
      <c r="G25" t="s">
        <v>66</v>
      </c>
      <c r="H25" t="s">
        <v>67</v>
      </c>
      <c r="I25" t="s">
        <v>68</v>
      </c>
      <c r="J25" t="s">
        <v>69</v>
      </c>
      <c r="K25" t="s">
        <v>134</v>
      </c>
      <c r="N25" t="s">
        <v>465</v>
      </c>
      <c r="O25" t="s">
        <v>457</v>
      </c>
    </row>
    <row r="26" spans="1:15" x14ac:dyDescent="0.25">
      <c r="A26" t="s">
        <v>138</v>
      </c>
      <c r="B26" t="s">
        <v>32</v>
      </c>
      <c r="C26">
        <v>0</v>
      </c>
      <c r="D26" t="s">
        <v>90</v>
      </c>
      <c r="E26" t="s">
        <v>139</v>
      </c>
      <c r="F26">
        <v>0</v>
      </c>
      <c r="G26">
        <v>65535</v>
      </c>
      <c r="H26">
        <v>1</v>
      </c>
      <c r="I26" t="s">
        <v>68</v>
      </c>
      <c r="J26" t="s">
        <v>69</v>
      </c>
      <c r="K26" t="s">
        <v>134</v>
      </c>
      <c r="N26" t="s">
        <v>476</v>
      </c>
      <c r="O26" t="s">
        <v>448</v>
      </c>
    </row>
    <row r="27" spans="1:15" x14ac:dyDescent="0.25">
      <c r="A27" t="s">
        <v>140</v>
      </c>
      <c r="B27" t="s">
        <v>32</v>
      </c>
      <c r="C27">
        <v>1000000</v>
      </c>
      <c r="D27">
        <v>1000000</v>
      </c>
      <c r="E27" t="s">
        <v>141</v>
      </c>
      <c r="F27">
        <v>0</v>
      </c>
      <c r="G27" t="s">
        <v>66</v>
      </c>
      <c r="H27">
        <v>100</v>
      </c>
      <c r="I27" t="s">
        <v>68</v>
      </c>
      <c r="J27" t="s">
        <v>69</v>
      </c>
      <c r="K27" t="s">
        <v>94</v>
      </c>
      <c r="N27" t="s">
        <v>466</v>
      </c>
      <c r="O27" t="s">
        <v>458</v>
      </c>
    </row>
    <row r="28" spans="1:15" x14ac:dyDescent="0.25">
      <c r="A28" t="s">
        <v>142</v>
      </c>
      <c r="B28" t="s">
        <v>32</v>
      </c>
      <c r="C28">
        <v>1000000</v>
      </c>
      <c r="D28">
        <v>1000000</v>
      </c>
      <c r="E28" t="s">
        <v>143</v>
      </c>
      <c r="F28">
        <v>0</v>
      </c>
      <c r="G28" t="s">
        <v>66</v>
      </c>
      <c r="H28">
        <v>100</v>
      </c>
      <c r="I28" t="s">
        <v>68</v>
      </c>
      <c r="J28" t="s">
        <v>69</v>
      </c>
      <c r="K28" t="s">
        <v>94</v>
      </c>
      <c r="N28" t="s">
        <v>477</v>
      </c>
      <c r="O28" t="s">
        <v>449</v>
      </c>
    </row>
    <row r="29" spans="1:15" x14ac:dyDescent="0.25">
      <c r="A29" t="s">
        <v>144</v>
      </c>
      <c r="B29" t="s">
        <v>77</v>
      </c>
      <c r="C29">
        <v>20</v>
      </c>
      <c r="D29">
        <v>5</v>
      </c>
      <c r="E29" t="s">
        <v>145</v>
      </c>
      <c r="F29">
        <v>0</v>
      </c>
      <c r="G29" t="s">
        <v>66</v>
      </c>
      <c r="H29">
        <v>0.1</v>
      </c>
      <c r="I29" t="s">
        <v>146</v>
      </c>
      <c r="J29" t="s">
        <v>69</v>
      </c>
      <c r="K29" t="s">
        <v>94</v>
      </c>
      <c r="N29" t="s">
        <v>467</v>
      </c>
      <c r="O29" t="s">
        <v>439</v>
      </c>
    </row>
    <row r="30" spans="1:15" x14ac:dyDescent="0.25">
      <c r="A30" t="s">
        <v>147</v>
      </c>
      <c r="B30" t="s">
        <v>61</v>
      </c>
      <c r="C30" t="s">
        <v>148</v>
      </c>
      <c r="D30" t="s">
        <v>149</v>
      </c>
      <c r="E30" t="s">
        <v>150</v>
      </c>
      <c r="F30" t="s">
        <v>65</v>
      </c>
      <c r="G30" t="s">
        <v>66</v>
      </c>
      <c r="H30" t="s">
        <v>67</v>
      </c>
      <c r="I30" t="s">
        <v>68</v>
      </c>
      <c r="J30" t="s">
        <v>69</v>
      </c>
      <c r="K30" t="s">
        <v>94</v>
      </c>
      <c r="L30" t="s">
        <v>151</v>
      </c>
      <c r="N30" t="s">
        <v>478</v>
      </c>
      <c r="O30" t="s">
        <v>450</v>
      </c>
    </row>
    <row r="31" spans="1:15" x14ac:dyDescent="0.25">
      <c r="A31" t="s">
        <v>152</v>
      </c>
      <c r="B31" t="s">
        <v>77</v>
      </c>
      <c r="C31">
        <v>5</v>
      </c>
      <c r="D31">
        <v>5</v>
      </c>
      <c r="E31" t="s">
        <v>153</v>
      </c>
      <c r="F31">
        <v>0</v>
      </c>
      <c r="G31" t="s">
        <v>66</v>
      </c>
      <c r="H31">
        <v>0.1</v>
      </c>
      <c r="I31" t="s">
        <v>146</v>
      </c>
      <c r="J31" t="s">
        <v>69</v>
      </c>
      <c r="K31" t="s">
        <v>94</v>
      </c>
      <c r="N31" t="s">
        <v>468</v>
      </c>
      <c r="O31" t="s">
        <v>440</v>
      </c>
    </row>
    <row r="32" spans="1:15" x14ac:dyDescent="0.25">
      <c r="A32" t="s">
        <v>154</v>
      </c>
      <c r="B32" t="s">
        <v>43</v>
      </c>
      <c r="C32" t="s">
        <v>155</v>
      </c>
      <c r="D32" t="s">
        <v>155</v>
      </c>
      <c r="E32" t="s">
        <v>156</v>
      </c>
      <c r="F32" t="s">
        <v>65</v>
      </c>
      <c r="G32" t="s">
        <v>66</v>
      </c>
      <c r="H32" t="s">
        <v>67</v>
      </c>
      <c r="I32" t="s">
        <v>68</v>
      </c>
      <c r="J32" t="s">
        <v>69</v>
      </c>
      <c r="K32" t="s">
        <v>94</v>
      </c>
      <c r="N32" t="s">
        <v>479</v>
      </c>
      <c r="O32" t="s">
        <v>451</v>
      </c>
    </row>
    <row r="33" spans="1:15" x14ac:dyDescent="0.25">
      <c r="A33" t="s">
        <v>157</v>
      </c>
      <c r="B33" t="s">
        <v>77</v>
      </c>
      <c r="C33">
        <v>0.1</v>
      </c>
      <c r="D33">
        <v>0.1</v>
      </c>
      <c r="E33" t="s">
        <v>158</v>
      </c>
      <c r="F33">
        <v>0</v>
      </c>
      <c r="G33" t="s">
        <v>66</v>
      </c>
      <c r="H33" t="s">
        <v>67</v>
      </c>
      <c r="I33" t="s">
        <v>146</v>
      </c>
      <c r="J33" t="s">
        <v>69</v>
      </c>
      <c r="K33" t="s">
        <v>94</v>
      </c>
      <c r="N33" t="s">
        <v>469</v>
      </c>
      <c r="O33" t="s">
        <v>441</v>
      </c>
    </row>
    <row r="34" spans="1:15" x14ac:dyDescent="0.25">
      <c r="A34" t="s">
        <v>159</v>
      </c>
      <c r="B34" t="s">
        <v>86</v>
      </c>
      <c r="C34" t="s">
        <v>106</v>
      </c>
      <c r="D34" t="s">
        <v>106</v>
      </c>
      <c r="E34" t="s">
        <v>160</v>
      </c>
      <c r="F34" t="s">
        <v>65</v>
      </c>
      <c r="G34" t="s">
        <v>66</v>
      </c>
      <c r="H34" t="s">
        <v>67</v>
      </c>
      <c r="I34" t="s">
        <v>68</v>
      </c>
      <c r="J34" t="s">
        <v>69</v>
      </c>
      <c r="K34" t="s">
        <v>94</v>
      </c>
      <c r="N34" t="s">
        <v>480</v>
      </c>
      <c r="O34" t="s">
        <v>452</v>
      </c>
    </row>
    <row r="35" spans="1:15" x14ac:dyDescent="0.25">
      <c r="A35" t="s">
        <v>161</v>
      </c>
      <c r="B35" t="s">
        <v>86</v>
      </c>
      <c r="C35" t="s">
        <v>106</v>
      </c>
      <c r="D35" t="s">
        <v>106</v>
      </c>
      <c r="E35" t="s">
        <v>162</v>
      </c>
      <c r="F35" t="s">
        <v>65</v>
      </c>
      <c r="G35" t="s">
        <v>66</v>
      </c>
      <c r="H35" t="s">
        <v>67</v>
      </c>
      <c r="I35" t="s">
        <v>68</v>
      </c>
      <c r="J35" t="s">
        <v>69</v>
      </c>
      <c r="K35" t="s">
        <v>94</v>
      </c>
    </row>
    <row r="36" spans="1:15" x14ac:dyDescent="0.25">
      <c r="A36" t="s">
        <v>163</v>
      </c>
      <c r="B36" t="s">
        <v>32</v>
      </c>
      <c r="C36">
        <v>0</v>
      </c>
      <c r="D36" t="s">
        <v>90</v>
      </c>
      <c r="E36" t="s">
        <v>164</v>
      </c>
      <c r="F36" t="s">
        <v>65</v>
      </c>
      <c r="G36" t="s">
        <v>66</v>
      </c>
      <c r="H36" t="s">
        <v>67</v>
      </c>
      <c r="I36" t="s">
        <v>68</v>
      </c>
      <c r="J36" t="s">
        <v>93</v>
      </c>
      <c r="K36" t="s">
        <v>165</v>
      </c>
    </row>
    <row r="37" spans="1:15" x14ac:dyDescent="0.25">
      <c r="A37" t="s">
        <v>166</v>
      </c>
      <c r="B37" t="s">
        <v>43</v>
      </c>
      <c r="C37" t="s">
        <v>167</v>
      </c>
      <c r="D37" t="s">
        <v>90</v>
      </c>
      <c r="E37" t="s">
        <v>168</v>
      </c>
      <c r="F37" t="s">
        <v>65</v>
      </c>
      <c r="G37" t="s">
        <v>66</v>
      </c>
      <c r="H37" t="s">
        <v>67</v>
      </c>
      <c r="I37" t="s">
        <v>68</v>
      </c>
      <c r="J37" t="s">
        <v>93</v>
      </c>
      <c r="K37" t="s">
        <v>165</v>
      </c>
    </row>
    <row r="38" spans="1:15" x14ac:dyDescent="0.25">
      <c r="A38" t="s">
        <v>169</v>
      </c>
      <c r="B38" t="s">
        <v>32</v>
      </c>
      <c r="C38">
        <v>2</v>
      </c>
      <c r="D38" t="s">
        <v>90</v>
      </c>
      <c r="E38" t="s">
        <v>170</v>
      </c>
      <c r="F38" t="s">
        <v>65</v>
      </c>
      <c r="G38" t="s">
        <v>66</v>
      </c>
      <c r="H38" t="s">
        <v>67</v>
      </c>
      <c r="I38" t="s">
        <v>68</v>
      </c>
      <c r="J38" t="s">
        <v>93</v>
      </c>
      <c r="K38" t="s">
        <v>165</v>
      </c>
    </row>
    <row r="39" spans="1:15" x14ac:dyDescent="0.25">
      <c r="A39" t="s">
        <v>171</v>
      </c>
      <c r="B39" t="s">
        <v>43</v>
      </c>
      <c r="C39" t="s">
        <v>172</v>
      </c>
      <c r="D39" t="s">
        <v>90</v>
      </c>
      <c r="E39" t="s">
        <v>173</v>
      </c>
      <c r="F39" t="s">
        <v>65</v>
      </c>
      <c r="G39" t="s">
        <v>66</v>
      </c>
      <c r="H39" t="s">
        <v>67</v>
      </c>
      <c r="I39" t="s">
        <v>68</v>
      </c>
      <c r="J39" t="s">
        <v>93</v>
      </c>
      <c r="K39" t="s">
        <v>165</v>
      </c>
    </row>
    <row r="40" spans="1:15" x14ac:dyDescent="0.25">
      <c r="A40" t="s">
        <v>174</v>
      </c>
      <c r="B40" t="s">
        <v>43</v>
      </c>
      <c r="C40" t="s">
        <v>175</v>
      </c>
      <c r="D40" t="s">
        <v>90</v>
      </c>
      <c r="E40" t="s">
        <v>176</v>
      </c>
      <c r="F40" t="s">
        <v>65</v>
      </c>
      <c r="G40" t="s">
        <v>66</v>
      </c>
      <c r="H40" t="s">
        <v>67</v>
      </c>
      <c r="I40" t="s">
        <v>68</v>
      </c>
      <c r="J40" t="s">
        <v>93</v>
      </c>
      <c r="K40" t="s">
        <v>165</v>
      </c>
    </row>
    <row r="41" spans="1:15" x14ac:dyDescent="0.25">
      <c r="A41" t="s">
        <v>177</v>
      </c>
      <c r="B41" t="s">
        <v>61</v>
      </c>
      <c r="C41" t="s">
        <v>178</v>
      </c>
      <c r="D41" t="s">
        <v>178</v>
      </c>
      <c r="E41" t="s">
        <v>179</v>
      </c>
      <c r="F41" t="s">
        <v>65</v>
      </c>
      <c r="G41" t="s">
        <v>66</v>
      </c>
      <c r="H41" t="s">
        <v>67</v>
      </c>
      <c r="I41" t="s">
        <v>68</v>
      </c>
      <c r="J41" t="s">
        <v>69</v>
      </c>
      <c r="K41" t="s">
        <v>180</v>
      </c>
      <c r="L41" t="s">
        <v>181</v>
      </c>
    </row>
    <row r="42" spans="1:15" x14ac:dyDescent="0.25">
      <c r="A42" t="s">
        <v>182</v>
      </c>
      <c r="B42" t="s">
        <v>32</v>
      </c>
      <c r="C42">
        <v>0</v>
      </c>
      <c r="D42" t="s">
        <v>90</v>
      </c>
      <c r="E42" t="s">
        <v>183</v>
      </c>
      <c r="F42" t="s">
        <v>65</v>
      </c>
      <c r="G42" t="s">
        <v>66</v>
      </c>
      <c r="H42" t="s">
        <v>67</v>
      </c>
      <c r="I42" t="s">
        <v>68</v>
      </c>
      <c r="J42" t="s">
        <v>93</v>
      </c>
      <c r="K42" t="s">
        <v>165</v>
      </c>
    </row>
    <row r="43" spans="1:15" x14ac:dyDescent="0.25">
      <c r="A43" t="s">
        <v>184</v>
      </c>
      <c r="B43" t="s">
        <v>43</v>
      </c>
      <c r="C43" t="s">
        <v>185</v>
      </c>
      <c r="D43" t="s">
        <v>90</v>
      </c>
      <c r="E43" t="s">
        <v>186</v>
      </c>
      <c r="F43" t="s">
        <v>65</v>
      </c>
      <c r="G43" t="s">
        <v>66</v>
      </c>
      <c r="H43" t="s">
        <v>67</v>
      </c>
      <c r="I43" t="s">
        <v>68</v>
      </c>
      <c r="J43" t="s">
        <v>93</v>
      </c>
      <c r="K43" t="s">
        <v>165</v>
      </c>
    </row>
    <row r="44" spans="1:15" x14ac:dyDescent="0.25">
      <c r="A44" t="s">
        <v>187</v>
      </c>
      <c r="B44" t="s">
        <v>32</v>
      </c>
      <c r="C44">
        <v>1</v>
      </c>
      <c r="D44" t="s">
        <v>90</v>
      </c>
      <c r="E44" t="s">
        <v>188</v>
      </c>
      <c r="F44" t="s">
        <v>65</v>
      </c>
      <c r="G44" t="s">
        <v>66</v>
      </c>
      <c r="H44" t="s">
        <v>67</v>
      </c>
      <c r="I44" t="s">
        <v>68</v>
      </c>
      <c r="J44" t="s">
        <v>93</v>
      </c>
      <c r="K44" t="s">
        <v>165</v>
      </c>
    </row>
    <row r="45" spans="1:15" x14ac:dyDescent="0.25">
      <c r="A45" t="s">
        <v>189</v>
      </c>
      <c r="B45" t="s">
        <v>43</v>
      </c>
      <c r="C45" t="s">
        <v>175</v>
      </c>
      <c r="D45" t="s">
        <v>90</v>
      </c>
      <c r="E45" t="s">
        <v>190</v>
      </c>
      <c r="F45" t="s">
        <v>65</v>
      </c>
      <c r="G45" t="s">
        <v>66</v>
      </c>
      <c r="H45" t="s">
        <v>67</v>
      </c>
      <c r="I45" t="s">
        <v>68</v>
      </c>
      <c r="J45" t="s">
        <v>93</v>
      </c>
      <c r="K45" t="s">
        <v>165</v>
      </c>
    </row>
    <row r="46" spans="1:15" x14ac:dyDescent="0.25">
      <c r="A46" t="s">
        <v>191</v>
      </c>
      <c r="B46" t="s">
        <v>43</v>
      </c>
      <c r="C46" t="s">
        <v>192</v>
      </c>
      <c r="D46" t="s">
        <v>90</v>
      </c>
      <c r="E46" t="s">
        <v>193</v>
      </c>
      <c r="F46" t="s">
        <v>65</v>
      </c>
      <c r="G46" t="s">
        <v>66</v>
      </c>
      <c r="H46" t="s">
        <v>67</v>
      </c>
      <c r="I46" t="s">
        <v>68</v>
      </c>
      <c r="J46" t="s">
        <v>93</v>
      </c>
      <c r="K46" t="s">
        <v>180</v>
      </c>
    </row>
    <row r="47" spans="1:15" x14ac:dyDescent="0.25">
      <c r="A47" t="s">
        <v>194</v>
      </c>
      <c r="B47" t="s">
        <v>43</v>
      </c>
      <c r="C47" t="s">
        <v>195</v>
      </c>
      <c r="D47" t="s">
        <v>90</v>
      </c>
      <c r="E47" t="s">
        <v>196</v>
      </c>
      <c r="F47" t="s">
        <v>65</v>
      </c>
      <c r="G47" t="s">
        <v>66</v>
      </c>
      <c r="H47" t="s">
        <v>67</v>
      </c>
      <c r="I47" t="s">
        <v>68</v>
      </c>
      <c r="J47" t="s">
        <v>93</v>
      </c>
      <c r="K47" t="s">
        <v>180</v>
      </c>
    </row>
    <row r="48" spans="1:15" x14ac:dyDescent="0.25">
      <c r="A48" t="s">
        <v>197</v>
      </c>
      <c r="B48" t="s">
        <v>43</v>
      </c>
      <c r="C48" t="s">
        <v>198</v>
      </c>
      <c r="D48" t="s">
        <v>90</v>
      </c>
      <c r="E48" t="s">
        <v>199</v>
      </c>
      <c r="F48" t="s">
        <v>65</v>
      </c>
      <c r="G48" t="s">
        <v>66</v>
      </c>
      <c r="H48" t="s">
        <v>67</v>
      </c>
      <c r="I48" t="s">
        <v>68</v>
      </c>
      <c r="J48" t="s">
        <v>93</v>
      </c>
      <c r="K48" t="s">
        <v>180</v>
      </c>
    </row>
    <row r="49" spans="1:12" x14ac:dyDescent="0.25">
      <c r="A49" t="s">
        <v>200</v>
      </c>
      <c r="B49" t="s">
        <v>43</v>
      </c>
      <c r="C49" t="s">
        <v>201</v>
      </c>
      <c r="D49" t="s">
        <v>90</v>
      </c>
      <c r="E49" t="s">
        <v>202</v>
      </c>
      <c r="F49" t="s">
        <v>65</v>
      </c>
      <c r="G49" t="s">
        <v>66</v>
      </c>
      <c r="H49" t="s">
        <v>67</v>
      </c>
      <c r="I49" t="s">
        <v>68</v>
      </c>
      <c r="J49" t="s">
        <v>93</v>
      </c>
      <c r="K49" t="s">
        <v>180</v>
      </c>
    </row>
    <row r="50" spans="1:12" x14ac:dyDescent="0.25">
      <c r="A50" t="s">
        <v>203</v>
      </c>
      <c r="B50" t="s">
        <v>43</v>
      </c>
      <c r="C50" t="s">
        <v>204</v>
      </c>
      <c r="D50" t="s">
        <v>90</v>
      </c>
      <c r="E50" t="s">
        <v>205</v>
      </c>
      <c r="F50" t="s">
        <v>65</v>
      </c>
      <c r="G50" t="s">
        <v>66</v>
      </c>
      <c r="H50" t="s">
        <v>67</v>
      </c>
      <c r="I50" t="s">
        <v>68</v>
      </c>
      <c r="J50" t="s">
        <v>93</v>
      </c>
      <c r="K50" t="s">
        <v>180</v>
      </c>
    </row>
    <row r="51" spans="1:12" x14ac:dyDescent="0.25">
      <c r="A51" t="s">
        <v>206</v>
      </c>
      <c r="B51" t="s">
        <v>32</v>
      </c>
      <c r="C51">
        <v>1</v>
      </c>
      <c r="D51" t="s">
        <v>90</v>
      </c>
      <c r="E51" t="s">
        <v>207</v>
      </c>
      <c r="F51" t="s">
        <v>65</v>
      </c>
      <c r="G51" t="s">
        <v>66</v>
      </c>
      <c r="H51" t="s">
        <v>67</v>
      </c>
      <c r="I51" t="s">
        <v>68</v>
      </c>
      <c r="J51" t="s">
        <v>93</v>
      </c>
      <c r="K51" t="s">
        <v>180</v>
      </c>
    </row>
    <row r="52" spans="1:12" x14ac:dyDescent="0.25">
      <c r="A52" t="s">
        <v>208</v>
      </c>
      <c r="B52" t="s">
        <v>43</v>
      </c>
      <c r="C52" t="s">
        <v>209</v>
      </c>
      <c r="D52" t="s">
        <v>90</v>
      </c>
      <c r="E52" t="s">
        <v>210</v>
      </c>
      <c r="F52" t="s">
        <v>65</v>
      </c>
      <c r="G52" t="s">
        <v>66</v>
      </c>
      <c r="H52" t="s">
        <v>67</v>
      </c>
      <c r="I52" t="s">
        <v>68</v>
      </c>
      <c r="J52" t="s">
        <v>93</v>
      </c>
      <c r="K52" t="s">
        <v>180</v>
      </c>
    </row>
    <row r="53" spans="1:12" x14ac:dyDescent="0.25">
      <c r="A53" t="s">
        <v>211</v>
      </c>
      <c r="B53" t="s">
        <v>32</v>
      </c>
      <c r="C53">
        <v>1</v>
      </c>
      <c r="D53" t="s">
        <v>90</v>
      </c>
      <c r="E53" t="s">
        <v>207</v>
      </c>
      <c r="F53" t="s">
        <v>65</v>
      </c>
      <c r="G53" t="s">
        <v>66</v>
      </c>
      <c r="H53" t="s">
        <v>67</v>
      </c>
      <c r="I53" t="s">
        <v>68</v>
      </c>
      <c r="J53" t="s">
        <v>93</v>
      </c>
      <c r="K53" t="s">
        <v>180</v>
      </c>
    </row>
    <row r="54" spans="1:12" x14ac:dyDescent="0.25">
      <c r="A54" t="s">
        <v>212</v>
      </c>
      <c r="B54" t="s">
        <v>61</v>
      </c>
      <c r="C54" t="s">
        <v>102</v>
      </c>
      <c r="D54" t="s">
        <v>102</v>
      </c>
      <c r="E54" t="s">
        <v>213</v>
      </c>
      <c r="F54" t="s">
        <v>65</v>
      </c>
      <c r="G54" t="s">
        <v>66</v>
      </c>
      <c r="H54" t="s">
        <v>67</v>
      </c>
      <c r="I54" t="s">
        <v>68</v>
      </c>
      <c r="J54" t="s">
        <v>69</v>
      </c>
      <c r="K54" t="s">
        <v>180</v>
      </c>
      <c r="L54" t="s">
        <v>214</v>
      </c>
    </row>
    <row r="55" spans="1:12" x14ac:dyDescent="0.25">
      <c r="A55" t="s">
        <v>215</v>
      </c>
      <c r="B55" t="s">
        <v>32</v>
      </c>
      <c r="C55">
        <v>16</v>
      </c>
      <c r="D55">
        <v>16</v>
      </c>
      <c r="E55" t="s">
        <v>216</v>
      </c>
      <c r="F55">
        <v>0</v>
      </c>
      <c r="G55">
        <v>262140</v>
      </c>
      <c r="H55">
        <v>4</v>
      </c>
      <c r="I55" t="s">
        <v>217</v>
      </c>
      <c r="J55" t="s">
        <v>69</v>
      </c>
      <c r="K55" t="s">
        <v>180</v>
      </c>
    </row>
    <row r="56" spans="1:12" x14ac:dyDescent="0.25">
      <c r="A56" t="s">
        <v>218</v>
      </c>
      <c r="B56" t="s">
        <v>77</v>
      </c>
      <c r="C56">
        <v>47.388031005999999</v>
      </c>
      <c r="D56" t="s">
        <v>90</v>
      </c>
      <c r="E56" t="s">
        <v>219</v>
      </c>
      <c r="F56" t="s">
        <v>65</v>
      </c>
      <c r="G56" t="s">
        <v>66</v>
      </c>
      <c r="H56" t="s">
        <v>67</v>
      </c>
      <c r="I56" t="s">
        <v>220</v>
      </c>
      <c r="J56" t="s">
        <v>93</v>
      </c>
      <c r="K56" t="s">
        <v>180</v>
      </c>
    </row>
    <row r="57" spans="1:12" x14ac:dyDescent="0.25">
      <c r="A57" t="s">
        <v>221</v>
      </c>
      <c r="B57" t="s">
        <v>77</v>
      </c>
      <c r="C57">
        <v>48.895294188999998</v>
      </c>
      <c r="D57" t="s">
        <v>90</v>
      </c>
      <c r="E57" t="s">
        <v>222</v>
      </c>
      <c r="F57" t="s">
        <v>65</v>
      </c>
      <c r="G57" t="s">
        <v>66</v>
      </c>
      <c r="H57" t="s">
        <v>67</v>
      </c>
      <c r="I57" t="s">
        <v>220</v>
      </c>
      <c r="J57" t="s">
        <v>93</v>
      </c>
      <c r="K57" t="s">
        <v>180</v>
      </c>
    </row>
    <row r="58" spans="1:12" x14ac:dyDescent="0.25">
      <c r="A58" t="s">
        <v>223</v>
      </c>
      <c r="B58" t="s">
        <v>86</v>
      </c>
      <c r="C58" t="s">
        <v>87</v>
      </c>
      <c r="D58" t="s">
        <v>87</v>
      </c>
      <c r="E58" t="s">
        <v>224</v>
      </c>
      <c r="F58" t="s">
        <v>65</v>
      </c>
      <c r="G58" t="s">
        <v>66</v>
      </c>
      <c r="H58" t="s">
        <v>67</v>
      </c>
      <c r="I58" t="s">
        <v>68</v>
      </c>
      <c r="J58" t="s">
        <v>69</v>
      </c>
      <c r="K58" t="s">
        <v>94</v>
      </c>
    </row>
    <row r="59" spans="1:12" x14ac:dyDescent="0.25">
      <c r="A59" t="s">
        <v>225</v>
      </c>
      <c r="B59" t="s">
        <v>43</v>
      </c>
      <c r="C59" t="s">
        <v>226</v>
      </c>
      <c r="D59" t="s">
        <v>155</v>
      </c>
      <c r="E59" t="s">
        <v>227</v>
      </c>
      <c r="F59" t="s">
        <v>65</v>
      </c>
      <c r="G59" t="s">
        <v>66</v>
      </c>
      <c r="H59" t="s">
        <v>67</v>
      </c>
      <c r="I59" t="s">
        <v>68</v>
      </c>
      <c r="J59" t="s">
        <v>69</v>
      </c>
      <c r="K59" t="s">
        <v>94</v>
      </c>
    </row>
    <row r="60" spans="1:12" x14ac:dyDescent="0.25">
      <c r="A60" t="s">
        <v>228</v>
      </c>
      <c r="B60" t="s">
        <v>32</v>
      </c>
      <c r="C60">
        <v>32767</v>
      </c>
      <c r="D60" t="s">
        <v>90</v>
      </c>
      <c r="E60" t="s">
        <v>229</v>
      </c>
      <c r="F60" t="s">
        <v>65</v>
      </c>
      <c r="G60" t="s">
        <v>66</v>
      </c>
      <c r="H60" t="s">
        <v>67</v>
      </c>
      <c r="I60" t="s">
        <v>68</v>
      </c>
      <c r="J60" t="s">
        <v>93</v>
      </c>
      <c r="K60" t="s">
        <v>94</v>
      </c>
    </row>
    <row r="61" spans="1:12" x14ac:dyDescent="0.25">
      <c r="A61" t="s">
        <v>230</v>
      </c>
      <c r="B61" t="s">
        <v>32</v>
      </c>
      <c r="C61">
        <v>-32768</v>
      </c>
      <c r="D61" t="s">
        <v>90</v>
      </c>
      <c r="E61" t="s">
        <v>231</v>
      </c>
      <c r="F61" t="s">
        <v>65</v>
      </c>
      <c r="G61" t="s">
        <v>66</v>
      </c>
      <c r="H61" t="s">
        <v>67</v>
      </c>
      <c r="I61" t="s">
        <v>68</v>
      </c>
      <c r="J61" t="s">
        <v>93</v>
      </c>
      <c r="K61" t="s">
        <v>94</v>
      </c>
    </row>
    <row r="62" spans="1:12" x14ac:dyDescent="0.25">
      <c r="A62" t="s">
        <v>232</v>
      </c>
      <c r="B62" t="s">
        <v>86</v>
      </c>
      <c r="C62" t="s">
        <v>106</v>
      </c>
      <c r="D62" t="s">
        <v>106</v>
      </c>
      <c r="E62" t="s">
        <v>233</v>
      </c>
      <c r="F62" t="s">
        <v>65</v>
      </c>
      <c r="G62" t="s">
        <v>66</v>
      </c>
      <c r="H62" t="s">
        <v>67</v>
      </c>
      <c r="I62" t="s">
        <v>68</v>
      </c>
      <c r="J62" t="s">
        <v>69</v>
      </c>
      <c r="K62" t="s">
        <v>94</v>
      </c>
    </row>
    <row r="63" spans="1:12" x14ac:dyDescent="0.25">
      <c r="A63" t="s">
        <v>234</v>
      </c>
      <c r="B63" t="s">
        <v>32</v>
      </c>
      <c r="C63">
        <v>100000</v>
      </c>
      <c r="D63">
        <v>100000</v>
      </c>
      <c r="E63" t="s">
        <v>235</v>
      </c>
      <c r="F63">
        <v>0</v>
      </c>
      <c r="G63">
        <v>524288</v>
      </c>
      <c r="H63" t="s">
        <v>67</v>
      </c>
      <c r="I63" t="s">
        <v>68</v>
      </c>
      <c r="J63" t="s">
        <v>69</v>
      </c>
      <c r="K63" t="s">
        <v>94</v>
      </c>
    </row>
    <row r="64" spans="1:12" x14ac:dyDescent="0.25">
      <c r="A64" t="s">
        <v>236</v>
      </c>
      <c r="B64" t="s">
        <v>86</v>
      </c>
      <c r="C64" t="s">
        <v>106</v>
      </c>
      <c r="D64" t="s">
        <v>90</v>
      </c>
      <c r="E64" t="s">
        <v>237</v>
      </c>
      <c r="F64" t="s">
        <v>65</v>
      </c>
      <c r="G64" t="s">
        <v>66</v>
      </c>
      <c r="H64" t="s">
        <v>67</v>
      </c>
      <c r="I64" t="s">
        <v>68</v>
      </c>
      <c r="J64" t="s">
        <v>93</v>
      </c>
      <c r="K64" t="s">
        <v>94</v>
      </c>
    </row>
    <row r="65" spans="1:12" x14ac:dyDescent="0.25">
      <c r="A65" t="s">
        <v>238</v>
      </c>
      <c r="B65" t="s">
        <v>32</v>
      </c>
      <c r="C65">
        <v>0</v>
      </c>
      <c r="D65" t="s">
        <v>90</v>
      </c>
      <c r="E65" t="s">
        <v>239</v>
      </c>
      <c r="F65" t="s">
        <v>65</v>
      </c>
      <c r="G65" t="s">
        <v>66</v>
      </c>
      <c r="H65" t="s">
        <v>67</v>
      </c>
      <c r="I65" t="s">
        <v>68</v>
      </c>
      <c r="J65" t="s">
        <v>93</v>
      </c>
      <c r="K65" t="s">
        <v>94</v>
      </c>
    </row>
    <row r="66" spans="1:12" x14ac:dyDescent="0.25">
      <c r="A66" t="s">
        <v>240</v>
      </c>
      <c r="B66" t="s">
        <v>86</v>
      </c>
      <c r="C66" t="s">
        <v>106</v>
      </c>
      <c r="D66" t="s">
        <v>106</v>
      </c>
      <c r="E66" t="s">
        <v>241</v>
      </c>
      <c r="F66" t="s">
        <v>65</v>
      </c>
      <c r="G66" t="s">
        <v>66</v>
      </c>
      <c r="H66" t="s">
        <v>67</v>
      </c>
      <c r="I66" t="s">
        <v>68</v>
      </c>
      <c r="J66" t="s">
        <v>69</v>
      </c>
      <c r="K66" t="s">
        <v>94</v>
      </c>
    </row>
    <row r="67" spans="1:12" x14ac:dyDescent="0.25">
      <c r="A67" t="s">
        <v>242</v>
      </c>
      <c r="B67" t="s">
        <v>77</v>
      </c>
      <c r="C67">
        <v>1.5998961999999999E-2</v>
      </c>
      <c r="D67">
        <v>7.8125599999999996E-3</v>
      </c>
      <c r="E67" t="s">
        <v>243</v>
      </c>
      <c r="F67">
        <v>0</v>
      </c>
      <c r="G67">
        <v>1</v>
      </c>
      <c r="H67">
        <v>0.1</v>
      </c>
      <c r="I67" t="s">
        <v>68</v>
      </c>
      <c r="J67" t="s">
        <v>69</v>
      </c>
      <c r="K67" t="s">
        <v>94</v>
      </c>
    </row>
    <row r="68" spans="1:12" x14ac:dyDescent="0.25">
      <c r="A68" t="s">
        <v>244</v>
      </c>
      <c r="B68" t="s">
        <v>32</v>
      </c>
      <c r="C68">
        <v>24</v>
      </c>
      <c r="D68">
        <v>25</v>
      </c>
      <c r="E68" t="s">
        <v>245</v>
      </c>
      <c r="F68">
        <v>0</v>
      </c>
      <c r="G68">
        <v>1023</v>
      </c>
      <c r="H68" t="s">
        <v>67</v>
      </c>
      <c r="I68" t="s">
        <v>68</v>
      </c>
      <c r="J68" t="s">
        <v>69</v>
      </c>
      <c r="K68" t="s">
        <v>94</v>
      </c>
    </row>
    <row r="69" spans="1:12" x14ac:dyDescent="0.25">
      <c r="A69" t="s">
        <v>358</v>
      </c>
      <c r="B69" t="s">
        <v>77</v>
      </c>
      <c r="C69">
        <v>1.000007629</v>
      </c>
      <c r="D69">
        <v>1.000007629</v>
      </c>
      <c r="E69" t="s">
        <v>246</v>
      </c>
      <c r="F69">
        <v>0</v>
      </c>
      <c r="G69">
        <v>2</v>
      </c>
      <c r="H69" t="s">
        <v>67</v>
      </c>
      <c r="I69" t="s">
        <v>68</v>
      </c>
      <c r="J69" t="s">
        <v>69</v>
      </c>
      <c r="K69" t="s">
        <v>94</v>
      </c>
    </row>
    <row r="70" spans="1:12" x14ac:dyDescent="0.25">
      <c r="A70" t="s">
        <v>247</v>
      </c>
      <c r="B70" t="s">
        <v>61</v>
      </c>
      <c r="C70" t="s">
        <v>248</v>
      </c>
      <c r="D70" t="s">
        <v>249</v>
      </c>
      <c r="E70" t="s">
        <v>250</v>
      </c>
      <c r="F70" t="s">
        <v>65</v>
      </c>
      <c r="G70" t="s">
        <v>66</v>
      </c>
      <c r="H70" t="s">
        <v>67</v>
      </c>
      <c r="I70" t="s">
        <v>68</v>
      </c>
      <c r="J70" t="s">
        <v>69</v>
      </c>
      <c r="K70" t="s">
        <v>94</v>
      </c>
      <c r="L70" t="s">
        <v>251</v>
      </c>
    </row>
    <row r="71" spans="1:12" x14ac:dyDescent="0.25">
      <c r="A71" t="s">
        <v>252</v>
      </c>
      <c r="B71" t="s">
        <v>32</v>
      </c>
      <c r="C71">
        <v>16</v>
      </c>
      <c r="D71" t="s">
        <v>90</v>
      </c>
      <c r="E71" t="s">
        <v>253</v>
      </c>
      <c r="F71" t="s">
        <v>65</v>
      </c>
      <c r="G71" t="s">
        <v>66</v>
      </c>
      <c r="H71" t="s">
        <v>67</v>
      </c>
      <c r="I71" t="s">
        <v>68</v>
      </c>
      <c r="J71" t="s">
        <v>93</v>
      </c>
      <c r="K71" t="s">
        <v>94</v>
      </c>
    </row>
    <row r="72" spans="1:12" x14ac:dyDescent="0.25">
      <c r="A72" t="s">
        <v>254</v>
      </c>
      <c r="B72" t="s">
        <v>32</v>
      </c>
      <c r="C72">
        <v>0</v>
      </c>
      <c r="D72">
        <v>0</v>
      </c>
      <c r="E72" t="s">
        <v>255</v>
      </c>
      <c r="F72">
        <v>0</v>
      </c>
      <c r="G72">
        <v>4095</v>
      </c>
      <c r="H72" t="s">
        <v>67</v>
      </c>
      <c r="I72" t="s">
        <v>68</v>
      </c>
      <c r="J72" t="s">
        <v>69</v>
      </c>
      <c r="K72" t="s">
        <v>94</v>
      </c>
    </row>
    <row r="73" spans="1:12" x14ac:dyDescent="0.25">
      <c r="A73" t="s">
        <v>256</v>
      </c>
      <c r="B73" t="s">
        <v>32</v>
      </c>
      <c r="C73">
        <v>0</v>
      </c>
      <c r="D73">
        <v>0</v>
      </c>
      <c r="E73" t="s">
        <v>257</v>
      </c>
      <c r="F73">
        <v>0</v>
      </c>
      <c r="G73">
        <v>4095</v>
      </c>
      <c r="H73" t="s">
        <v>67</v>
      </c>
      <c r="I73" t="s">
        <v>68</v>
      </c>
      <c r="J73" t="s">
        <v>69</v>
      </c>
      <c r="K73" t="s">
        <v>94</v>
      </c>
    </row>
    <row r="74" spans="1:12" x14ac:dyDescent="0.25">
      <c r="A74" t="s">
        <v>258</v>
      </c>
      <c r="B74" t="s">
        <v>32</v>
      </c>
      <c r="C74">
        <v>0</v>
      </c>
      <c r="D74">
        <v>0</v>
      </c>
      <c r="E74" t="s">
        <v>255</v>
      </c>
      <c r="F74">
        <v>0</v>
      </c>
      <c r="G74">
        <v>4095</v>
      </c>
      <c r="H74" t="s">
        <v>67</v>
      </c>
      <c r="I74" t="s">
        <v>68</v>
      </c>
      <c r="J74" t="s">
        <v>69</v>
      </c>
      <c r="K74" t="s">
        <v>94</v>
      </c>
    </row>
    <row r="75" spans="1:12" x14ac:dyDescent="0.25">
      <c r="A75" t="s">
        <v>259</v>
      </c>
      <c r="B75" t="s">
        <v>32</v>
      </c>
      <c r="C75">
        <v>0</v>
      </c>
      <c r="D75">
        <v>0</v>
      </c>
      <c r="E75" t="s">
        <v>257</v>
      </c>
      <c r="F75">
        <v>0</v>
      </c>
      <c r="G75">
        <v>4095</v>
      </c>
      <c r="H75" t="s">
        <v>67</v>
      </c>
      <c r="I75" t="s">
        <v>68</v>
      </c>
      <c r="J75" t="s">
        <v>69</v>
      </c>
      <c r="K75" t="s">
        <v>94</v>
      </c>
    </row>
    <row r="76" spans="1:12" x14ac:dyDescent="0.25">
      <c r="A76" t="s">
        <v>260</v>
      </c>
      <c r="B76" t="s">
        <v>32</v>
      </c>
      <c r="C76">
        <v>0</v>
      </c>
      <c r="D76">
        <v>0</v>
      </c>
      <c r="E76" t="s">
        <v>255</v>
      </c>
      <c r="F76">
        <v>0</v>
      </c>
      <c r="G76">
        <v>4095</v>
      </c>
      <c r="H76" t="s">
        <v>67</v>
      </c>
      <c r="I76" t="s">
        <v>68</v>
      </c>
      <c r="J76" t="s">
        <v>69</v>
      </c>
      <c r="K76" t="s">
        <v>94</v>
      </c>
    </row>
    <row r="77" spans="1:12" x14ac:dyDescent="0.25">
      <c r="A77" t="s">
        <v>261</v>
      </c>
      <c r="B77" t="s">
        <v>32</v>
      </c>
      <c r="C77">
        <v>0</v>
      </c>
      <c r="D77">
        <v>0</v>
      </c>
      <c r="E77" t="s">
        <v>257</v>
      </c>
      <c r="F77">
        <v>0</v>
      </c>
      <c r="G77">
        <v>4095</v>
      </c>
      <c r="H77" t="s">
        <v>67</v>
      </c>
      <c r="I77" t="s">
        <v>68</v>
      </c>
      <c r="J77" t="s">
        <v>69</v>
      </c>
      <c r="K77" t="s">
        <v>94</v>
      </c>
    </row>
    <row r="78" spans="1:12" x14ac:dyDescent="0.25">
      <c r="A78" t="s">
        <v>262</v>
      </c>
      <c r="B78" t="s">
        <v>32</v>
      </c>
      <c r="C78">
        <v>0</v>
      </c>
      <c r="D78">
        <v>0</v>
      </c>
      <c r="E78" t="s">
        <v>255</v>
      </c>
      <c r="F78">
        <v>0</v>
      </c>
      <c r="G78">
        <v>4095</v>
      </c>
      <c r="H78" t="s">
        <v>67</v>
      </c>
      <c r="I78" t="s">
        <v>68</v>
      </c>
      <c r="J78" t="s">
        <v>69</v>
      </c>
      <c r="K78" t="s">
        <v>94</v>
      </c>
    </row>
    <row r="79" spans="1:12" x14ac:dyDescent="0.25">
      <c r="A79" t="s">
        <v>263</v>
      </c>
      <c r="B79" t="s">
        <v>32</v>
      </c>
      <c r="C79">
        <v>0</v>
      </c>
      <c r="D79">
        <v>0</v>
      </c>
      <c r="E79" t="s">
        <v>257</v>
      </c>
      <c r="F79">
        <v>0</v>
      </c>
      <c r="G79">
        <v>4095</v>
      </c>
      <c r="H79" t="s">
        <v>67</v>
      </c>
      <c r="I79" t="s">
        <v>68</v>
      </c>
      <c r="J79" t="s">
        <v>69</v>
      </c>
      <c r="K79" t="s">
        <v>94</v>
      </c>
    </row>
    <row r="80" spans="1:12" x14ac:dyDescent="0.25">
      <c r="A80" t="s">
        <v>264</v>
      </c>
      <c r="B80" t="s">
        <v>32</v>
      </c>
      <c r="C80">
        <v>0</v>
      </c>
      <c r="D80">
        <v>0</v>
      </c>
      <c r="E80" t="s">
        <v>255</v>
      </c>
      <c r="F80">
        <v>0</v>
      </c>
      <c r="G80">
        <v>4095</v>
      </c>
      <c r="H80" t="s">
        <v>67</v>
      </c>
      <c r="I80" t="s">
        <v>68</v>
      </c>
      <c r="J80" t="s">
        <v>69</v>
      </c>
      <c r="K80" t="s">
        <v>94</v>
      </c>
    </row>
    <row r="81" spans="1:11" x14ac:dyDescent="0.25">
      <c r="A81" t="s">
        <v>265</v>
      </c>
      <c r="B81" t="s">
        <v>32</v>
      </c>
      <c r="C81">
        <v>0</v>
      </c>
      <c r="D81">
        <v>0</v>
      </c>
      <c r="E81" t="s">
        <v>257</v>
      </c>
      <c r="F81">
        <v>0</v>
      </c>
      <c r="G81">
        <v>4095</v>
      </c>
      <c r="H81" t="s">
        <v>67</v>
      </c>
      <c r="I81" t="s">
        <v>68</v>
      </c>
      <c r="J81" t="s">
        <v>69</v>
      </c>
      <c r="K81" t="s">
        <v>94</v>
      </c>
    </row>
    <row r="82" spans="1:11" x14ac:dyDescent="0.25">
      <c r="A82" t="s">
        <v>266</v>
      </c>
      <c r="B82" t="s">
        <v>32</v>
      </c>
      <c r="C82">
        <v>0</v>
      </c>
      <c r="D82">
        <v>0</v>
      </c>
      <c r="E82" t="s">
        <v>255</v>
      </c>
      <c r="F82">
        <v>0</v>
      </c>
      <c r="G82">
        <v>4095</v>
      </c>
      <c r="H82" t="s">
        <v>67</v>
      </c>
      <c r="I82" t="s">
        <v>68</v>
      </c>
      <c r="J82" t="s">
        <v>69</v>
      </c>
      <c r="K82" t="s">
        <v>94</v>
      </c>
    </row>
    <row r="83" spans="1:11" x14ac:dyDescent="0.25">
      <c r="A83" t="s">
        <v>267</v>
      </c>
      <c r="B83" t="s">
        <v>32</v>
      </c>
      <c r="C83">
        <v>0</v>
      </c>
      <c r="D83">
        <v>0</v>
      </c>
      <c r="E83" t="s">
        <v>257</v>
      </c>
      <c r="F83">
        <v>0</v>
      </c>
      <c r="G83">
        <v>4095</v>
      </c>
      <c r="H83" t="s">
        <v>67</v>
      </c>
      <c r="I83" t="s">
        <v>68</v>
      </c>
      <c r="J83" t="s">
        <v>69</v>
      </c>
      <c r="K83" t="s">
        <v>94</v>
      </c>
    </row>
    <row r="84" spans="1:11" x14ac:dyDescent="0.25">
      <c r="A84" t="s">
        <v>268</v>
      </c>
      <c r="B84" t="s">
        <v>32</v>
      </c>
      <c r="C84">
        <v>0</v>
      </c>
      <c r="D84">
        <v>0</v>
      </c>
      <c r="E84" t="s">
        <v>255</v>
      </c>
      <c r="F84">
        <v>0</v>
      </c>
      <c r="G84">
        <v>4095</v>
      </c>
      <c r="H84" t="s">
        <v>67</v>
      </c>
      <c r="I84" t="s">
        <v>68</v>
      </c>
      <c r="J84" t="s">
        <v>69</v>
      </c>
      <c r="K84" t="s">
        <v>94</v>
      </c>
    </row>
    <row r="85" spans="1:11" x14ac:dyDescent="0.25">
      <c r="A85" t="s">
        <v>269</v>
      </c>
      <c r="B85" t="s">
        <v>32</v>
      </c>
      <c r="C85">
        <v>0</v>
      </c>
      <c r="D85">
        <v>0</v>
      </c>
      <c r="E85" t="s">
        <v>257</v>
      </c>
      <c r="F85">
        <v>0</v>
      </c>
      <c r="G85">
        <v>4095</v>
      </c>
      <c r="H85" t="s">
        <v>67</v>
      </c>
      <c r="I85" t="s">
        <v>68</v>
      </c>
      <c r="J85" t="s">
        <v>69</v>
      </c>
      <c r="K85" t="s">
        <v>94</v>
      </c>
    </row>
    <row r="86" spans="1:11" x14ac:dyDescent="0.25">
      <c r="A86" t="s">
        <v>270</v>
      </c>
      <c r="B86" t="s">
        <v>32</v>
      </c>
      <c r="C86">
        <v>0</v>
      </c>
      <c r="D86">
        <v>0</v>
      </c>
      <c r="E86" t="s">
        <v>255</v>
      </c>
      <c r="F86">
        <v>0</v>
      </c>
      <c r="G86">
        <v>4095</v>
      </c>
      <c r="H86" t="s">
        <v>67</v>
      </c>
      <c r="I86" t="s">
        <v>68</v>
      </c>
      <c r="J86" t="s">
        <v>69</v>
      </c>
      <c r="K86" t="s">
        <v>94</v>
      </c>
    </row>
    <row r="87" spans="1:11" x14ac:dyDescent="0.25">
      <c r="A87" t="s">
        <v>271</v>
      </c>
      <c r="B87" t="s">
        <v>32</v>
      </c>
      <c r="C87">
        <v>0</v>
      </c>
      <c r="D87">
        <v>0</v>
      </c>
      <c r="E87" t="s">
        <v>257</v>
      </c>
      <c r="F87">
        <v>0</v>
      </c>
      <c r="G87">
        <v>4095</v>
      </c>
      <c r="H87" t="s">
        <v>67</v>
      </c>
      <c r="I87" t="s">
        <v>68</v>
      </c>
      <c r="J87" t="s">
        <v>69</v>
      </c>
      <c r="K87" t="s">
        <v>94</v>
      </c>
    </row>
    <row r="88" spans="1:11" x14ac:dyDescent="0.25">
      <c r="A88" t="s">
        <v>272</v>
      </c>
      <c r="B88" t="s">
        <v>32</v>
      </c>
      <c r="C88">
        <v>0</v>
      </c>
      <c r="D88">
        <v>0</v>
      </c>
      <c r="E88" t="s">
        <v>255</v>
      </c>
      <c r="F88">
        <v>0</v>
      </c>
      <c r="G88">
        <v>4095</v>
      </c>
      <c r="H88" t="s">
        <v>67</v>
      </c>
      <c r="I88" t="s">
        <v>68</v>
      </c>
      <c r="J88" t="s">
        <v>69</v>
      </c>
      <c r="K88" t="s">
        <v>94</v>
      </c>
    </row>
    <row r="89" spans="1:11" x14ac:dyDescent="0.25">
      <c r="A89" t="s">
        <v>273</v>
      </c>
      <c r="B89" t="s">
        <v>32</v>
      </c>
      <c r="C89">
        <v>0</v>
      </c>
      <c r="D89">
        <v>0</v>
      </c>
      <c r="E89" t="s">
        <v>257</v>
      </c>
      <c r="F89">
        <v>0</v>
      </c>
      <c r="G89">
        <v>4095</v>
      </c>
      <c r="H89" t="s">
        <v>67</v>
      </c>
      <c r="I89" t="s">
        <v>68</v>
      </c>
      <c r="J89" t="s">
        <v>69</v>
      </c>
      <c r="K89" t="s">
        <v>94</v>
      </c>
    </row>
    <row r="90" spans="1:11" x14ac:dyDescent="0.25">
      <c r="A90" t="s">
        <v>274</v>
      </c>
      <c r="B90" t="s">
        <v>32</v>
      </c>
      <c r="C90">
        <v>0</v>
      </c>
      <c r="D90">
        <v>0</v>
      </c>
      <c r="E90" t="s">
        <v>255</v>
      </c>
      <c r="F90">
        <v>0</v>
      </c>
      <c r="G90">
        <v>4095</v>
      </c>
      <c r="H90" t="s">
        <v>67</v>
      </c>
      <c r="I90" t="s">
        <v>68</v>
      </c>
      <c r="J90" t="s">
        <v>69</v>
      </c>
      <c r="K90" t="s">
        <v>94</v>
      </c>
    </row>
    <row r="91" spans="1:11" x14ac:dyDescent="0.25">
      <c r="A91" t="s">
        <v>275</v>
      </c>
      <c r="B91" t="s">
        <v>32</v>
      </c>
      <c r="C91">
        <v>0</v>
      </c>
      <c r="D91">
        <v>0</v>
      </c>
      <c r="E91" t="s">
        <v>257</v>
      </c>
      <c r="F91">
        <v>0</v>
      </c>
      <c r="G91">
        <v>4095</v>
      </c>
      <c r="H91" t="s">
        <v>67</v>
      </c>
      <c r="I91" t="s">
        <v>68</v>
      </c>
      <c r="J91" t="s">
        <v>69</v>
      </c>
      <c r="K91" t="s">
        <v>94</v>
      </c>
    </row>
    <row r="92" spans="1:11" x14ac:dyDescent="0.25">
      <c r="A92" t="s">
        <v>276</v>
      </c>
      <c r="B92" t="s">
        <v>32</v>
      </c>
      <c r="C92">
        <v>0</v>
      </c>
      <c r="D92">
        <v>0</v>
      </c>
      <c r="E92" t="s">
        <v>255</v>
      </c>
      <c r="F92">
        <v>0</v>
      </c>
      <c r="G92">
        <v>4095</v>
      </c>
      <c r="H92" t="s">
        <v>67</v>
      </c>
      <c r="I92" t="s">
        <v>68</v>
      </c>
      <c r="J92" t="s">
        <v>69</v>
      </c>
      <c r="K92" t="s">
        <v>94</v>
      </c>
    </row>
    <row r="93" spans="1:11" x14ac:dyDescent="0.25">
      <c r="A93" t="s">
        <v>277</v>
      </c>
      <c r="B93" t="s">
        <v>32</v>
      </c>
      <c r="C93">
        <v>0</v>
      </c>
      <c r="D93">
        <v>0</v>
      </c>
      <c r="E93" t="s">
        <v>257</v>
      </c>
      <c r="F93">
        <v>0</v>
      </c>
      <c r="G93">
        <v>4095</v>
      </c>
      <c r="H93" t="s">
        <v>67</v>
      </c>
      <c r="I93" t="s">
        <v>68</v>
      </c>
      <c r="J93" t="s">
        <v>69</v>
      </c>
      <c r="K93" t="s">
        <v>94</v>
      </c>
    </row>
    <row r="94" spans="1:11" x14ac:dyDescent="0.25">
      <c r="A94" t="s">
        <v>278</v>
      </c>
      <c r="B94" t="s">
        <v>32</v>
      </c>
      <c r="C94">
        <v>0</v>
      </c>
      <c r="D94">
        <v>0</v>
      </c>
      <c r="E94" t="s">
        <v>255</v>
      </c>
      <c r="F94">
        <v>0</v>
      </c>
      <c r="G94">
        <v>4095</v>
      </c>
      <c r="H94" t="s">
        <v>67</v>
      </c>
      <c r="I94" t="s">
        <v>68</v>
      </c>
      <c r="J94" t="s">
        <v>69</v>
      </c>
      <c r="K94" t="s">
        <v>94</v>
      </c>
    </row>
    <row r="95" spans="1:11" x14ac:dyDescent="0.25">
      <c r="A95" t="s">
        <v>279</v>
      </c>
      <c r="B95" t="s">
        <v>32</v>
      </c>
      <c r="C95">
        <v>0</v>
      </c>
      <c r="D95">
        <v>0</v>
      </c>
      <c r="E95" t="s">
        <v>257</v>
      </c>
      <c r="F95">
        <v>0</v>
      </c>
      <c r="G95">
        <v>4095</v>
      </c>
      <c r="H95" t="s">
        <v>67</v>
      </c>
      <c r="I95" t="s">
        <v>68</v>
      </c>
      <c r="J95" t="s">
        <v>69</v>
      </c>
      <c r="K95" t="s">
        <v>94</v>
      </c>
    </row>
    <row r="96" spans="1:11" x14ac:dyDescent="0.25">
      <c r="A96" t="s">
        <v>280</v>
      </c>
      <c r="B96" t="s">
        <v>32</v>
      </c>
      <c r="C96">
        <v>0</v>
      </c>
      <c r="D96">
        <v>0</v>
      </c>
      <c r="E96" t="s">
        <v>255</v>
      </c>
      <c r="F96">
        <v>0</v>
      </c>
      <c r="G96">
        <v>4095</v>
      </c>
      <c r="H96" t="s">
        <v>67</v>
      </c>
      <c r="I96" t="s">
        <v>68</v>
      </c>
      <c r="J96" t="s">
        <v>69</v>
      </c>
      <c r="K96" t="s">
        <v>94</v>
      </c>
    </row>
    <row r="97" spans="1:11" x14ac:dyDescent="0.25">
      <c r="A97" t="s">
        <v>281</v>
      </c>
      <c r="B97" t="s">
        <v>32</v>
      </c>
      <c r="C97">
        <v>0</v>
      </c>
      <c r="D97">
        <v>0</v>
      </c>
      <c r="E97" t="s">
        <v>257</v>
      </c>
      <c r="F97">
        <v>0</v>
      </c>
      <c r="G97">
        <v>4095</v>
      </c>
      <c r="H97" t="s">
        <v>67</v>
      </c>
      <c r="I97" t="s">
        <v>68</v>
      </c>
      <c r="J97" t="s">
        <v>69</v>
      </c>
      <c r="K97" t="s">
        <v>94</v>
      </c>
    </row>
    <row r="98" spans="1:11" x14ac:dyDescent="0.25">
      <c r="A98" t="s">
        <v>282</v>
      </c>
      <c r="B98" t="s">
        <v>32</v>
      </c>
      <c r="C98">
        <v>0</v>
      </c>
      <c r="D98">
        <v>0</v>
      </c>
      <c r="E98" t="s">
        <v>255</v>
      </c>
      <c r="F98">
        <v>0</v>
      </c>
      <c r="G98">
        <v>4095</v>
      </c>
      <c r="H98" t="s">
        <v>67</v>
      </c>
      <c r="I98" t="s">
        <v>68</v>
      </c>
      <c r="J98" t="s">
        <v>69</v>
      </c>
      <c r="K98" t="s">
        <v>94</v>
      </c>
    </row>
    <row r="99" spans="1:11" x14ac:dyDescent="0.25">
      <c r="A99" t="s">
        <v>283</v>
      </c>
      <c r="B99" t="s">
        <v>32</v>
      </c>
      <c r="C99">
        <v>0</v>
      </c>
      <c r="D99">
        <v>0</v>
      </c>
      <c r="E99" t="s">
        <v>257</v>
      </c>
      <c r="F99">
        <v>0</v>
      </c>
      <c r="G99">
        <v>4095</v>
      </c>
      <c r="H99" t="s">
        <v>67</v>
      </c>
      <c r="I99" t="s">
        <v>68</v>
      </c>
      <c r="J99" t="s">
        <v>69</v>
      </c>
      <c r="K99" t="s">
        <v>94</v>
      </c>
    </row>
    <row r="100" spans="1:11" x14ac:dyDescent="0.25">
      <c r="A100" t="s">
        <v>284</v>
      </c>
      <c r="B100" t="s">
        <v>32</v>
      </c>
      <c r="C100">
        <v>0</v>
      </c>
      <c r="D100">
        <v>0</v>
      </c>
      <c r="E100" t="s">
        <v>255</v>
      </c>
      <c r="F100">
        <v>0</v>
      </c>
      <c r="G100">
        <v>4095</v>
      </c>
      <c r="H100" t="s">
        <v>67</v>
      </c>
      <c r="I100" t="s">
        <v>68</v>
      </c>
      <c r="J100" t="s">
        <v>69</v>
      </c>
      <c r="K100" t="s">
        <v>94</v>
      </c>
    </row>
    <row r="101" spans="1:11" x14ac:dyDescent="0.25">
      <c r="A101" t="s">
        <v>285</v>
      </c>
      <c r="B101" t="s">
        <v>32</v>
      </c>
      <c r="C101">
        <v>0</v>
      </c>
      <c r="D101">
        <v>0</v>
      </c>
      <c r="E101" t="s">
        <v>257</v>
      </c>
      <c r="F101">
        <v>0</v>
      </c>
      <c r="G101">
        <v>4095</v>
      </c>
      <c r="H101" t="s">
        <v>67</v>
      </c>
      <c r="I101" t="s">
        <v>68</v>
      </c>
      <c r="J101" t="s">
        <v>69</v>
      </c>
      <c r="K101" t="s">
        <v>94</v>
      </c>
    </row>
    <row r="102" spans="1:11" x14ac:dyDescent="0.25">
      <c r="A102" t="s">
        <v>286</v>
      </c>
      <c r="B102" t="s">
        <v>32</v>
      </c>
      <c r="C102">
        <v>0</v>
      </c>
      <c r="D102">
        <v>0</v>
      </c>
      <c r="E102" t="s">
        <v>255</v>
      </c>
      <c r="F102">
        <v>0</v>
      </c>
      <c r="G102">
        <v>4095</v>
      </c>
      <c r="H102" t="s">
        <v>67</v>
      </c>
      <c r="I102" t="s">
        <v>68</v>
      </c>
      <c r="J102" t="s">
        <v>69</v>
      </c>
      <c r="K102" t="s">
        <v>94</v>
      </c>
    </row>
    <row r="103" spans="1:11" x14ac:dyDescent="0.25">
      <c r="A103" t="s">
        <v>287</v>
      </c>
      <c r="B103" t="s">
        <v>32</v>
      </c>
      <c r="C103">
        <v>0</v>
      </c>
      <c r="D103">
        <v>0</v>
      </c>
      <c r="E103" t="s">
        <v>257</v>
      </c>
      <c r="F103">
        <v>0</v>
      </c>
      <c r="G103">
        <v>4095</v>
      </c>
      <c r="H103" t="s">
        <v>67</v>
      </c>
      <c r="I103" t="s">
        <v>68</v>
      </c>
      <c r="J103" t="s">
        <v>69</v>
      </c>
      <c r="K103" t="s">
        <v>94</v>
      </c>
    </row>
    <row r="104" spans="1:11" x14ac:dyDescent="0.25">
      <c r="A104" t="s">
        <v>288</v>
      </c>
      <c r="B104" t="s">
        <v>41</v>
      </c>
      <c r="C104" t="s">
        <v>289</v>
      </c>
      <c r="D104">
        <v>0</v>
      </c>
      <c r="E104" t="s">
        <v>255</v>
      </c>
      <c r="F104">
        <v>0</v>
      </c>
      <c r="G104">
        <v>4095</v>
      </c>
      <c r="H104" t="s">
        <v>67</v>
      </c>
      <c r="I104" t="s">
        <v>68</v>
      </c>
      <c r="J104" t="s">
        <v>69</v>
      </c>
      <c r="K104" t="s">
        <v>94</v>
      </c>
    </row>
    <row r="105" spans="1:11" x14ac:dyDescent="0.25">
      <c r="A105" t="s">
        <v>290</v>
      </c>
      <c r="B105" t="s">
        <v>41</v>
      </c>
      <c r="C105" t="s">
        <v>289</v>
      </c>
      <c r="D105">
        <v>0</v>
      </c>
      <c r="E105" t="s">
        <v>257</v>
      </c>
      <c r="F105">
        <v>0</v>
      </c>
      <c r="G105">
        <v>4095</v>
      </c>
      <c r="H105" t="s">
        <v>67</v>
      </c>
      <c r="I105" t="s">
        <v>68</v>
      </c>
      <c r="J105" t="s">
        <v>69</v>
      </c>
      <c r="K105" t="s">
        <v>94</v>
      </c>
    </row>
    <row r="106" spans="1:11" x14ac:dyDescent="0.25">
      <c r="A106" t="s">
        <v>291</v>
      </c>
      <c r="B106" t="s">
        <v>41</v>
      </c>
      <c r="C106" t="s">
        <v>289</v>
      </c>
      <c r="D106">
        <v>0</v>
      </c>
      <c r="E106" t="s">
        <v>255</v>
      </c>
      <c r="F106">
        <v>0</v>
      </c>
      <c r="G106">
        <v>4095</v>
      </c>
      <c r="H106" t="s">
        <v>67</v>
      </c>
      <c r="I106" t="s">
        <v>68</v>
      </c>
      <c r="J106" t="s">
        <v>69</v>
      </c>
      <c r="K106" t="s">
        <v>94</v>
      </c>
    </row>
    <row r="107" spans="1:11" x14ac:dyDescent="0.25">
      <c r="A107" t="s">
        <v>292</v>
      </c>
      <c r="B107" t="s">
        <v>41</v>
      </c>
      <c r="C107" t="s">
        <v>289</v>
      </c>
      <c r="D107">
        <v>0</v>
      </c>
      <c r="E107" t="s">
        <v>257</v>
      </c>
      <c r="F107">
        <v>0</v>
      </c>
      <c r="G107">
        <v>4095</v>
      </c>
      <c r="H107" t="s">
        <v>67</v>
      </c>
      <c r="I107" t="s">
        <v>68</v>
      </c>
      <c r="J107" t="s">
        <v>69</v>
      </c>
      <c r="K107" t="s">
        <v>94</v>
      </c>
    </row>
    <row r="108" spans="1:11" x14ac:dyDescent="0.25">
      <c r="A108" t="s">
        <v>293</v>
      </c>
      <c r="B108" t="s">
        <v>41</v>
      </c>
      <c r="C108" t="s">
        <v>289</v>
      </c>
      <c r="D108">
        <v>0</v>
      </c>
      <c r="E108" t="s">
        <v>255</v>
      </c>
      <c r="F108">
        <v>0</v>
      </c>
      <c r="G108">
        <v>4095</v>
      </c>
      <c r="H108" t="s">
        <v>67</v>
      </c>
      <c r="I108" t="s">
        <v>68</v>
      </c>
      <c r="J108" t="s">
        <v>69</v>
      </c>
      <c r="K108" t="s">
        <v>94</v>
      </c>
    </row>
    <row r="109" spans="1:11" x14ac:dyDescent="0.25">
      <c r="A109" t="s">
        <v>294</v>
      </c>
      <c r="B109" t="s">
        <v>41</v>
      </c>
      <c r="C109" t="s">
        <v>289</v>
      </c>
      <c r="D109">
        <v>0</v>
      </c>
      <c r="E109" t="s">
        <v>257</v>
      </c>
      <c r="F109">
        <v>0</v>
      </c>
      <c r="G109">
        <v>4095</v>
      </c>
      <c r="H109" t="s">
        <v>67</v>
      </c>
      <c r="I109" t="s">
        <v>68</v>
      </c>
      <c r="J109" t="s">
        <v>69</v>
      </c>
      <c r="K109" t="s">
        <v>94</v>
      </c>
    </row>
    <row r="110" spans="1:11" x14ac:dyDescent="0.25">
      <c r="A110" t="s">
        <v>295</v>
      </c>
      <c r="B110" t="s">
        <v>41</v>
      </c>
      <c r="C110" t="s">
        <v>289</v>
      </c>
      <c r="D110">
        <v>0</v>
      </c>
      <c r="E110" t="s">
        <v>255</v>
      </c>
      <c r="F110">
        <v>0</v>
      </c>
      <c r="G110">
        <v>4095</v>
      </c>
      <c r="H110" t="s">
        <v>67</v>
      </c>
      <c r="I110" t="s">
        <v>68</v>
      </c>
      <c r="J110" t="s">
        <v>69</v>
      </c>
      <c r="K110" t="s">
        <v>94</v>
      </c>
    </row>
    <row r="111" spans="1:11" x14ac:dyDescent="0.25">
      <c r="A111" t="s">
        <v>296</v>
      </c>
      <c r="B111" t="s">
        <v>41</v>
      </c>
      <c r="C111" t="s">
        <v>289</v>
      </c>
      <c r="D111">
        <v>0</v>
      </c>
      <c r="E111" t="s">
        <v>257</v>
      </c>
      <c r="F111">
        <v>0</v>
      </c>
      <c r="G111">
        <v>4095</v>
      </c>
      <c r="H111" t="s">
        <v>67</v>
      </c>
      <c r="I111" t="s">
        <v>68</v>
      </c>
      <c r="J111" t="s">
        <v>69</v>
      </c>
      <c r="K111" t="s">
        <v>94</v>
      </c>
    </row>
    <row r="112" spans="1:11" x14ac:dyDescent="0.25">
      <c r="A112" t="s">
        <v>297</v>
      </c>
      <c r="B112" t="s">
        <v>41</v>
      </c>
      <c r="C112" t="s">
        <v>289</v>
      </c>
      <c r="D112">
        <v>0</v>
      </c>
      <c r="E112" t="s">
        <v>255</v>
      </c>
      <c r="F112">
        <v>0</v>
      </c>
      <c r="G112">
        <v>4095</v>
      </c>
      <c r="H112" t="s">
        <v>67</v>
      </c>
      <c r="I112" t="s">
        <v>68</v>
      </c>
      <c r="J112" t="s">
        <v>69</v>
      </c>
      <c r="K112" t="s">
        <v>94</v>
      </c>
    </row>
    <row r="113" spans="1:12" x14ac:dyDescent="0.25">
      <c r="A113" t="s">
        <v>298</v>
      </c>
      <c r="B113" t="s">
        <v>41</v>
      </c>
      <c r="C113" t="s">
        <v>289</v>
      </c>
      <c r="D113">
        <v>0</v>
      </c>
      <c r="E113" t="s">
        <v>257</v>
      </c>
      <c r="F113">
        <v>0</v>
      </c>
      <c r="G113">
        <v>4095</v>
      </c>
      <c r="H113" t="s">
        <v>67</v>
      </c>
      <c r="I113" t="s">
        <v>68</v>
      </c>
      <c r="J113" t="s">
        <v>69</v>
      </c>
      <c r="K113" t="s">
        <v>94</v>
      </c>
    </row>
    <row r="114" spans="1:12" x14ac:dyDescent="0.25">
      <c r="A114" t="s">
        <v>299</v>
      </c>
      <c r="B114" t="s">
        <v>41</v>
      </c>
      <c r="C114" t="s">
        <v>289</v>
      </c>
      <c r="D114">
        <v>0</v>
      </c>
      <c r="E114" t="s">
        <v>255</v>
      </c>
      <c r="F114">
        <v>0</v>
      </c>
      <c r="G114">
        <v>4095</v>
      </c>
      <c r="H114" t="s">
        <v>67</v>
      </c>
      <c r="I114" t="s">
        <v>68</v>
      </c>
      <c r="J114" t="s">
        <v>69</v>
      </c>
      <c r="K114" t="s">
        <v>94</v>
      </c>
    </row>
    <row r="115" spans="1:12" x14ac:dyDescent="0.25">
      <c r="A115" t="s">
        <v>300</v>
      </c>
      <c r="B115" t="s">
        <v>41</v>
      </c>
      <c r="C115" t="s">
        <v>289</v>
      </c>
      <c r="D115">
        <v>0</v>
      </c>
      <c r="E115" t="s">
        <v>257</v>
      </c>
      <c r="F115">
        <v>0</v>
      </c>
      <c r="G115">
        <v>4095</v>
      </c>
      <c r="H115" t="s">
        <v>67</v>
      </c>
      <c r="I115" t="s">
        <v>68</v>
      </c>
      <c r="J115" t="s">
        <v>69</v>
      </c>
      <c r="K115" t="s">
        <v>94</v>
      </c>
    </row>
    <row r="116" spans="1:12" x14ac:dyDescent="0.25">
      <c r="A116" t="s">
        <v>301</v>
      </c>
      <c r="B116" t="s">
        <v>41</v>
      </c>
      <c r="C116" t="s">
        <v>289</v>
      </c>
      <c r="D116">
        <v>0</v>
      </c>
      <c r="E116" t="s">
        <v>255</v>
      </c>
      <c r="F116">
        <v>0</v>
      </c>
      <c r="G116">
        <v>4095</v>
      </c>
      <c r="H116" t="s">
        <v>67</v>
      </c>
      <c r="I116" t="s">
        <v>68</v>
      </c>
      <c r="J116" t="s">
        <v>69</v>
      </c>
      <c r="K116" t="s">
        <v>94</v>
      </c>
    </row>
    <row r="117" spans="1:12" x14ac:dyDescent="0.25">
      <c r="A117" t="s">
        <v>302</v>
      </c>
      <c r="B117" t="s">
        <v>41</v>
      </c>
      <c r="C117" t="s">
        <v>289</v>
      </c>
      <c r="D117">
        <v>0</v>
      </c>
      <c r="E117" t="s">
        <v>257</v>
      </c>
      <c r="F117">
        <v>0</v>
      </c>
      <c r="G117">
        <v>4095</v>
      </c>
      <c r="H117" t="s">
        <v>67</v>
      </c>
      <c r="I117" t="s">
        <v>68</v>
      </c>
      <c r="J117" t="s">
        <v>69</v>
      </c>
      <c r="K117" t="s">
        <v>94</v>
      </c>
    </row>
    <row r="118" spans="1:12" x14ac:dyDescent="0.25">
      <c r="A118" t="s">
        <v>303</v>
      </c>
      <c r="B118" t="s">
        <v>41</v>
      </c>
      <c r="C118" t="s">
        <v>289</v>
      </c>
      <c r="D118">
        <v>0</v>
      </c>
      <c r="E118" t="s">
        <v>255</v>
      </c>
      <c r="F118">
        <v>0</v>
      </c>
      <c r="G118">
        <v>4095</v>
      </c>
      <c r="H118" t="s">
        <v>67</v>
      </c>
      <c r="I118" t="s">
        <v>68</v>
      </c>
      <c r="J118" t="s">
        <v>69</v>
      </c>
      <c r="K118" t="s">
        <v>94</v>
      </c>
    </row>
    <row r="119" spans="1:12" x14ac:dyDescent="0.25">
      <c r="A119" t="s">
        <v>304</v>
      </c>
      <c r="B119" t="s">
        <v>41</v>
      </c>
      <c r="C119" t="s">
        <v>289</v>
      </c>
      <c r="D119">
        <v>0</v>
      </c>
      <c r="E119" t="s">
        <v>257</v>
      </c>
      <c r="F119">
        <v>0</v>
      </c>
      <c r="G119">
        <v>4095</v>
      </c>
      <c r="H119" t="s">
        <v>67</v>
      </c>
      <c r="I119" t="s">
        <v>68</v>
      </c>
      <c r="J119" t="s">
        <v>69</v>
      </c>
      <c r="K119" t="s">
        <v>94</v>
      </c>
    </row>
    <row r="120" spans="1:12" x14ac:dyDescent="0.25">
      <c r="A120" t="s">
        <v>305</v>
      </c>
      <c r="B120" t="s">
        <v>86</v>
      </c>
      <c r="C120" t="s">
        <v>106</v>
      </c>
      <c r="D120" t="s">
        <v>87</v>
      </c>
      <c r="E120" t="s">
        <v>306</v>
      </c>
      <c r="F120" t="s">
        <v>65</v>
      </c>
      <c r="G120" t="s">
        <v>66</v>
      </c>
      <c r="H120" t="s">
        <v>67</v>
      </c>
      <c r="I120" t="s">
        <v>68</v>
      </c>
      <c r="J120" t="s">
        <v>69</v>
      </c>
      <c r="K120" t="s">
        <v>180</v>
      </c>
    </row>
    <row r="121" spans="1:12" x14ac:dyDescent="0.25">
      <c r="A121" t="s">
        <v>307</v>
      </c>
      <c r="B121" t="s">
        <v>61</v>
      </c>
      <c r="C121" t="s">
        <v>308</v>
      </c>
      <c r="D121" t="s">
        <v>309</v>
      </c>
      <c r="E121" t="s">
        <v>310</v>
      </c>
      <c r="F121" t="s">
        <v>65</v>
      </c>
      <c r="G121" t="s">
        <v>66</v>
      </c>
      <c r="H121" t="s">
        <v>67</v>
      </c>
      <c r="I121" t="s">
        <v>68</v>
      </c>
      <c r="J121" t="s">
        <v>69</v>
      </c>
      <c r="K121" t="s">
        <v>180</v>
      </c>
      <c r="L121" t="s">
        <v>311</v>
      </c>
    </row>
    <row r="122" spans="1:12" x14ac:dyDescent="0.25">
      <c r="A122" t="s">
        <v>312</v>
      </c>
      <c r="B122" t="s">
        <v>32</v>
      </c>
      <c r="C122">
        <v>5</v>
      </c>
      <c r="D122">
        <v>0</v>
      </c>
      <c r="E122" t="s">
        <v>313</v>
      </c>
      <c r="F122">
        <v>0</v>
      </c>
      <c r="G122">
        <v>16777215</v>
      </c>
      <c r="H122" t="s">
        <v>67</v>
      </c>
      <c r="I122" t="s">
        <v>68</v>
      </c>
      <c r="J122" t="s">
        <v>69</v>
      </c>
      <c r="K122" t="s">
        <v>180</v>
      </c>
    </row>
    <row r="123" spans="1:12" x14ac:dyDescent="0.25">
      <c r="A123" t="s">
        <v>314</v>
      </c>
      <c r="B123" t="s">
        <v>32</v>
      </c>
      <c r="C123">
        <v>10</v>
      </c>
      <c r="D123">
        <v>0</v>
      </c>
      <c r="E123" t="s">
        <v>315</v>
      </c>
      <c r="F123">
        <v>0</v>
      </c>
      <c r="G123">
        <v>16777215</v>
      </c>
      <c r="H123" t="s">
        <v>67</v>
      </c>
      <c r="I123" t="s">
        <v>68</v>
      </c>
      <c r="J123" t="s">
        <v>69</v>
      </c>
      <c r="K123" t="s">
        <v>180</v>
      </c>
    </row>
    <row r="124" spans="1:12" x14ac:dyDescent="0.25">
      <c r="A124" t="s">
        <v>316</v>
      </c>
      <c r="B124" t="s">
        <v>32</v>
      </c>
      <c r="C124">
        <v>0</v>
      </c>
      <c r="D124">
        <v>0</v>
      </c>
      <c r="E124" t="s">
        <v>317</v>
      </c>
      <c r="F124">
        <v>0</v>
      </c>
      <c r="G124">
        <v>16777215</v>
      </c>
      <c r="H124" t="s">
        <v>67</v>
      </c>
      <c r="I124" t="s">
        <v>68</v>
      </c>
      <c r="J124" t="s">
        <v>69</v>
      </c>
      <c r="K124" t="s">
        <v>180</v>
      </c>
    </row>
    <row r="125" spans="1:12" x14ac:dyDescent="0.25">
      <c r="A125" t="s">
        <v>318</v>
      </c>
      <c r="B125" t="s">
        <v>86</v>
      </c>
      <c r="C125" t="s">
        <v>106</v>
      </c>
      <c r="D125" t="s">
        <v>87</v>
      </c>
      <c r="E125" t="s">
        <v>306</v>
      </c>
      <c r="F125" t="s">
        <v>65</v>
      </c>
      <c r="G125" t="s">
        <v>66</v>
      </c>
      <c r="H125" t="s">
        <v>67</v>
      </c>
      <c r="I125" t="s">
        <v>68</v>
      </c>
      <c r="J125" t="s">
        <v>69</v>
      </c>
      <c r="K125" t="s">
        <v>180</v>
      </c>
    </row>
    <row r="126" spans="1:12" x14ac:dyDescent="0.25">
      <c r="A126" t="s">
        <v>319</v>
      </c>
      <c r="B126" t="s">
        <v>61</v>
      </c>
      <c r="C126" t="s">
        <v>308</v>
      </c>
      <c r="D126" t="s">
        <v>309</v>
      </c>
      <c r="E126" t="s">
        <v>310</v>
      </c>
      <c r="F126" t="s">
        <v>65</v>
      </c>
      <c r="G126" t="s">
        <v>66</v>
      </c>
      <c r="H126" t="s">
        <v>67</v>
      </c>
      <c r="I126" t="s">
        <v>68</v>
      </c>
      <c r="J126" t="s">
        <v>69</v>
      </c>
      <c r="K126" t="s">
        <v>180</v>
      </c>
      <c r="L126" t="s">
        <v>311</v>
      </c>
    </row>
    <row r="127" spans="1:12" x14ac:dyDescent="0.25">
      <c r="A127" t="s">
        <v>320</v>
      </c>
      <c r="B127" t="s">
        <v>32</v>
      </c>
      <c r="C127">
        <v>5</v>
      </c>
      <c r="D127">
        <v>0</v>
      </c>
      <c r="E127" t="s">
        <v>313</v>
      </c>
      <c r="F127">
        <v>0</v>
      </c>
      <c r="G127">
        <v>16777215</v>
      </c>
      <c r="H127" t="s">
        <v>67</v>
      </c>
      <c r="I127" t="s">
        <v>68</v>
      </c>
      <c r="J127" t="s">
        <v>69</v>
      </c>
      <c r="K127" t="s">
        <v>180</v>
      </c>
    </row>
    <row r="128" spans="1:12" x14ac:dyDescent="0.25">
      <c r="A128" t="s">
        <v>321</v>
      </c>
      <c r="B128" t="s">
        <v>32</v>
      </c>
      <c r="C128">
        <v>10</v>
      </c>
      <c r="D128">
        <v>0</v>
      </c>
      <c r="E128" t="s">
        <v>315</v>
      </c>
      <c r="F128">
        <v>0</v>
      </c>
      <c r="G128">
        <v>16777215</v>
      </c>
      <c r="H128" t="s">
        <v>67</v>
      </c>
      <c r="I128" t="s">
        <v>68</v>
      </c>
      <c r="J128" t="s">
        <v>69</v>
      </c>
      <c r="K128" t="s">
        <v>180</v>
      </c>
    </row>
    <row r="129" spans="1:12" x14ac:dyDescent="0.25">
      <c r="A129" t="s">
        <v>322</v>
      </c>
      <c r="B129" t="s">
        <v>32</v>
      </c>
      <c r="C129">
        <v>0</v>
      </c>
      <c r="D129">
        <v>0</v>
      </c>
      <c r="E129" t="s">
        <v>317</v>
      </c>
      <c r="F129">
        <v>0</v>
      </c>
      <c r="G129">
        <v>16777215</v>
      </c>
      <c r="H129" t="s">
        <v>67</v>
      </c>
      <c r="I129" t="s">
        <v>68</v>
      </c>
      <c r="J129" t="s">
        <v>69</v>
      </c>
      <c r="K129" t="s">
        <v>180</v>
      </c>
    </row>
    <row r="130" spans="1:12" x14ac:dyDescent="0.25">
      <c r="A130" t="s">
        <v>323</v>
      </c>
      <c r="B130" t="s">
        <v>86</v>
      </c>
      <c r="C130" t="s">
        <v>106</v>
      </c>
      <c r="D130" t="s">
        <v>87</v>
      </c>
      <c r="E130" t="s">
        <v>306</v>
      </c>
      <c r="F130" t="s">
        <v>65</v>
      </c>
      <c r="G130" t="s">
        <v>66</v>
      </c>
      <c r="H130" t="s">
        <v>67</v>
      </c>
      <c r="I130" t="s">
        <v>68</v>
      </c>
      <c r="J130" t="s">
        <v>69</v>
      </c>
      <c r="K130" t="s">
        <v>180</v>
      </c>
    </row>
    <row r="131" spans="1:12" x14ac:dyDescent="0.25">
      <c r="A131" t="s">
        <v>324</v>
      </c>
      <c r="B131" t="s">
        <v>61</v>
      </c>
      <c r="C131" t="s">
        <v>308</v>
      </c>
      <c r="D131" t="s">
        <v>309</v>
      </c>
      <c r="E131" t="s">
        <v>310</v>
      </c>
      <c r="F131" t="s">
        <v>65</v>
      </c>
      <c r="G131" t="s">
        <v>66</v>
      </c>
      <c r="H131" t="s">
        <v>67</v>
      </c>
      <c r="I131" t="s">
        <v>68</v>
      </c>
      <c r="J131" t="s">
        <v>69</v>
      </c>
      <c r="K131" t="s">
        <v>180</v>
      </c>
      <c r="L131" t="s">
        <v>311</v>
      </c>
    </row>
    <row r="132" spans="1:12" x14ac:dyDescent="0.25">
      <c r="A132" t="s">
        <v>325</v>
      </c>
      <c r="B132" t="s">
        <v>32</v>
      </c>
      <c r="C132">
        <v>0</v>
      </c>
      <c r="D132">
        <v>0</v>
      </c>
      <c r="E132" t="s">
        <v>313</v>
      </c>
      <c r="F132">
        <v>0</v>
      </c>
      <c r="G132">
        <v>16777215</v>
      </c>
      <c r="H132" t="s">
        <v>67</v>
      </c>
      <c r="I132" t="s">
        <v>68</v>
      </c>
      <c r="J132" t="s">
        <v>69</v>
      </c>
      <c r="K132" t="s">
        <v>180</v>
      </c>
    </row>
    <row r="133" spans="1:12" x14ac:dyDescent="0.25">
      <c r="A133" t="s">
        <v>326</v>
      </c>
      <c r="B133" t="s">
        <v>32</v>
      </c>
      <c r="C133">
        <v>100</v>
      </c>
      <c r="D133">
        <v>0</v>
      </c>
      <c r="E133" t="s">
        <v>315</v>
      </c>
      <c r="F133">
        <v>0</v>
      </c>
      <c r="G133">
        <v>16777215</v>
      </c>
      <c r="H133" t="s">
        <v>67</v>
      </c>
      <c r="I133" t="s">
        <v>68</v>
      </c>
      <c r="J133" t="s">
        <v>69</v>
      </c>
      <c r="K133" t="s">
        <v>180</v>
      </c>
    </row>
    <row r="134" spans="1:12" x14ac:dyDescent="0.25">
      <c r="A134" t="s">
        <v>327</v>
      </c>
      <c r="B134" t="s">
        <v>32</v>
      </c>
      <c r="C134">
        <v>0</v>
      </c>
      <c r="D134">
        <v>0</v>
      </c>
      <c r="E134" t="s">
        <v>317</v>
      </c>
      <c r="F134">
        <v>0</v>
      </c>
      <c r="G134">
        <v>16777215</v>
      </c>
      <c r="H134" t="s">
        <v>67</v>
      </c>
      <c r="I134" t="s">
        <v>68</v>
      </c>
      <c r="J134" t="s">
        <v>69</v>
      </c>
      <c r="K134" t="s">
        <v>180</v>
      </c>
    </row>
    <row r="135" spans="1:12" x14ac:dyDescent="0.25">
      <c r="A135" t="s">
        <v>328</v>
      </c>
      <c r="B135" t="s">
        <v>86</v>
      </c>
      <c r="C135" t="s">
        <v>106</v>
      </c>
      <c r="D135" t="s">
        <v>87</v>
      </c>
      <c r="E135" t="s">
        <v>306</v>
      </c>
      <c r="F135" t="s">
        <v>65</v>
      </c>
      <c r="G135" t="s">
        <v>66</v>
      </c>
      <c r="H135" t="s">
        <v>67</v>
      </c>
      <c r="I135" t="s">
        <v>68</v>
      </c>
      <c r="J135" t="s">
        <v>69</v>
      </c>
      <c r="K135" t="s">
        <v>180</v>
      </c>
    </row>
    <row r="136" spans="1:12" x14ac:dyDescent="0.25">
      <c r="A136" t="s">
        <v>329</v>
      </c>
      <c r="B136" t="s">
        <v>61</v>
      </c>
      <c r="C136" t="s">
        <v>308</v>
      </c>
      <c r="D136" t="s">
        <v>309</v>
      </c>
      <c r="E136" t="s">
        <v>310</v>
      </c>
      <c r="F136" t="s">
        <v>65</v>
      </c>
      <c r="G136" t="s">
        <v>66</v>
      </c>
      <c r="H136" t="s">
        <v>67</v>
      </c>
      <c r="I136" t="s">
        <v>68</v>
      </c>
      <c r="J136" t="s">
        <v>69</v>
      </c>
      <c r="K136" t="s">
        <v>180</v>
      </c>
      <c r="L136" t="s">
        <v>311</v>
      </c>
    </row>
    <row r="137" spans="1:12" x14ac:dyDescent="0.25">
      <c r="A137" t="s">
        <v>330</v>
      </c>
      <c r="B137" t="s">
        <v>32</v>
      </c>
      <c r="C137">
        <v>0</v>
      </c>
      <c r="D137">
        <v>0</v>
      </c>
      <c r="E137" t="s">
        <v>313</v>
      </c>
      <c r="F137">
        <v>0</v>
      </c>
      <c r="G137">
        <v>16777215</v>
      </c>
      <c r="H137" t="s">
        <v>67</v>
      </c>
      <c r="I137" t="s">
        <v>68</v>
      </c>
      <c r="J137" t="s">
        <v>69</v>
      </c>
      <c r="K137" t="s">
        <v>180</v>
      </c>
    </row>
    <row r="138" spans="1:12" x14ac:dyDescent="0.25">
      <c r="A138" t="s">
        <v>331</v>
      </c>
      <c r="B138" t="s">
        <v>32</v>
      </c>
      <c r="C138">
        <v>10</v>
      </c>
      <c r="D138">
        <v>0</v>
      </c>
      <c r="E138" t="s">
        <v>315</v>
      </c>
      <c r="F138">
        <v>0</v>
      </c>
      <c r="G138">
        <v>16777215</v>
      </c>
      <c r="H138" t="s">
        <v>67</v>
      </c>
      <c r="I138" t="s">
        <v>68</v>
      </c>
      <c r="J138" t="s">
        <v>69</v>
      </c>
      <c r="K138" t="s">
        <v>180</v>
      </c>
    </row>
    <row r="139" spans="1:12" x14ac:dyDescent="0.25">
      <c r="A139" t="s">
        <v>332</v>
      </c>
      <c r="B139" t="s">
        <v>32</v>
      </c>
      <c r="C139">
        <v>0</v>
      </c>
      <c r="D139">
        <v>0</v>
      </c>
      <c r="E139" t="s">
        <v>317</v>
      </c>
      <c r="F139">
        <v>0</v>
      </c>
      <c r="G139">
        <v>16777215</v>
      </c>
      <c r="H139" t="s">
        <v>67</v>
      </c>
      <c r="I139" t="s">
        <v>68</v>
      </c>
      <c r="J139" t="s">
        <v>69</v>
      </c>
      <c r="K139" t="s">
        <v>180</v>
      </c>
    </row>
    <row r="140" spans="1:12" x14ac:dyDescent="0.25">
      <c r="A140" t="s">
        <v>333</v>
      </c>
      <c r="B140" t="s">
        <v>86</v>
      </c>
      <c r="C140" t="s">
        <v>87</v>
      </c>
      <c r="D140" t="s">
        <v>87</v>
      </c>
      <c r="E140" t="s">
        <v>334</v>
      </c>
      <c r="F140" t="s">
        <v>65</v>
      </c>
      <c r="G140" t="s">
        <v>66</v>
      </c>
      <c r="H140" t="s">
        <v>67</v>
      </c>
      <c r="I140" t="s">
        <v>68</v>
      </c>
      <c r="J140" t="s">
        <v>69</v>
      </c>
      <c r="K140" t="s">
        <v>180</v>
      </c>
    </row>
    <row r="141" spans="1:12" x14ac:dyDescent="0.25">
      <c r="A141" t="s">
        <v>335</v>
      </c>
      <c r="B141" t="s">
        <v>86</v>
      </c>
      <c r="C141" t="s">
        <v>106</v>
      </c>
      <c r="D141" t="s">
        <v>87</v>
      </c>
      <c r="E141" t="s">
        <v>336</v>
      </c>
      <c r="F141" t="s">
        <v>65</v>
      </c>
      <c r="G141" t="s">
        <v>66</v>
      </c>
      <c r="H141" t="s">
        <v>67</v>
      </c>
      <c r="I141" t="s">
        <v>68</v>
      </c>
      <c r="J141" t="s">
        <v>69</v>
      </c>
      <c r="K141" t="s">
        <v>180</v>
      </c>
    </row>
    <row r="142" spans="1:12" x14ac:dyDescent="0.25">
      <c r="A142" t="s">
        <v>337</v>
      </c>
      <c r="B142" t="s">
        <v>86</v>
      </c>
      <c r="C142" t="s">
        <v>106</v>
      </c>
      <c r="D142" t="s">
        <v>87</v>
      </c>
      <c r="E142" t="s">
        <v>338</v>
      </c>
      <c r="F142" t="s">
        <v>65</v>
      </c>
      <c r="G142" t="s">
        <v>66</v>
      </c>
      <c r="H142" t="s">
        <v>67</v>
      </c>
      <c r="I142" t="s">
        <v>68</v>
      </c>
      <c r="J142" t="s">
        <v>69</v>
      </c>
      <c r="K142" t="s">
        <v>180</v>
      </c>
    </row>
    <row r="143" spans="1:12" x14ac:dyDescent="0.25">
      <c r="A143" t="s">
        <v>339</v>
      </c>
      <c r="B143" t="s">
        <v>32</v>
      </c>
      <c r="C143">
        <v>4</v>
      </c>
      <c r="D143" t="s">
        <v>90</v>
      </c>
      <c r="E143" t="s">
        <v>340</v>
      </c>
      <c r="F143" t="s">
        <v>65</v>
      </c>
      <c r="G143" t="s">
        <v>66</v>
      </c>
      <c r="H143" t="s">
        <v>67</v>
      </c>
      <c r="I143" t="s">
        <v>68</v>
      </c>
      <c r="J143" t="s">
        <v>93</v>
      </c>
      <c r="K143" t="s">
        <v>180</v>
      </c>
    </row>
  </sheetData>
  <autoFilter ref="A2:L144"/>
  <sortState ref="N10:O34">
    <sortCondition ref="N10"/>
  </sortState>
  <customSheetViews>
    <customSheetView guid="{2E790F67-B1CF-4589-8EE3-FDE1E951836B}" topLeftCell="A2">
      <selection activeCell="D14" sqref="D14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18"/>
  <sheetViews>
    <sheetView topLeftCell="E1" workbookViewId="0">
      <selection activeCell="L17" sqref="L17"/>
    </sheetView>
  </sheetViews>
  <sheetFormatPr defaultRowHeight="15" x14ac:dyDescent="0.25"/>
  <cols>
    <col min="1" max="1" width="17.28515625" bestFit="1" customWidth="1"/>
    <col min="2" max="2" width="10.7109375" bestFit="1" customWidth="1"/>
    <col min="3" max="3" width="11.28515625" bestFit="1" customWidth="1"/>
    <col min="5" max="5" width="27.5703125" customWidth="1"/>
    <col min="7" max="7" width="18.28515625" customWidth="1"/>
    <col min="8" max="8" width="17.28515625" bestFit="1" customWidth="1"/>
    <col min="9" max="9" width="17.28515625" style="20" customWidth="1"/>
    <col min="10" max="10" width="9.85546875" customWidth="1"/>
    <col min="11" max="11" width="13.7109375" style="20" customWidth="1"/>
    <col min="12" max="12" width="31.7109375" customWidth="1"/>
  </cols>
  <sheetData>
    <row r="2" spans="1:12" x14ac:dyDescent="0.25">
      <c r="A2" t="s">
        <v>482</v>
      </c>
      <c r="B2" t="s">
        <v>483</v>
      </c>
      <c r="E2" t="s">
        <v>485</v>
      </c>
      <c r="F2" t="s">
        <v>487</v>
      </c>
    </row>
    <row r="3" spans="1:12" x14ac:dyDescent="0.25">
      <c r="A3" s="67">
        <v>3.2000000000000002E-3</v>
      </c>
      <c r="B3" s="67">
        <v>1.7999999999999999E-6</v>
      </c>
      <c r="E3" s="67">
        <f>B3/A3</f>
        <v>5.6249999999999996E-4</v>
      </c>
      <c r="F3" s="67">
        <f>A3/B3</f>
        <v>1777.7777777777781</v>
      </c>
    </row>
    <row r="5" spans="1:12" x14ac:dyDescent="0.25">
      <c r="B5" t="s">
        <v>484</v>
      </c>
      <c r="E5" t="s">
        <v>486</v>
      </c>
      <c r="F5" t="s">
        <v>488</v>
      </c>
    </row>
    <row r="6" spans="1:12" x14ac:dyDescent="0.25">
      <c r="A6" s="67">
        <v>3.2000000000000002E-3</v>
      </c>
      <c r="B6" s="67">
        <v>3.4999999999999998E-7</v>
      </c>
      <c r="E6" s="67">
        <f>B6/A6</f>
        <v>1.0937499999999999E-4</v>
      </c>
      <c r="F6" s="67">
        <f>A6/B6</f>
        <v>9142.8571428571431</v>
      </c>
    </row>
    <row r="12" spans="1:12" x14ac:dyDescent="0.25">
      <c r="G12" t="s">
        <v>497</v>
      </c>
      <c r="H12">
        <v>0.1</v>
      </c>
      <c r="I12" s="20">
        <v>0.2</v>
      </c>
      <c r="J12">
        <v>0.3</v>
      </c>
      <c r="K12" s="20">
        <v>0.4</v>
      </c>
      <c r="L12">
        <v>1</v>
      </c>
    </row>
    <row r="13" spans="1:12" x14ac:dyDescent="0.25">
      <c r="G13" t="s">
        <v>510</v>
      </c>
      <c r="H13" t="s">
        <v>505</v>
      </c>
      <c r="I13" s="20" t="s">
        <v>507</v>
      </c>
      <c r="J13" t="s">
        <v>498</v>
      </c>
      <c r="K13" s="20" t="s">
        <v>501</v>
      </c>
      <c r="L13" t="s">
        <v>491</v>
      </c>
    </row>
    <row r="14" spans="1:12" ht="30" x14ac:dyDescent="0.25">
      <c r="G14" t="s">
        <v>489</v>
      </c>
      <c r="H14" t="s">
        <v>506</v>
      </c>
      <c r="I14" s="20" t="s">
        <v>496</v>
      </c>
      <c r="J14" t="s">
        <v>356</v>
      </c>
      <c r="K14" s="20" t="s">
        <v>357</v>
      </c>
      <c r="L14" s="21" t="s">
        <v>508</v>
      </c>
    </row>
    <row r="15" spans="1:12" x14ac:dyDescent="0.25">
      <c r="G15" t="s">
        <v>490</v>
      </c>
      <c r="H15" t="s">
        <v>506</v>
      </c>
      <c r="I15" s="20" t="s">
        <v>496</v>
      </c>
      <c r="J15" t="s">
        <v>362</v>
      </c>
      <c r="K15" s="20" t="s">
        <v>502</v>
      </c>
      <c r="L15" t="s">
        <v>491</v>
      </c>
    </row>
    <row r="16" spans="1:12" ht="30" x14ac:dyDescent="0.25">
      <c r="G16" t="s">
        <v>492</v>
      </c>
      <c r="H16" t="s">
        <v>506</v>
      </c>
      <c r="I16" s="20" t="s">
        <v>496</v>
      </c>
      <c r="J16" t="s">
        <v>350</v>
      </c>
      <c r="K16" s="20" t="s">
        <v>351</v>
      </c>
      <c r="L16" s="21" t="s">
        <v>509</v>
      </c>
    </row>
    <row r="17" spans="7:12" x14ac:dyDescent="0.25">
      <c r="G17" t="s">
        <v>493</v>
      </c>
      <c r="H17" t="s">
        <v>506</v>
      </c>
      <c r="I17" s="20" t="s">
        <v>496</v>
      </c>
      <c r="J17" t="s">
        <v>499</v>
      </c>
      <c r="K17" s="20" t="s">
        <v>503</v>
      </c>
      <c r="L17" s="21" t="s">
        <v>494</v>
      </c>
    </row>
    <row r="18" spans="7:12" x14ac:dyDescent="0.25">
      <c r="G18" t="s">
        <v>495</v>
      </c>
      <c r="H18" t="s">
        <v>496</v>
      </c>
      <c r="I18" s="20" t="s">
        <v>506</v>
      </c>
      <c r="J18" t="s">
        <v>500</v>
      </c>
      <c r="K18" s="20" t="s">
        <v>504</v>
      </c>
      <c r="L18" s="21" t="s">
        <v>496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B_SubTemplates">
          <controlPr defaultSize="0" autoLine="0" r:id="rId4">
            <anchor moveWithCells="1">
              <from>
                <xdr:col>6</xdr:col>
                <xdr:colOff>466725</xdr:colOff>
                <xdr:row>7</xdr:row>
                <xdr:rowOff>57150</xdr:rowOff>
              </from>
              <to>
                <xdr:col>7</xdr:col>
                <xdr:colOff>590550</xdr:colOff>
                <xdr:row>9</xdr:row>
                <xdr:rowOff>152400</xdr:rowOff>
              </to>
            </anchor>
          </controlPr>
        </control>
      </mc:Choice>
      <mc:Fallback>
        <control shapeId="8193" r:id="rId3" name="CB_Sub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57</vt:i4>
      </vt:variant>
    </vt:vector>
  </HeadingPairs>
  <TitlesOfParts>
    <vt:vector size="64" baseType="lpstr">
      <vt:lpstr>Interface</vt:lpstr>
      <vt:lpstr>Presets</vt:lpstr>
      <vt:lpstr>ProtocolLookup</vt:lpstr>
      <vt:lpstr>Definitions</vt:lpstr>
      <vt:lpstr>CS</vt:lpstr>
      <vt:lpstr>DeviceVars</vt:lpstr>
      <vt:lpstr>Templates</vt:lpstr>
      <vt:lpstr>bla</vt:lpstr>
      <vt:lpstr>y_ArchiverCode_c</vt:lpstr>
      <vt:lpstr>y_archiverXML</vt:lpstr>
      <vt:lpstr>y_ArchiverXMLFile</vt:lpstr>
      <vt:lpstr>y_CtrlUI_code</vt:lpstr>
      <vt:lpstr>y_CtrlUI_file</vt:lpstr>
      <vt:lpstr>y_CtrlUI_ref</vt:lpstr>
      <vt:lpstr>y_dbUpdateMsg</vt:lpstr>
      <vt:lpstr>y_dedicatedCS</vt:lpstr>
      <vt:lpstr>y_dev_Code_c</vt:lpstr>
      <vt:lpstr>y_dev_prefix</vt:lpstr>
      <vt:lpstr>y_DeviceKey_c</vt:lpstr>
      <vt:lpstr>y_devMapDbFile</vt:lpstr>
      <vt:lpstr>y_devVarDefFile</vt:lpstr>
      <vt:lpstr>y_DTYPE</vt:lpstr>
      <vt:lpstr>y_EPICS_DB_c</vt:lpstr>
      <vt:lpstr>y_EPICS_Formats</vt:lpstr>
      <vt:lpstr>y_EPICS_Template</vt:lpstr>
      <vt:lpstr>y_filenamebase</vt:lpstr>
      <vt:lpstr>y_FindReplace_c</vt:lpstr>
      <vt:lpstr>y_FindReplace_file</vt:lpstr>
      <vt:lpstr>y_FindReplace_template</vt:lpstr>
      <vt:lpstr>y_getProtoAnalog</vt:lpstr>
      <vt:lpstr>y_getProtoBool</vt:lpstr>
      <vt:lpstr>y_getProtoLongint</vt:lpstr>
      <vt:lpstr>y_getProtoOption</vt:lpstr>
      <vt:lpstr>y_getProtoString</vt:lpstr>
      <vt:lpstr>y_InterfacePMCScript</vt:lpstr>
      <vt:lpstr>y_LoadSavepcf_c</vt:lpstr>
      <vt:lpstr>y_mapProtocolLUT</vt:lpstr>
      <vt:lpstr>Interface!y_MaxPmacInt</vt:lpstr>
      <vt:lpstr>y_MaxPmacInt</vt:lpstr>
      <vt:lpstr>y_mbbioEnum_c</vt:lpstr>
      <vt:lpstr>y_MonUI_code</vt:lpstr>
      <vt:lpstr>y_MonUI_file</vt:lpstr>
      <vt:lpstr>y_MonUI_ref</vt:lpstr>
      <vt:lpstr>y_nonMappedAnalog</vt:lpstr>
      <vt:lpstr>y_outputFilePath</vt:lpstr>
      <vt:lpstr>y_paramOptions_c</vt:lpstr>
      <vt:lpstr>y_paramType_c</vt:lpstr>
      <vt:lpstr>y_pmacRascanGSVar</vt:lpstr>
      <vt:lpstr>y_Prefix</vt:lpstr>
      <vt:lpstr>y_PVNames_c</vt:lpstr>
      <vt:lpstr>y_QELabel</vt:lpstr>
      <vt:lpstr>y_QELineEdit</vt:lpstr>
      <vt:lpstr>y_QLabel</vt:lpstr>
      <vt:lpstr>y_setProtoAnalog</vt:lpstr>
      <vt:lpstr>y_setProtoBool</vt:lpstr>
      <vt:lpstr>y_setProtoLongint</vt:lpstr>
      <vt:lpstr>y_setProtoOption</vt:lpstr>
      <vt:lpstr>y_setProtoString</vt:lpstr>
      <vt:lpstr>y_varMap_Path</vt:lpstr>
      <vt:lpstr>y_varMapAnalog</vt:lpstr>
      <vt:lpstr>y_varMapBool</vt:lpstr>
      <vt:lpstr>y_varMapLongint</vt:lpstr>
      <vt:lpstr>y_varMapOption</vt:lpstr>
      <vt:lpstr>y_varMapString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afsharn</dc:creator>
  <cp:lastModifiedBy>afsharn</cp:lastModifiedBy>
  <dcterms:created xsi:type="dcterms:W3CDTF">2015-12-02T04:45:22Z</dcterms:created>
  <dcterms:modified xsi:type="dcterms:W3CDTF">2020-01-20T05:11:53Z</dcterms:modified>
</cp:coreProperties>
</file>