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95" windowWidth="19725" windowHeight="8895"/>
  </bookViews>
  <sheets>
    <sheet name="Interface" sheetId="1" r:id="rId1"/>
    <sheet name="Presets" sheetId="2" r:id="rId2"/>
    <sheet name="Definitions" sheetId="3" r:id="rId3"/>
    <sheet name="CS" sheetId="4" r:id="rId4"/>
    <sheet name="FalconX" sheetId="5" r:id="rId5"/>
  </sheets>
  <definedNames>
    <definedName name="_xlnm._FilterDatabase" localSheetId="4" hidden="1">FalconX!$A$2:$L$144</definedName>
    <definedName name="_xlnm._FilterDatabase" localSheetId="0" hidden="1">Interface!$A$3:$AX$125</definedName>
    <definedName name="_xlnm._FilterDatabase" localSheetId="1" hidden="1">Presets!$A$2:$B$7</definedName>
    <definedName name="y_ArchiverCode_c">Interface!$AR:$AR</definedName>
    <definedName name="y_archiverXML">Presets!$J$13</definedName>
    <definedName name="y_ArchiverXMLFile">Interface!$AR$2</definedName>
    <definedName name="y_CtrlUI_code">Interface!$AM$4:$AM$125</definedName>
    <definedName name="y_CtrlUI_file">Interface!$AM$2</definedName>
    <definedName name="y_CtrlUI_ref">Interface!$AM:$AM</definedName>
    <definedName name="y_dbUpdateMsg">Interface!$AL$1</definedName>
    <definedName name="y_dev_Code_c">Interface!$AQ:$AQ</definedName>
    <definedName name="y_DeviceKey_c">Interface!$F:$F</definedName>
    <definedName name="y_devMapDbFile">Interface!$AL$2</definedName>
    <definedName name="y_devVarDefFile">Interface!$AQ$2</definedName>
    <definedName name="y_DTYPE">Presets!$K$3</definedName>
    <definedName name="y_EPICS_DB_c">Interface!$AL:$AL</definedName>
    <definedName name="y_EPICS_Formats">Presets!$A$2:$B$9</definedName>
    <definedName name="y_EPICS_Template">Interface!$AK:$AK</definedName>
    <definedName name="y_FindReplace_c">Interface!$B$1:$B$84</definedName>
    <definedName name="y_FindReplace_file">Interface!$B$2</definedName>
    <definedName name="y_FindReplace_template">Interface!$B:$B</definedName>
    <definedName name="y_getVarProto">Presets!$K$6</definedName>
    <definedName name="y_InterfacePMCScript">Interface!$AQ$4:$AQ$76</definedName>
    <definedName name="y_LoadSavepcf_c">Interface!$AP:$AP</definedName>
    <definedName name="y_mapVar_Path">Presets!$K$7</definedName>
    <definedName name="y_mapVarAnalog">Presets!$K$9</definedName>
    <definedName name="y_mapVarBool">Presets!$M$9</definedName>
    <definedName name="y_mapVarLongint">Presets!$L$9</definedName>
    <definedName name="y_mapVarOption">Presets!$O$9</definedName>
    <definedName name="y_mapVarString">Presets!$N$9</definedName>
    <definedName name="y_MaxPmacInt" localSheetId="0">Presets!$D$3</definedName>
    <definedName name="y_MaxPmacInt">Presets!$D$3</definedName>
    <definedName name="y_mbbioEnum_c">Interface!$AJ:$AJ</definedName>
    <definedName name="y_MonUI_code">Interface!$AN$4:$AN$125</definedName>
    <definedName name="y_MonUI_file">Interface!$AN$2</definedName>
    <definedName name="y_MonUI_ref">Interface!$AN:$AN</definedName>
    <definedName name="y_nonMappedAnalog">Presets!$K$10</definedName>
    <definedName name="y_paramOptions_c">Interface!$O:$O</definedName>
    <definedName name="y_paramType_c">Interface!$G:$G</definedName>
    <definedName name="y_pmacRascanGSVar">Presets!$J$9</definedName>
    <definedName name="y_pmacVariableRead">Presets!#REF!</definedName>
    <definedName name="y_pmacVariableWriteSync" localSheetId="0">Presets!#REF!</definedName>
    <definedName name="y_pmacVariableWriteSyncInt" localSheetId="0">Presets!#REF!</definedName>
    <definedName name="y_Prefix">Interface!$E$1</definedName>
    <definedName name="y_PVNames_c">Interface!$E:$E</definedName>
    <definedName name="y_QELabel">Presets!$J$11</definedName>
    <definedName name="y_QELineEdit">Presets!$J$12</definedName>
    <definedName name="y_QLabel">Presets!$J$10</definedName>
    <definedName name="y_setVarProto">Presets!$K$5</definedName>
    <definedName name="Z_2E790F67_B1CF_4589_8EE3_FDE1E951836B_.wvu.FilterData" localSheetId="0" hidden="1">Interface!$B$3:$AV$55</definedName>
    <definedName name="Z_2E790F67_B1CF_4589_8EE3_FDE1E951836B_.wvu.FilterData" localSheetId="1" hidden="1">Presets!$A$2:$B$7</definedName>
  </definedNames>
  <calcPr calcId="145621"/>
  <customWorkbookViews>
    <customWorkbookView name="afsharn - Personal View" guid="{2E790F67-B1CF-4589-8EE3-FDE1E951836B}" mergeInterval="0" personalView="1" maximized="1" windowWidth="1019" windowHeight="943" activeSheetId="1"/>
  </customWorkbookViews>
</workbook>
</file>

<file path=xl/calcChain.xml><?xml version="1.0" encoding="utf-8"?>
<calcChain xmlns="http://schemas.openxmlformats.org/spreadsheetml/2006/main">
  <c r="AQ5" i="1" l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4" i="1"/>
  <c r="AN6" i="1" l="1"/>
  <c r="AM7" i="1"/>
  <c r="AN9" i="1"/>
  <c r="AM10" i="1"/>
  <c r="AM11" i="1"/>
  <c r="AN12" i="1"/>
  <c r="AN13" i="1"/>
  <c r="AN14" i="1"/>
  <c r="AN15" i="1"/>
  <c r="AN16" i="1"/>
  <c r="AN17" i="1"/>
  <c r="AN18" i="1"/>
  <c r="AN19" i="1"/>
  <c r="AM20" i="1"/>
  <c r="AN21" i="1"/>
  <c r="AM22" i="1"/>
  <c r="AN23" i="1"/>
  <c r="AM24" i="1"/>
  <c r="AM25" i="1"/>
  <c r="AN26" i="1"/>
  <c r="AN27" i="1"/>
  <c r="AM28" i="1"/>
  <c r="AM29" i="1"/>
  <c r="AM30" i="1"/>
  <c r="AM31" i="1"/>
  <c r="AN32" i="1"/>
  <c r="AN33" i="1"/>
  <c r="AN34" i="1"/>
  <c r="AN35" i="1"/>
  <c r="AN36" i="1"/>
  <c r="AM37" i="1"/>
  <c r="AN38" i="1"/>
  <c r="AM39" i="1"/>
  <c r="AN39" i="1"/>
  <c r="AM40" i="1"/>
  <c r="AN40" i="1"/>
  <c r="AM41" i="1"/>
  <c r="AN41" i="1"/>
  <c r="AM42" i="1"/>
  <c r="AN42" i="1"/>
  <c r="AM43" i="1"/>
  <c r="AN43" i="1"/>
  <c r="AM44" i="1"/>
  <c r="AN44" i="1"/>
  <c r="AM45" i="1"/>
  <c r="AN45" i="1"/>
  <c r="AM46" i="1"/>
  <c r="AN46" i="1"/>
  <c r="AM47" i="1"/>
  <c r="AN47" i="1"/>
  <c r="AM48" i="1"/>
  <c r="AN48" i="1"/>
  <c r="AM49" i="1"/>
  <c r="AN49" i="1"/>
  <c r="AM50" i="1"/>
  <c r="AN50" i="1"/>
  <c r="AM51" i="1"/>
  <c r="AN51" i="1"/>
  <c r="AM52" i="1"/>
  <c r="AN52" i="1"/>
  <c r="AM53" i="1"/>
  <c r="AN53" i="1"/>
  <c r="AM54" i="1"/>
  <c r="AN54" i="1"/>
  <c r="AM55" i="1"/>
  <c r="AN55" i="1"/>
  <c r="AM56" i="1"/>
  <c r="AN56" i="1"/>
  <c r="AM57" i="1"/>
  <c r="AN57" i="1"/>
  <c r="AN61" i="1"/>
  <c r="AN62" i="1"/>
  <c r="AN64" i="1"/>
  <c r="AM65" i="1"/>
  <c r="AN65" i="1"/>
  <c r="AM66" i="1"/>
  <c r="AN66" i="1"/>
  <c r="AM67" i="1"/>
  <c r="AN67" i="1"/>
  <c r="AM68" i="1"/>
  <c r="AN68" i="1"/>
  <c r="AM69" i="1"/>
  <c r="AN69" i="1"/>
  <c r="AM70" i="1"/>
  <c r="AN70" i="1"/>
  <c r="AM71" i="1"/>
  <c r="AN71" i="1"/>
  <c r="AM72" i="1"/>
  <c r="AN72" i="1"/>
  <c r="AM73" i="1"/>
  <c r="AN73" i="1"/>
  <c r="AM74" i="1"/>
  <c r="AN74" i="1"/>
  <c r="AM75" i="1"/>
  <c r="AN75" i="1"/>
  <c r="AM76" i="1"/>
  <c r="AN76" i="1"/>
  <c r="AM77" i="1"/>
  <c r="AN77" i="1"/>
  <c r="AM78" i="1"/>
  <c r="AN78" i="1"/>
  <c r="AM79" i="1"/>
  <c r="AN79" i="1"/>
  <c r="AM80" i="1"/>
  <c r="AN80" i="1"/>
  <c r="AM81" i="1"/>
  <c r="AN81" i="1"/>
  <c r="AM82" i="1"/>
  <c r="AN82" i="1"/>
  <c r="AM83" i="1"/>
  <c r="AN83" i="1"/>
  <c r="AM84" i="1"/>
  <c r="AN84" i="1"/>
  <c r="AM85" i="1"/>
  <c r="AN85" i="1"/>
  <c r="AM86" i="1"/>
  <c r="AN86" i="1"/>
  <c r="AM87" i="1"/>
  <c r="AN87" i="1"/>
  <c r="AM88" i="1"/>
  <c r="AN88" i="1"/>
  <c r="AM89" i="1"/>
  <c r="AN89" i="1"/>
  <c r="AM90" i="1"/>
  <c r="AN90" i="1"/>
  <c r="AM91" i="1"/>
  <c r="AN91" i="1"/>
  <c r="AM92" i="1"/>
  <c r="AN92" i="1"/>
  <c r="AM93" i="1"/>
  <c r="AN93" i="1"/>
  <c r="AM94" i="1"/>
  <c r="AN94" i="1"/>
  <c r="AM95" i="1"/>
  <c r="AN95" i="1"/>
  <c r="AM96" i="1"/>
  <c r="AN96" i="1"/>
  <c r="AM97" i="1"/>
  <c r="AN97" i="1"/>
  <c r="AM98" i="1"/>
  <c r="AN98" i="1"/>
  <c r="AM99" i="1"/>
  <c r="AN99" i="1"/>
  <c r="AM100" i="1"/>
  <c r="AN100" i="1"/>
  <c r="AM101" i="1"/>
  <c r="AN101" i="1"/>
  <c r="AM102" i="1"/>
  <c r="AN102" i="1"/>
  <c r="AM103" i="1"/>
  <c r="AN103" i="1"/>
  <c r="AM104" i="1"/>
  <c r="AN104" i="1"/>
  <c r="AM105" i="1"/>
  <c r="AN105" i="1"/>
  <c r="AM106" i="1"/>
  <c r="AN106" i="1"/>
  <c r="AN107" i="1"/>
  <c r="AM108" i="1"/>
  <c r="AM109" i="1"/>
  <c r="AN110" i="1"/>
  <c r="AN111" i="1"/>
  <c r="AM112" i="1"/>
  <c r="AN112" i="1"/>
  <c r="AN113" i="1"/>
  <c r="AN114" i="1"/>
  <c r="AM115" i="1"/>
  <c r="AM116" i="1"/>
  <c r="AN117" i="1"/>
  <c r="AN118" i="1"/>
  <c r="AM119" i="1"/>
  <c r="AM120" i="1"/>
  <c r="AM121" i="1"/>
  <c r="AN121" i="1"/>
  <c r="AN58" i="1"/>
  <c r="AM8" i="1"/>
  <c r="AM122" i="1"/>
  <c r="AN122" i="1"/>
  <c r="AN59" i="1"/>
  <c r="AM123" i="1"/>
  <c r="AN123" i="1"/>
  <c r="AM124" i="1"/>
  <c r="AN124" i="1"/>
  <c r="AN5" i="1"/>
  <c r="AM5" i="1"/>
  <c r="B81" i="1" l="1"/>
  <c r="C81" i="1"/>
  <c r="AB81" i="1"/>
  <c r="AV81" i="1" s="1"/>
  <c r="AD81" i="1"/>
  <c r="AE81" i="1"/>
  <c r="AX81" i="1" s="1"/>
  <c r="AF81" i="1"/>
  <c r="AG81" i="1"/>
  <c r="AH81" i="1"/>
  <c r="AI81" i="1"/>
  <c r="AO81" i="1"/>
  <c r="AW81" i="1"/>
  <c r="B80" i="1"/>
  <c r="C80" i="1"/>
  <c r="AB80" i="1"/>
  <c r="AP80" i="1" s="1"/>
  <c r="AD80" i="1"/>
  <c r="AE80" i="1"/>
  <c r="AX80" i="1" s="1"/>
  <c r="AF80" i="1"/>
  <c r="AG80" i="1"/>
  <c r="AH80" i="1"/>
  <c r="AI80" i="1"/>
  <c r="AO80" i="1"/>
  <c r="AW80" i="1"/>
  <c r="AG5" i="1"/>
  <c r="AK5" i="1" s="1"/>
  <c r="AG6" i="1"/>
  <c r="AG7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95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8" i="1"/>
  <c r="AG79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58" i="1"/>
  <c r="AG77" i="1"/>
  <c r="AG8" i="1"/>
  <c r="AG122" i="1"/>
  <c r="AK122" i="1" s="1"/>
  <c r="AG59" i="1"/>
  <c r="AG123" i="1"/>
  <c r="AK123" i="1" s="1"/>
  <c r="AG124" i="1"/>
  <c r="AK124" i="1" s="1"/>
  <c r="AG125" i="1"/>
  <c r="AK125" i="1" s="1"/>
  <c r="AG4" i="1"/>
  <c r="AK4" i="1" s="1"/>
  <c r="AU80" i="1" l="1"/>
  <c r="AC80" i="1"/>
  <c r="AK80" i="1" s="1"/>
  <c r="AL80" i="1" s="1"/>
  <c r="AT80" i="1"/>
  <c r="AC81" i="1"/>
  <c r="AK81" i="1" s="1"/>
  <c r="AL81" i="1" s="1"/>
  <c r="AU81" i="1"/>
  <c r="AS80" i="1"/>
  <c r="AT81" i="1"/>
  <c r="AV80" i="1"/>
  <c r="AP81" i="1"/>
  <c r="AS81" i="1"/>
  <c r="I4" i="1"/>
  <c r="AD6" i="1"/>
  <c r="AE6" i="1"/>
  <c r="AF6" i="1"/>
  <c r="AH6" i="1"/>
  <c r="AI6" i="1"/>
  <c r="AO6" i="1"/>
  <c r="AW6" i="1"/>
  <c r="AD110" i="1"/>
  <c r="AE110" i="1"/>
  <c r="AF110" i="1"/>
  <c r="AH110" i="1"/>
  <c r="AI110" i="1"/>
  <c r="AO110" i="1"/>
  <c r="AW110" i="1"/>
  <c r="AD14" i="1"/>
  <c r="AE14" i="1"/>
  <c r="AF14" i="1"/>
  <c r="AH14" i="1"/>
  <c r="AI14" i="1"/>
  <c r="AO14" i="1"/>
  <c r="AW14" i="1"/>
  <c r="AD15" i="1"/>
  <c r="AE15" i="1"/>
  <c r="AF15" i="1"/>
  <c r="AH15" i="1"/>
  <c r="AI15" i="1"/>
  <c r="AO15" i="1"/>
  <c r="AW15" i="1"/>
  <c r="AD13" i="1"/>
  <c r="AE13" i="1"/>
  <c r="AF13" i="1"/>
  <c r="AH13" i="1"/>
  <c r="AI13" i="1"/>
  <c r="AO13" i="1"/>
  <c r="AW13" i="1"/>
  <c r="AD35" i="1"/>
  <c r="AE35" i="1"/>
  <c r="AF35" i="1"/>
  <c r="AH35" i="1"/>
  <c r="AI35" i="1"/>
  <c r="AO35" i="1"/>
  <c r="AW35" i="1"/>
  <c r="AD61" i="1"/>
  <c r="AE61" i="1"/>
  <c r="AF61" i="1"/>
  <c r="AH61" i="1"/>
  <c r="AI61" i="1"/>
  <c r="AO61" i="1"/>
  <c r="AW61" i="1"/>
  <c r="AD25" i="1"/>
  <c r="AE25" i="1"/>
  <c r="AF25" i="1"/>
  <c r="AH25" i="1"/>
  <c r="AI25" i="1"/>
  <c r="AO25" i="1"/>
  <c r="AW25" i="1"/>
  <c r="AD22" i="1"/>
  <c r="AE22" i="1"/>
  <c r="AF22" i="1"/>
  <c r="AH22" i="1"/>
  <c r="AI22" i="1"/>
  <c r="AO22" i="1"/>
  <c r="AW22" i="1"/>
  <c r="AD24" i="1"/>
  <c r="AE24" i="1"/>
  <c r="AF24" i="1"/>
  <c r="AH24" i="1"/>
  <c r="AI24" i="1"/>
  <c r="AO24" i="1"/>
  <c r="AW24" i="1"/>
  <c r="AD21" i="1"/>
  <c r="AE21" i="1"/>
  <c r="AF21" i="1"/>
  <c r="AH21" i="1"/>
  <c r="AI21" i="1"/>
  <c r="AO21" i="1"/>
  <c r="AW21" i="1"/>
  <c r="AD23" i="1"/>
  <c r="AE23" i="1"/>
  <c r="AF23" i="1"/>
  <c r="AH23" i="1"/>
  <c r="AI23" i="1"/>
  <c r="AO23" i="1"/>
  <c r="AW23" i="1"/>
  <c r="AD111" i="1"/>
  <c r="AE111" i="1"/>
  <c r="AF111" i="1"/>
  <c r="AH111" i="1"/>
  <c r="AI111" i="1"/>
  <c r="AO111" i="1"/>
  <c r="AW111" i="1"/>
  <c r="AD113" i="1"/>
  <c r="AE113" i="1"/>
  <c r="AF113" i="1"/>
  <c r="AH113" i="1"/>
  <c r="AI113" i="1"/>
  <c r="AO113" i="1"/>
  <c r="AW113" i="1"/>
  <c r="AD109" i="1"/>
  <c r="AE109" i="1"/>
  <c r="AF109" i="1"/>
  <c r="AH109" i="1"/>
  <c r="AI109" i="1"/>
  <c r="AO109" i="1"/>
  <c r="AW109" i="1"/>
  <c r="AD26" i="1"/>
  <c r="AE26" i="1"/>
  <c r="AF26" i="1"/>
  <c r="AH26" i="1"/>
  <c r="AI26" i="1"/>
  <c r="AO26" i="1"/>
  <c r="AW26" i="1"/>
  <c r="AD120" i="1"/>
  <c r="AE120" i="1"/>
  <c r="AF120" i="1"/>
  <c r="AH120" i="1"/>
  <c r="AI120" i="1"/>
  <c r="AO120" i="1"/>
  <c r="AW120" i="1"/>
  <c r="AD119" i="1"/>
  <c r="AE119" i="1"/>
  <c r="AF119" i="1"/>
  <c r="AH119" i="1"/>
  <c r="AI119" i="1"/>
  <c r="AO119" i="1"/>
  <c r="AW119" i="1"/>
  <c r="AD31" i="1"/>
  <c r="AE31" i="1"/>
  <c r="AF31" i="1"/>
  <c r="AH31" i="1"/>
  <c r="AI31" i="1"/>
  <c r="AO31" i="1"/>
  <c r="AW31" i="1"/>
  <c r="AD60" i="1"/>
  <c r="AE60" i="1"/>
  <c r="AF60" i="1"/>
  <c r="AH60" i="1"/>
  <c r="AI60" i="1"/>
  <c r="AO60" i="1"/>
  <c r="AW60" i="1"/>
  <c r="AD20" i="1"/>
  <c r="AE20" i="1"/>
  <c r="AF20" i="1"/>
  <c r="AH20" i="1"/>
  <c r="AI20" i="1"/>
  <c r="AO20" i="1"/>
  <c r="AW20" i="1"/>
  <c r="AD18" i="1"/>
  <c r="AE18" i="1"/>
  <c r="AF18" i="1"/>
  <c r="AH18" i="1"/>
  <c r="AI18" i="1"/>
  <c r="AO18" i="1"/>
  <c r="AW18" i="1"/>
  <c r="AD29" i="1"/>
  <c r="AE29" i="1"/>
  <c r="AF29" i="1"/>
  <c r="AH29" i="1"/>
  <c r="AI29" i="1"/>
  <c r="AO29" i="1"/>
  <c r="AW29" i="1"/>
  <c r="AD30" i="1"/>
  <c r="AE30" i="1"/>
  <c r="AF30" i="1"/>
  <c r="AH30" i="1"/>
  <c r="AI30" i="1"/>
  <c r="AO30" i="1"/>
  <c r="AW30" i="1"/>
  <c r="AD7" i="1"/>
  <c r="AE7" i="1"/>
  <c r="AF7" i="1"/>
  <c r="AH7" i="1"/>
  <c r="AI7" i="1"/>
  <c r="AO7" i="1"/>
  <c r="AW7" i="1"/>
  <c r="AD63" i="1"/>
  <c r="AE63" i="1"/>
  <c r="AF63" i="1"/>
  <c r="AH63" i="1"/>
  <c r="AI63" i="1"/>
  <c r="AO63" i="1"/>
  <c r="AW63" i="1"/>
  <c r="AD64" i="1"/>
  <c r="AE64" i="1"/>
  <c r="AF64" i="1"/>
  <c r="AH64" i="1"/>
  <c r="AI64" i="1"/>
  <c r="AO64" i="1"/>
  <c r="AW64" i="1"/>
  <c r="AD95" i="1"/>
  <c r="AE95" i="1"/>
  <c r="AF95" i="1"/>
  <c r="AH95" i="1"/>
  <c r="AI95" i="1"/>
  <c r="AO95" i="1"/>
  <c r="AW95" i="1"/>
  <c r="AD107" i="1"/>
  <c r="AE107" i="1"/>
  <c r="AF107" i="1"/>
  <c r="AH107" i="1"/>
  <c r="AI107" i="1"/>
  <c r="AO107" i="1"/>
  <c r="AW107" i="1"/>
  <c r="AD28" i="1"/>
  <c r="AE28" i="1"/>
  <c r="AF28" i="1"/>
  <c r="AH28" i="1"/>
  <c r="AI28" i="1"/>
  <c r="AO28" i="1"/>
  <c r="AW28" i="1"/>
  <c r="AD114" i="1"/>
  <c r="AE114" i="1"/>
  <c r="AF114" i="1"/>
  <c r="AH114" i="1"/>
  <c r="AI114" i="1"/>
  <c r="AO114" i="1"/>
  <c r="AW114" i="1"/>
  <c r="AD27" i="1"/>
  <c r="AE27" i="1"/>
  <c r="AF27" i="1"/>
  <c r="AH27" i="1"/>
  <c r="AI27" i="1"/>
  <c r="AO27" i="1"/>
  <c r="AW27" i="1"/>
  <c r="AD33" i="1"/>
  <c r="AE33" i="1"/>
  <c r="AF33" i="1"/>
  <c r="AH33" i="1"/>
  <c r="AI33" i="1"/>
  <c r="AO33" i="1"/>
  <c r="AW33" i="1"/>
  <c r="AD117" i="1"/>
  <c r="AE117" i="1"/>
  <c r="AF117" i="1"/>
  <c r="AH117" i="1"/>
  <c r="AI117" i="1"/>
  <c r="AO117" i="1"/>
  <c r="AW117" i="1"/>
  <c r="AD115" i="1"/>
  <c r="AE115" i="1"/>
  <c r="AF115" i="1"/>
  <c r="AH115" i="1"/>
  <c r="AI115" i="1"/>
  <c r="AO115" i="1"/>
  <c r="AW115" i="1"/>
  <c r="AD17" i="1"/>
  <c r="AE17" i="1"/>
  <c r="AF17" i="1"/>
  <c r="AH17" i="1"/>
  <c r="AI17" i="1"/>
  <c r="AO17" i="1"/>
  <c r="AW17" i="1"/>
  <c r="AD32" i="1"/>
  <c r="AE32" i="1"/>
  <c r="AF32" i="1"/>
  <c r="AH32" i="1"/>
  <c r="AI32" i="1"/>
  <c r="AO32" i="1"/>
  <c r="AW32" i="1"/>
  <c r="AD62" i="1"/>
  <c r="AE62" i="1"/>
  <c r="AF62" i="1"/>
  <c r="AH62" i="1"/>
  <c r="AI62" i="1"/>
  <c r="AO62" i="1"/>
  <c r="AW62" i="1"/>
  <c r="AD10" i="1"/>
  <c r="AE10" i="1"/>
  <c r="AF10" i="1"/>
  <c r="AH10" i="1"/>
  <c r="AI10" i="1"/>
  <c r="AO10" i="1"/>
  <c r="AW10" i="1"/>
  <c r="AD116" i="1"/>
  <c r="AE116" i="1"/>
  <c r="AF116" i="1"/>
  <c r="AH116" i="1"/>
  <c r="AI116" i="1"/>
  <c r="AO116" i="1"/>
  <c r="AW116" i="1"/>
  <c r="AD37" i="1"/>
  <c r="AE37" i="1"/>
  <c r="AF37" i="1"/>
  <c r="AH37" i="1"/>
  <c r="AI37" i="1"/>
  <c r="AO37" i="1"/>
  <c r="AW37" i="1"/>
  <c r="AD88" i="1"/>
  <c r="AE88" i="1"/>
  <c r="AX88" i="1" s="1"/>
  <c r="AF88" i="1"/>
  <c r="AH88" i="1"/>
  <c r="AI88" i="1"/>
  <c r="AO88" i="1"/>
  <c r="AW88" i="1"/>
  <c r="AD91" i="1"/>
  <c r="AE91" i="1"/>
  <c r="AX91" i="1" s="1"/>
  <c r="AF91" i="1"/>
  <c r="AH91" i="1"/>
  <c r="AI91" i="1"/>
  <c r="AO91" i="1"/>
  <c r="AW91" i="1"/>
  <c r="AD92" i="1"/>
  <c r="AE92" i="1"/>
  <c r="AX92" i="1" s="1"/>
  <c r="AF92" i="1"/>
  <c r="AH92" i="1"/>
  <c r="AI92" i="1"/>
  <c r="AO92" i="1"/>
  <c r="AW92" i="1"/>
  <c r="AD93" i="1"/>
  <c r="AE93" i="1"/>
  <c r="AX93" i="1" s="1"/>
  <c r="AF93" i="1"/>
  <c r="AH93" i="1"/>
  <c r="AI93" i="1"/>
  <c r="AO93" i="1"/>
  <c r="AW93" i="1"/>
  <c r="AD94" i="1"/>
  <c r="AE94" i="1"/>
  <c r="AX94" i="1" s="1"/>
  <c r="AF94" i="1"/>
  <c r="AH94" i="1"/>
  <c r="AI94" i="1"/>
  <c r="AO94" i="1"/>
  <c r="AW94" i="1"/>
  <c r="AD104" i="1"/>
  <c r="AE104" i="1"/>
  <c r="AX104" i="1" s="1"/>
  <c r="AF104" i="1"/>
  <c r="AH104" i="1"/>
  <c r="AI104" i="1"/>
  <c r="AO104" i="1"/>
  <c r="AW104" i="1"/>
  <c r="AD38" i="1"/>
  <c r="AE38" i="1"/>
  <c r="AF38" i="1"/>
  <c r="AH38" i="1"/>
  <c r="AI38" i="1"/>
  <c r="AO38" i="1"/>
  <c r="AW38" i="1"/>
  <c r="AD36" i="1"/>
  <c r="AE36" i="1"/>
  <c r="AF36" i="1"/>
  <c r="AH36" i="1"/>
  <c r="AI36" i="1"/>
  <c r="AO36" i="1"/>
  <c r="AW36" i="1"/>
  <c r="AD16" i="1"/>
  <c r="AE16" i="1"/>
  <c r="AF16" i="1"/>
  <c r="AH16" i="1"/>
  <c r="AI16" i="1"/>
  <c r="AO16" i="1"/>
  <c r="AW16" i="1"/>
  <c r="AD4" i="1"/>
  <c r="AE4" i="1"/>
  <c r="AX4" i="1" s="1"/>
  <c r="AF4" i="1"/>
  <c r="AH4" i="1"/>
  <c r="AI4" i="1"/>
  <c r="AO4" i="1"/>
  <c r="AW4" i="1"/>
  <c r="AD5" i="1"/>
  <c r="AE5" i="1"/>
  <c r="AX5" i="1" s="1"/>
  <c r="AF5" i="1"/>
  <c r="AR5" i="1"/>
  <c r="AH5" i="1"/>
  <c r="AI5" i="1"/>
  <c r="AO5" i="1"/>
  <c r="AW5" i="1"/>
  <c r="AD48" i="1"/>
  <c r="AE48" i="1"/>
  <c r="AX48" i="1" s="1"/>
  <c r="AF48" i="1"/>
  <c r="AH48" i="1"/>
  <c r="AI48" i="1"/>
  <c r="AO48" i="1"/>
  <c r="AW48" i="1"/>
  <c r="AD89" i="1"/>
  <c r="AE89" i="1"/>
  <c r="AX89" i="1" s="1"/>
  <c r="AF89" i="1"/>
  <c r="AH89" i="1"/>
  <c r="AI89" i="1"/>
  <c r="AO89" i="1"/>
  <c r="AW89" i="1"/>
  <c r="AD106" i="1"/>
  <c r="AE106" i="1"/>
  <c r="AX106" i="1" s="1"/>
  <c r="AF106" i="1"/>
  <c r="AH106" i="1"/>
  <c r="AI106" i="1"/>
  <c r="AO106" i="1"/>
  <c r="AW106" i="1"/>
  <c r="AD112" i="1"/>
  <c r="AE112" i="1"/>
  <c r="AX112" i="1" s="1"/>
  <c r="AF112" i="1"/>
  <c r="AH112" i="1"/>
  <c r="AI112" i="1"/>
  <c r="AO112" i="1"/>
  <c r="AW112" i="1"/>
  <c r="AD53" i="1"/>
  <c r="AE53" i="1"/>
  <c r="AX53" i="1" s="1"/>
  <c r="AF53" i="1"/>
  <c r="AH53" i="1"/>
  <c r="AI53" i="1"/>
  <c r="AO53" i="1"/>
  <c r="AW53" i="1"/>
  <c r="AD103" i="1"/>
  <c r="AE103" i="1"/>
  <c r="AX103" i="1" s="1"/>
  <c r="AF103" i="1"/>
  <c r="AH103" i="1"/>
  <c r="AI103" i="1"/>
  <c r="AO103" i="1"/>
  <c r="AW103" i="1"/>
  <c r="AD45" i="1"/>
  <c r="AE45" i="1"/>
  <c r="AX45" i="1" s="1"/>
  <c r="AF45" i="1"/>
  <c r="AH45" i="1"/>
  <c r="AI45" i="1"/>
  <c r="AO45" i="1"/>
  <c r="AW45" i="1"/>
  <c r="AD102" i="1"/>
  <c r="AE102" i="1"/>
  <c r="AX102" i="1" s="1"/>
  <c r="AF102" i="1"/>
  <c r="AH102" i="1"/>
  <c r="AI102" i="1"/>
  <c r="AO102" i="1"/>
  <c r="AW102" i="1"/>
  <c r="AD52" i="1"/>
  <c r="AE52" i="1"/>
  <c r="AX52" i="1" s="1"/>
  <c r="AF52" i="1"/>
  <c r="AH52" i="1"/>
  <c r="AI52" i="1"/>
  <c r="AO52" i="1"/>
  <c r="AW52" i="1"/>
  <c r="AD90" i="1"/>
  <c r="AE90" i="1"/>
  <c r="AX90" i="1" s="1"/>
  <c r="AF90" i="1"/>
  <c r="AH90" i="1"/>
  <c r="AI90" i="1"/>
  <c r="AO90" i="1"/>
  <c r="AW90" i="1"/>
  <c r="AD46" i="1"/>
  <c r="AE46" i="1"/>
  <c r="AX46" i="1" s="1"/>
  <c r="AF46" i="1"/>
  <c r="AH46" i="1"/>
  <c r="AI46" i="1"/>
  <c r="AO46" i="1"/>
  <c r="AW46" i="1"/>
  <c r="AD96" i="1"/>
  <c r="AE96" i="1"/>
  <c r="AX96" i="1" s="1"/>
  <c r="AF96" i="1"/>
  <c r="AH96" i="1"/>
  <c r="AI96" i="1"/>
  <c r="AO96" i="1"/>
  <c r="AW96" i="1"/>
  <c r="AD108" i="1"/>
  <c r="AE108" i="1"/>
  <c r="AF108" i="1"/>
  <c r="AH108" i="1"/>
  <c r="AI108" i="1"/>
  <c r="AO108" i="1"/>
  <c r="AW108" i="1"/>
  <c r="AD105" i="1"/>
  <c r="AE105" i="1"/>
  <c r="AX105" i="1" s="1"/>
  <c r="AF105" i="1"/>
  <c r="AH105" i="1"/>
  <c r="AI105" i="1"/>
  <c r="AO105" i="1"/>
  <c r="AW105" i="1"/>
  <c r="AD44" i="1"/>
  <c r="AE44" i="1"/>
  <c r="AX44" i="1" s="1"/>
  <c r="AF44" i="1"/>
  <c r="AH44" i="1"/>
  <c r="AI44" i="1"/>
  <c r="AO44" i="1"/>
  <c r="AW44" i="1"/>
  <c r="AD101" i="1"/>
  <c r="AE101" i="1"/>
  <c r="AX101" i="1" s="1"/>
  <c r="AF101" i="1"/>
  <c r="AH101" i="1"/>
  <c r="AI101" i="1"/>
  <c r="AO101" i="1"/>
  <c r="AW101" i="1"/>
  <c r="AD49" i="1"/>
  <c r="AE49" i="1"/>
  <c r="AX49" i="1" s="1"/>
  <c r="AF49" i="1"/>
  <c r="AH49" i="1"/>
  <c r="AI49" i="1"/>
  <c r="AO49" i="1"/>
  <c r="AW49" i="1"/>
  <c r="AD100" i="1"/>
  <c r="AE100" i="1"/>
  <c r="AX100" i="1" s="1"/>
  <c r="AF100" i="1"/>
  <c r="AH100" i="1"/>
  <c r="AI100" i="1"/>
  <c r="AO100" i="1"/>
  <c r="AW100" i="1"/>
  <c r="AD50" i="1"/>
  <c r="AE50" i="1"/>
  <c r="AX50" i="1" s="1"/>
  <c r="AF50" i="1"/>
  <c r="AH50" i="1"/>
  <c r="AI50" i="1"/>
  <c r="AO50" i="1"/>
  <c r="AW50" i="1"/>
  <c r="AD99" i="1"/>
  <c r="AE99" i="1"/>
  <c r="AX99" i="1" s="1"/>
  <c r="AF99" i="1"/>
  <c r="AH99" i="1"/>
  <c r="AI99" i="1"/>
  <c r="AO99" i="1"/>
  <c r="AW99" i="1"/>
  <c r="AD47" i="1"/>
  <c r="AE47" i="1"/>
  <c r="AX47" i="1" s="1"/>
  <c r="AF47" i="1"/>
  <c r="AH47" i="1"/>
  <c r="AI47" i="1"/>
  <c r="AO47" i="1"/>
  <c r="AW47" i="1"/>
  <c r="AD97" i="1"/>
  <c r="AE97" i="1"/>
  <c r="AX97" i="1" s="1"/>
  <c r="AF97" i="1"/>
  <c r="AH97" i="1"/>
  <c r="AI97" i="1"/>
  <c r="AO97" i="1"/>
  <c r="AW97" i="1"/>
  <c r="AD51" i="1"/>
  <c r="AE51" i="1"/>
  <c r="AX51" i="1" s="1"/>
  <c r="AF51" i="1"/>
  <c r="AH51" i="1"/>
  <c r="AI51" i="1"/>
  <c r="AO51" i="1"/>
  <c r="AW51" i="1"/>
  <c r="AD98" i="1"/>
  <c r="AE98" i="1"/>
  <c r="AX98" i="1" s="1"/>
  <c r="AF98" i="1"/>
  <c r="AH98" i="1"/>
  <c r="AI98" i="1"/>
  <c r="AO98" i="1"/>
  <c r="AW98" i="1"/>
  <c r="AD9" i="1"/>
  <c r="AE9" i="1"/>
  <c r="AF9" i="1"/>
  <c r="AH9" i="1"/>
  <c r="AI9" i="1"/>
  <c r="AO9" i="1"/>
  <c r="AW9" i="1"/>
  <c r="AD19" i="1"/>
  <c r="AE19" i="1"/>
  <c r="AF19" i="1"/>
  <c r="AH19" i="1"/>
  <c r="AI19" i="1"/>
  <c r="AO19" i="1"/>
  <c r="AW19" i="1"/>
  <c r="AD34" i="1"/>
  <c r="AE34" i="1"/>
  <c r="AF34" i="1"/>
  <c r="AH34" i="1"/>
  <c r="AI34" i="1"/>
  <c r="AO34" i="1"/>
  <c r="AW34" i="1"/>
  <c r="AD118" i="1"/>
  <c r="AE118" i="1"/>
  <c r="AF118" i="1"/>
  <c r="AH118" i="1"/>
  <c r="AI118" i="1"/>
  <c r="AO118" i="1"/>
  <c r="AW118" i="1"/>
  <c r="AD58" i="1"/>
  <c r="AE58" i="1"/>
  <c r="AX58" i="1" s="1"/>
  <c r="AF58" i="1"/>
  <c r="AH58" i="1"/>
  <c r="AI58" i="1"/>
  <c r="AO58" i="1"/>
  <c r="AW58" i="1"/>
  <c r="AD121" i="1"/>
  <c r="AE121" i="1"/>
  <c r="AX121" i="1" s="1"/>
  <c r="AF121" i="1"/>
  <c r="AH121" i="1"/>
  <c r="AI121" i="1"/>
  <c r="AO121" i="1"/>
  <c r="AW121" i="1"/>
  <c r="AD84" i="1"/>
  <c r="AE84" i="1"/>
  <c r="AX84" i="1" s="1"/>
  <c r="AF84" i="1"/>
  <c r="AH84" i="1"/>
  <c r="AI84" i="1"/>
  <c r="AO84" i="1"/>
  <c r="AW84" i="1"/>
  <c r="AD85" i="1"/>
  <c r="AE85" i="1"/>
  <c r="AX85" i="1" s="1"/>
  <c r="AF85" i="1"/>
  <c r="AH85" i="1"/>
  <c r="AI85" i="1"/>
  <c r="AO85" i="1"/>
  <c r="AW85" i="1"/>
  <c r="AD11" i="1"/>
  <c r="AE11" i="1"/>
  <c r="AF11" i="1"/>
  <c r="AH11" i="1"/>
  <c r="AI11" i="1"/>
  <c r="AO11" i="1"/>
  <c r="AW11" i="1"/>
  <c r="AD43" i="1"/>
  <c r="AE43" i="1"/>
  <c r="AX43" i="1" s="1"/>
  <c r="AF43" i="1"/>
  <c r="AH43" i="1"/>
  <c r="AI43" i="1"/>
  <c r="AO43" i="1"/>
  <c r="AW43" i="1"/>
  <c r="AD77" i="1"/>
  <c r="AE77" i="1"/>
  <c r="AX77" i="1" s="1"/>
  <c r="AF77" i="1"/>
  <c r="AH77" i="1"/>
  <c r="AI77" i="1"/>
  <c r="AO77" i="1"/>
  <c r="AW77" i="1"/>
  <c r="AD86" i="1"/>
  <c r="AE86" i="1"/>
  <c r="AX86" i="1" s="1"/>
  <c r="AF86" i="1"/>
  <c r="AH86" i="1"/>
  <c r="AI86" i="1"/>
  <c r="AO86" i="1"/>
  <c r="AW86" i="1"/>
  <c r="AD87" i="1"/>
  <c r="AE87" i="1"/>
  <c r="AX87" i="1" s="1"/>
  <c r="AF87" i="1"/>
  <c r="AH87" i="1"/>
  <c r="AI87" i="1"/>
  <c r="AO87" i="1"/>
  <c r="AW87" i="1"/>
  <c r="AD8" i="1"/>
  <c r="AE8" i="1"/>
  <c r="AX8" i="1" s="1"/>
  <c r="AF8" i="1"/>
  <c r="AH8" i="1"/>
  <c r="AI8" i="1"/>
  <c r="AO8" i="1"/>
  <c r="AW8" i="1"/>
  <c r="AD122" i="1"/>
  <c r="AE122" i="1"/>
  <c r="AX122" i="1" s="1"/>
  <c r="AF122" i="1"/>
  <c r="AH122" i="1"/>
  <c r="AI122" i="1"/>
  <c r="AO122" i="1"/>
  <c r="AW122" i="1"/>
  <c r="AD79" i="1"/>
  <c r="AE79" i="1"/>
  <c r="AX79" i="1" s="1"/>
  <c r="AF79" i="1"/>
  <c r="AH79" i="1"/>
  <c r="AI79" i="1"/>
  <c r="AO79" i="1"/>
  <c r="AW79" i="1"/>
  <c r="AD83" i="1"/>
  <c r="AE83" i="1"/>
  <c r="AX83" i="1" s="1"/>
  <c r="AF83" i="1"/>
  <c r="AH83" i="1"/>
  <c r="AI83" i="1"/>
  <c r="AO83" i="1"/>
  <c r="AW83" i="1"/>
  <c r="AD59" i="1"/>
  <c r="AE59" i="1"/>
  <c r="AF59" i="1"/>
  <c r="AH59" i="1"/>
  <c r="AI59" i="1"/>
  <c r="AO59" i="1"/>
  <c r="AW59" i="1"/>
  <c r="AD123" i="1"/>
  <c r="AE123" i="1"/>
  <c r="AX123" i="1" s="1"/>
  <c r="AF123" i="1"/>
  <c r="AH123" i="1"/>
  <c r="AI123" i="1"/>
  <c r="AO123" i="1"/>
  <c r="AW123" i="1"/>
  <c r="AD124" i="1"/>
  <c r="AE124" i="1"/>
  <c r="AX124" i="1" s="1"/>
  <c r="AF124" i="1"/>
  <c r="AR124" i="1"/>
  <c r="AH124" i="1"/>
  <c r="AI124" i="1"/>
  <c r="AO124" i="1"/>
  <c r="AW124" i="1"/>
  <c r="AD125" i="1"/>
  <c r="AE125" i="1"/>
  <c r="AX125" i="1" s="1"/>
  <c r="AF125" i="1"/>
  <c r="AH125" i="1"/>
  <c r="AI125" i="1"/>
  <c r="AO125" i="1"/>
  <c r="AW125" i="1"/>
  <c r="AD82" i="1"/>
  <c r="AE82" i="1"/>
  <c r="AX82" i="1" s="1"/>
  <c r="AF82" i="1"/>
  <c r="AH82" i="1"/>
  <c r="AI82" i="1"/>
  <c r="AO82" i="1"/>
  <c r="AW82" i="1"/>
  <c r="AD78" i="1"/>
  <c r="AE78" i="1"/>
  <c r="AX78" i="1" s="1"/>
  <c r="AF78" i="1"/>
  <c r="AH78" i="1"/>
  <c r="AI78" i="1"/>
  <c r="AO78" i="1"/>
  <c r="AW78" i="1"/>
  <c r="AD39" i="1"/>
  <c r="AE39" i="1"/>
  <c r="AX39" i="1" s="1"/>
  <c r="AF39" i="1"/>
  <c r="AH39" i="1"/>
  <c r="AI39" i="1"/>
  <c r="AO39" i="1"/>
  <c r="AW39" i="1"/>
  <c r="AD40" i="1"/>
  <c r="AE40" i="1"/>
  <c r="AX40" i="1" s="1"/>
  <c r="AF40" i="1"/>
  <c r="AH40" i="1"/>
  <c r="AI40" i="1"/>
  <c r="AO40" i="1"/>
  <c r="AW40" i="1"/>
  <c r="AD41" i="1"/>
  <c r="AE41" i="1"/>
  <c r="AX41" i="1" s="1"/>
  <c r="AF41" i="1"/>
  <c r="AH41" i="1"/>
  <c r="AI41" i="1"/>
  <c r="AO41" i="1"/>
  <c r="AW41" i="1"/>
  <c r="AD42" i="1"/>
  <c r="AE42" i="1"/>
  <c r="AX42" i="1" s="1"/>
  <c r="AF42" i="1"/>
  <c r="AH42" i="1"/>
  <c r="AI42" i="1"/>
  <c r="AO42" i="1"/>
  <c r="AW42" i="1"/>
  <c r="AD54" i="1"/>
  <c r="AE54" i="1"/>
  <c r="AX54" i="1" s="1"/>
  <c r="AF54" i="1"/>
  <c r="AH54" i="1"/>
  <c r="AI54" i="1"/>
  <c r="AO54" i="1"/>
  <c r="AW54" i="1"/>
  <c r="AD55" i="1"/>
  <c r="AE55" i="1"/>
  <c r="AX55" i="1" s="1"/>
  <c r="AF55" i="1"/>
  <c r="AH55" i="1"/>
  <c r="AI55" i="1"/>
  <c r="AO55" i="1"/>
  <c r="AW55" i="1"/>
  <c r="AD56" i="1"/>
  <c r="AE56" i="1"/>
  <c r="AX56" i="1" s="1"/>
  <c r="AF56" i="1"/>
  <c r="AH56" i="1"/>
  <c r="AI56" i="1"/>
  <c r="AO56" i="1"/>
  <c r="AW56" i="1"/>
  <c r="AD57" i="1"/>
  <c r="AE57" i="1"/>
  <c r="AX57" i="1" s="1"/>
  <c r="AF57" i="1"/>
  <c r="AH57" i="1"/>
  <c r="AI57" i="1"/>
  <c r="AO57" i="1"/>
  <c r="AW57" i="1"/>
  <c r="AD65" i="1"/>
  <c r="AE65" i="1"/>
  <c r="AX65" i="1" s="1"/>
  <c r="AF65" i="1"/>
  <c r="AH65" i="1"/>
  <c r="AI65" i="1"/>
  <c r="AO65" i="1"/>
  <c r="AW65" i="1"/>
  <c r="AD66" i="1"/>
  <c r="AE66" i="1"/>
  <c r="AX66" i="1" s="1"/>
  <c r="AF66" i="1"/>
  <c r="AH66" i="1"/>
  <c r="AI66" i="1"/>
  <c r="AO66" i="1"/>
  <c r="AW66" i="1"/>
  <c r="AD67" i="1"/>
  <c r="AE67" i="1"/>
  <c r="AX67" i="1" s="1"/>
  <c r="AF67" i="1"/>
  <c r="AH67" i="1"/>
  <c r="AI67" i="1"/>
  <c r="AO67" i="1"/>
  <c r="AW67" i="1"/>
  <c r="AD68" i="1"/>
  <c r="AE68" i="1"/>
  <c r="AX68" i="1" s="1"/>
  <c r="AF68" i="1"/>
  <c r="AH68" i="1"/>
  <c r="AI68" i="1"/>
  <c r="AO68" i="1"/>
  <c r="AW68" i="1"/>
  <c r="AD69" i="1"/>
  <c r="AE69" i="1"/>
  <c r="AX69" i="1" s="1"/>
  <c r="AF69" i="1"/>
  <c r="AH69" i="1"/>
  <c r="AI69" i="1"/>
  <c r="AO69" i="1"/>
  <c r="AW69" i="1"/>
  <c r="AD70" i="1"/>
  <c r="AE70" i="1"/>
  <c r="AX70" i="1" s="1"/>
  <c r="AF70" i="1"/>
  <c r="AH70" i="1"/>
  <c r="AI70" i="1"/>
  <c r="AO70" i="1"/>
  <c r="AW70" i="1"/>
  <c r="AD71" i="1"/>
  <c r="AE71" i="1"/>
  <c r="AX71" i="1" s="1"/>
  <c r="AF71" i="1"/>
  <c r="AH71" i="1"/>
  <c r="AI71" i="1"/>
  <c r="AO71" i="1"/>
  <c r="AW71" i="1"/>
  <c r="AD72" i="1"/>
  <c r="AE72" i="1"/>
  <c r="AX72" i="1" s="1"/>
  <c r="AF72" i="1"/>
  <c r="AH72" i="1"/>
  <c r="AI72" i="1"/>
  <c r="AO72" i="1"/>
  <c r="AW72" i="1"/>
  <c r="AD73" i="1"/>
  <c r="AE73" i="1"/>
  <c r="AX73" i="1" s="1"/>
  <c r="AF73" i="1"/>
  <c r="AH73" i="1"/>
  <c r="AI73" i="1"/>
  <c r="AO73" i="1"/>
  <c r="AW73" i="1"/>
  <c r="AD74" i="1"/>
  <c r="AE74" i="1"/>
  <c r="AX74" i="1" s="1"/>
  <c r="AF74" i="1"/>
  <c r="AH74" i="1"/>
  <c r="AI74" i="1"/>
  <c r="AO74" i="1"/>
  <c r="AW74" i="1"/>
  <c r="AD75" i="1"/>
  <c r="AE75" i="1"/>
  <c r="AX75" i="1" s="1"/>
  <c r="AF75" i="1"/>
  <c r="AH75" i="1"/>
  <c r="AI75" i="1"/>
  <c r="AO75" i="1"/>
  <c r="AW75" i="1"/>
  <c r="AD76" i="1"/>
  <c r="AE76" i="1"/>
  <c r="AX76" i="1" s="1"/>
  <c r="AF76" i="1"/>
  <c r="AH76" i="1"/>
  <c r="AI76" i="1"/>
  <c r="AO76" i="1"/>
  <c r="AW76" i="1"/>
  <c r="AC88" i="1"/>
  <c r="AK88" i="1" s="1"/>
  <c r="AC91" i="1"/>
  <c r="AK91" i="1" s="1"/>
  <c r="AC92" i="1"/>
  <c r="AK92" i="1" s="1"/>
  <c r="AC93" i="1"/>
  <c r="AK93" i="1" s="1"/>
  <c r="AC94" i="1"/>
  <c r="AK94" i="1" s="1"/>
  <c r="AC104" i="1"/>
  <c r="AK104" i="1" s="1"/>
  <c r="AC38" i="1"/>
  <c r="AK38" i="1" s="1"/>
  <c r="AC36" i="1"/>
  <c r="AK36" i="1" s="1"/>
  <c r="AC16" i="1"/>
  <c r="AK16" i="1" s="1"/>
  <c r="AB6" i="1"/>
  <c r="AB110" i="1"/>
  <c r="AB14" i="1"/>
  <c r="AC14" i="1" s="1"/>
  <c r="AK14" i="1" s="1"/>
  <c r="AB15" i="1"/>
  <c r="AC15" i="1" s="1"/>
  <c r="AK15" i="1" s="1"/>
  <c r="AB13" i="1"/>
  <c r="AC13" i="1" s="1"/>
  <c r="AK13" i="1" s="1"/>
  <c r="AB35" i="1"/>
  <c r="AB61" i="1"/>
  <c r="AC61" i="1" s="1"/>
  <c r="AK61" i="1" s="1"/>
  <c r="AB25" i="1"/>
  <c r="AB22" i="1"/>
  <c r="AC22" i="1" s="1"/>
  <c r="AK22" i="1" s="1"/>
  <c r="AB24" i="1"/>
  <c r="AB21" i="1"/>
  <c r="AC21" i="1" s="1"/>
  <c r="AK21" i="1" s="1"/>
  <c r="AB23" i="1"/>
  <c r="AB111" i="1"/>
  <c r="AC111" i="1" s="1"/>
  <c r="AK111" i="1" s="1"/>
  <c r="AB113" i="1"/>
  <c r="AB109" i="1"/>
  <c r="AC109" i="1" s="1"/>
  <c r="AK109" i="1" s="1"/>
  <c r="AB26" i="1"/>
  <c r="AB120" i="1"/>
  <c r="AB119" i="1"/>
  <c r="AB31" i="1"/>
  <c r="AC31" i="1" s="1"/>
  <c r="AK31" i="1" s="1"/>
  <c r="AB60" i="1"/>
  <c r="AC60" i="1" s="1"/>
  <c r="AK60" i="1" s="1"/>
  <c r="AB20" i="1"/>
  <c r="AC20" i="1" s="1"/>
  <c r="AK20" i="1" s="1"/>
  <c r="AB18" i="1"/>
  <c r="AB29" i="1"/>
  <c r="AC29" i="1" s="1"/>
  <c r="AK29" i="1" s="1"/>
  <c r="AB30" i="1"/>
  <c r="AB7" i="1"/>
  <c r="AC7" i="1" s="1"/>
  <c r="AK7" i="1" s="1"/>
  <c r="AB63" i="1"/>
  <c r="AB64" i="1"/>
  <c r="AC64" i="1" s="1"/>
  <c r="AK64" i="1" s="1"/>
  <c r="AB95" i="1"/>
  <c r="AB107" i="1"/>
  <c r="AB28" i="1"/>
  <c r="AC28" i="1" s="1"/>
  <c r="AK28" i="1" s="1"/>
  <c r="AB114" i="1"/>
  <c r="AB27" i="1"/>
  <c r="AB33" i="1"/>
  <c r="AB117" i="1"/>
  <c r="AC117" i="1" s="1"/>
  <c r="AK117" i="1" s="1"/>
  <c r="AB115" i="1"/>
  <c r="AC115" i="1" s="1"/>
  <c r="AK115" i="1" s="1"/>
  <c r="AB17" i="1"/>
  <c r="AC17" i="1" s="1"/>
  <c r="AK17" i="1" s="1"/>
  <c r="AB32" i="1"/>
  <c r="AB62" i="1"/>
  <c r="AC62" i="1" s="1"/>
  <c r="AK62" i="1" s="1"/>
  <c r="AB10" i="1"/>
  <c r="AB116" i="1"/>
  <c r="AC116" i="1" s="1"/>
  <c r="AK116" i="1" s="1"/>
  <c r="AB37" i="1"/>
  <c r="AB88" i="1"/>
  <c r="AB91" i="1"/>
  <c r="AB92" i="1"/>
  <c r="AB93" i="1"/>
  <c r="AB94" i="1"/>
  <c r="AB104" i="1"/>
  <c r="AB38" i="1"/>
  <c r="AB36" i="1"/>
  <c r="AB16" i="1"/>
  <c r="AB4" i="1"/>
  <c r="AC4" i="1" s="1"/>
  <c r="AB5" i="1"/>
  <c r="AC5" i="1" s="1"/>
  <c r="AB48" i="1"/>
  <c r="AB89" i="1"/>
  <c r="AC89" i="1" s="1"/>
  <c r="AK89" i="1" s="1"/>
  <c r="AB106" i="1"/>
  <c r="AB112" i="1"/>
  <c r="AB53" i="1"/>
  <c r="AB103" i="1"/>
  <c r="AC103" i="1" s="1"/>
  <c r="AK103" i="1" s="1"/>
  <c r="AB45" i="1"/>
  <c r="AC45" i="1" s="1"/>
  <c r="AK45" i="1" s="1"/>
  <c r="AB102" i="1"/>
  <c r="AB52" i="1"/>
  <c r="AV52" i="1" s="1"/>
  <c r="AB90" i="1"/>
  <c r="AU90" i="1" s="1"/>
  <c r="AB46" i="1"/>
  <c r="AB96" i="1"/>
  <c r="AC96" i="1" s="1"/>
  <c r="AK96" i="1" s="1"/>
  <c r="AB108" i="1"/>
  <c r="AB105" i="1"/>
  <c r="AC105" i="1" s="1"/>
  <c r="AK105" i="1" s="1"/>
  <c r="AB44" i="1"/>
  <c r="AB101" i="1"/>
  <c r="AC101" i="1" s="1"/>
  <c r="AK101" i="1" s="1"/>
  <c r="AB49" i="1"/>
  <c r="AV49" i="1" s="1"/>
  <c r="AB100" i="1"/>
  <c r="AC100" i="1" s="1"/>
  <c r="AK100" i="1" s="1"/>
  <c r="AB50" i="1"/>
  <c r="AB99" i="1"/>
  <c r="AB47" i="1"/>
  <c r="AB97" i="1"/>
  <c r="AS97" i="1" s="1"/>
  <c r="AB51" i="1"/>
  <c r="AC51" i="1" s="1"/>
  <c r="AK51" i="1" s="1"/>
  <c r="AB98" i="1"/>
  <c r="AU98" i="1" s="1"/>
  <c r="AB9" i="1"/>
  <c r="AB19" i="1"/>
  <c r="AC19" i="1" s="1"/>
  <c r="AK19" i="1" s="1"/>
  <c r="AB34" i="1"/>
  <c r="AB118" i="1"/>
  <c r="AC118" i="1" s="1"/>
  <c r="AK118" i="1" s="1"/>
  <c r="AB58" i="1"/>
  <c r="AS58" i="1" s="1"/>
  <c r="AB121" i="1"/>
  <c r="AS121" i="1" s="1"/>
  <c r="AB84" i="1"/>
  <c r="AB85" i="1"/>
  <c r="AB11" i="1"/>
  <c r="AB43" i="1"/>
  <c r="AP43" i="1" s="1"/>
  <c r="AB77" i="1"/>
  <c r="AT77" i="1" s="1"/>
  <c r="AB86" i="1"/>
  <c r="AS86" i="1" s="1"/>
  <c r="AB87" i="1"/>
  <c r="AS87" i="1" s="1"/>
  <c r="AB8" i="1"/>
  <c r="AS8" i="1" s="1"/>
  <c r="AB122" i="1"/>
  <c r="AC122" i="1" s="1"/>
  <c r="AB79" i="1"/>
  <c r="AU79" i="1" s="1"/>
  <c r="AB83" i="1"/>
  <c r="AB59" i="1"/>
  <c r="AP59" i="1" s="1"/>
  <c r="AB123" i="1"/>
  <c r="AB124" i="1"/>
  <c r="AS124" i="1" s="1"/>
  <c r="AB125" i="1"/>
  <c r="AB82" i="1"/>
  <c r="AS82" i="1" s="1"/>
  <c r="AB78" i="1"/>
  <c r="AB39" i="1"/>
  <c r="AC39" i="1" s="1"/>
  <c r="AK39" i="1" s="1"/>
  <c r="AB40" i="1"/>
  <c r="AU40" i="1" s="1"/>
  <c r="AB41" i="1"/>
  <c r="AP41" i="1" s="1"/>
  <c r="AB42" i="1"/>
  <c r="AB54" i="1"/>
  <c r="AS54" i="1" s="1"/>
  <c r="AB55" i="1"/>
  <c r="AS55" i="1" s="1"/>
  <c r="AB56" i="1"/>
  <c r="AS56" i="1" s="1"/>
  <c r="AB57" i="1"/>
  <c r="AC57" i="1" s="1"/>
  <c r="AK57" i="1" s="1"/>
  <c r="AB65" i="1"/>
  <c r="AU65" i="1" s="1"/>
  <c r="AB66" i="1"/>
  <c r="AB67" i="1"/>
  <c r="AC67" i="1" s="1"/>
  <c r="AK67" i="1" s="1"/>
  <c r="AB68" i="1"/>
  <c r="AT68" i="1" s="1"/>
  <c r="AB69" i="1"/>
  <c r="AC69" i="1" s="1"/>
  <c r="AK69" i="1" s="1"/>
  <c r="AB70" i="1"/>
  <c r="AS70" i="1" s="1"/>
  <c r="AB71" i="1"/>
  <c r="AS71" i="1" s="1"/>
  <c r="AB72" i="1"/>
  <c r="AB73" i="1"/>
  <c r="AC73" i="1" s="1"/>
  <c r="AK73" i="1" s="1"/>
  <c r="AB74" i="1"/>
  <c r="AS74" i="1" s="1"/>
  <c r="AB75" i="1"/>
  <c r="AV75" i="1" s="1"/>
  <c r="AB76" i="1"/>
  <c r="AV76" i="1" s="1"/>
  <c r="AB12" i="1"/>
  <c r="AQ37" i="1" l="1"/>
  <c r="AX59" i="1"/>
  <c r="AL115" i="1"/>
  <c r="AL29" i="1"/>
  <c r="AL109" i="1"/>
  <c r="AL61" i="1"/>
  <c r="AL14" i="1"/>
  <c r="AL64" i="1"/>
  <c r="AL31" i="1"/>
  <c r="AL21" i="1"/>
  <c r="AL57" i="1"/>
  <c r="AL45" i="1"/>
  <c r="AL36" i="1"/>
  <c r="AL125" i="1"/>
  <c r="AL62" i="1"/>
  <c r="AL38" i="1"/>
  <c r="AL92" i="1"/>
  <c r="AL51" i="1"/>
  <c r="AL93" i="1"/>
  <c r="AL28" i="1"/>
  <c r="AL7" i="1"/>
  <c r="AL111" i="1"/>
  <c r="AL22" i="1"/>
  <c r="AL13" i="1"/>
  <c r="AL104" i="1"/>
  <c r="AL91" i="1"/>
  <c r="AL123" i="1"/>
  <c r="AL4" i="1"/>
  <c r="AL67" i="1"/>
  <c r="AL19" i="1"/>
  <c r="AL100" i="1"/>
  <c r="AL105" i="1"/>
  <c r="AL103" i="1"/>
  <c r="AL89" i="1"/>
  <c r="AL117" i="1"/>
  <c r="AX108" i="1"/>
  <c r="AX60" i="1"/>
  <c r="AN60" i="1"/>
  <c r="AM60" i="1"/>
  <c r="AL5" i="1"/>
  <c r="AL20" i="1"/>
  <c r="AL73" i="1"/>
  <c r="AL69" i="1"/>
  <c r="AL39" i="1"/>
  <c r="AL118" i="1"/>
  <c r="AL101" i="1"/>
  <c r="AL96" i="1"/>
  <c r="AL116" i="1"/>
  <c r="AL17" i="1"/>
  <c r="AL60" i="1"/>
  <c r="AL15" i="1"/>
  <c r="AL16" i="1"/>
  <c r="AL94" i="1"/>
  <c r="AL88" i="1"/>
  <c r="AL122" i="1"/>
  <c r="AL124" i="1"/>
  <c r="AN116" i="1"/>
  <c r="AM17" i="1"/>
  <c r="AM15" i="1"/>
  <c r="AM19" i="1"/>
  <c r="AM36" i="1"/>
  <c r="AM38" i="1"/>
  <c r="AN7" i="1"/>
  <c r="AN20" i="1"/>
  <c r="AM111" i="1"/>
  <c r="AN22" i="1"/>
  <c r="AM16" i="1"/>
  <c r="AM62" i="1"/>
  <c r="AM117" i="1"/>
  <c r="AN28" i="1"/>
  <c r="AM13" i="1"/>
  <c r="AM118" i="1"/>
  <c r="AN115" i="1"/>
  <c r="AM64" i="1"/>
  <c r="AN29" i="1"/>
  <c r="AN31" i="1"/>
  <c r="AN109" i="1"/>
  <c r="AM21" i="1"/>
  <c r="AM61" i="1"/>
  <c r="AM14" i="1"/>
  <c r="AC95" i="1"/>
  <c r="AK95" i="1" s="1"/>
  <c r="AL95" i="1" s="1"/>
  <c r="AV95" i="1"/>
  <c r="AX118" i="1"/>
  <c r="AX117" i="1"/>
  <c r="AX28" i="1"/>
  <c r="AX29" i="1"/>
  <c r="AX31" i="1"/>
  <c r="AX21" i="1"/>
  <c r="AX11" i="1"/>
  <c r="AX10" i="1"/>
  <c r="AX115" i="1"/>
  <c r="AX26" i="1"/>
  <c r="AX23" i="1"/>
  <c r="AX25" i="1"/>
  <c r="AX15" i="1"/>
  <c r="AX19" i="1"/>
  <c r="AX38" i="1"/>
  <c r="AX116" i="1"/>
  <c r="AX17" i="1"/>
  <c r="AX27" i="1"/>
  <c r="AX95" i="1"/>
  <c r="AX7" i="1"/>
  <c r="AX20" i="1"/>
  <c r="AX120" i="1"/>
  <c r="AX111" i="1"/>
  <c r="AX22" i="1"/>
  <c r="AX13" i="1"/>
  <c r="AX6" i="1"/>
  <c r="AX16" i="1"/>
  <c r="AX62" i="1"/>
  <c r="AX64" i="1"/>
  <c r="AX109" i="1"/>
  <c r="AX61" i="1"/>
  <c r="AX14" i="1"/>
  <c r="AX9" i="1"/>
  <c r="AX114" i="1"/>
  <c r="AX30" i="1"/>
  <c r="AX34" i="1"/>
  <c r="AX36" i="1"/>
  <c r="AX37" i="1"/>
  <c r="AX32" i="1"/>
  <c r="AX33" i="1"/>
  <c r="AX107" i="1"/>
  <c r="AX63" i="1"/>
  <c r="AX18" i="1"/>
  <c r="AX119" i="1"/>
  <c r="AX113" i="1"/>
  <c r="AX24" i="1"/>
  <c r="AX35" i="1"/>
  <c r="AX110" i="1"/>
  <c r="AP11" i="1"/>
  <c r="AR80" i="1"/>
  <c r="AR81" i="1"/>
  <c r="AC90" i="1"/>
  <c r="AK90" i="1" s="1"/>
  <c r="AL90" i="1" s="1"/>
  <c r="AV56" i="1"/>
  <c r="AC56" i="1"/>
  <c r="AK56" i="1" s="1"/>
  <c r="AL56" i="1" s="1"/>
  <c r="AV82" i="1"/>
  <c r="AT75" i="1"/>
  <c r="AC59" i="1"/>
  <c r="AK59" i="1" s="1"/>
  <c r="AL59" i="1" s="1"/>
  <c r="AT71" i="1"/>
  <c r="AC121" i="1"/>
  <c r="AK121" i="1" s="1"/>
  <c r="AL121" i="1" s="1"/>
  <c r="AT67" i="1"/>
  <c r="AV57" i="1"/>
  <c r="AC71" i="1"/>
  <c r="AK71" i="1" s="1"/>
  <c r="AL71" i="1" s="1"/>
  <c r="AC97" i="1"/>
  <c r="AK97" i="1" s="1"/>
  <c r="AL97" i="1" s="1"/>
  <c r="AT59" i="1"/>
  <c r="AV122" i="1"/>
  <c r="AV19" i="1"/>
  <c r="AC41" i="1"/>
  <c r="AK41" i="1" s="1"/>
  <c r="AL41" i="1" s="1"/>
  <c r="AP75" i="1"/>
  <c r="AP71" i="1"/>
  <c r="AP67" i="1"/>
  <c r="AT41" i="1"/>
  <c r="AV8" i="1"/>
  <c r="AU97" i="1"/>
  <c r="AC82" i="1"/>
  <c r="AK82" i="1" s="1"/>
  <c r="AL82" i="1" s="1"/>
  <c r="AT43" i="1"/>
  <c r="AP97" i="1"/>
  <c r="AC8" i="1"/>
  <c r="AV121" i="1"/>
  <c r="AC75" i="1"/>
  <c r="AK75" i="1" s="1"/>
  <c r="AL75" i="1" s="1"/>
  <c r="AC124" i="1"/>
  <c r="AC43" i="1"/>
  <c r="AK43" i="1" s="1"/>
  <c r="AL43" i="1" s="1"/>
  <c r="AP74" i="1"/>
  <c r="AV71" i="1"/>
  <c r="AP19" i="1"/>
  <c r="AR69" i="1"/>
  <c r="AV65" i="1"/>
  <c r="AS65" i="1"/>
  <c r="AP65" i="1"/>
  <c r="AT65" i="1"/>
  <c r="AP124" i="1"/>
  <c r="AT124" i="1"/>
  <c r="AU124" i="1"/>
  <c r="AV124" i="1"/>
  <c r="AV85" i="1"/>
  <c r="AS85" i="1"/>
  <c r="AP85" i="1"/>
  <c r="AT85" i="1"/>
  <c r="AS99" i="1"/>
  <c r="AT99" i="1"/>
  <c r="AP99" i="1"/>
  <c r="AU99" i="1"/>
  <c r="AV99" i="1"/>
  <c r="AS102" i="1"/>
  <c r="AP102" i="1"/>
  <c r="AT102" i="1"/>
  <c r="AU102" i="1"/>
  <c r="AV102" i="1"/>
  <c r="AP76" i="1"/>
  <c r="AU76" i="1"/>
  <c r="AS76" i="1"/>
  <c r="AS72" i="1"/>
  <c r="AT72" i="1"/>
  <c r="AP72" i="1"/>
  <c r="AU72" i="1"/>
  <c r="AP68" i="1"/>
  <c r="AU68" i="1"/>
  <c r="AV68" i="1"/>
  <c r="AS68" i="1"/>
  <c r="AS57" i="1"/>
  <c r="AT57" i="1"/>
  <c r="AP57" i="1"/>
  <c r="AU57" i="1"/>
  <c r="AP42" i="1"/>
  <c r="AU42" i="1"/>
  <c r="AV42" i="1"/>
  <c r="AS42" i="1"/>
  <c r="AS78" i="1"/>
  <c r="AT78" i="1"/>
  <c r="AP78" i="1"/>
  <c r="AU78" i="1"/>
  <c r="AP123" i="1"/>
  <c r="AU123" i="1"/>
  <c r="AV123" i="1"/>
  <c r="AS123" i="1"/>
  <c r="AS122" i="1"/>
  <c r="AT122" i="1"/>
  <c r="AP122" i="1"/>
  <c r="AU122" i="1"/>
  <c r="AP77" i="1"/>
  <c r="AU77" i="1"/>
  <c r="AV77" i="1"/>
  <c r="AS77" i="1"/>
  <c r="AS84" i="1"/>
  <c r="AT84" i="1"/>
  <c r="AP84" i="1"/>
  <c r="AU84" i="1"/>
  <c r="AP34" i="1"/>
  <c r="AS51" i="1"/>
  <c r="AT51" i="1"/>
  <c r="AP51" i="1"/>
  <c r="AU51" i="1"/>
  <c r="AS50" i="1"/>
  <c r="AT50" i="1"/>
  <c r="AU50" i="1"/>
  <c r="AV44" i="1"/>
  <c r="AS44" i="1"/>
  <c r="AP44" i="1"/>
  <c r="AU44" i="1"/>
  <c r="AT46" i="1"/>
  <c r="AP46" i="1"/>
  <c r="AU46" i="1"/>
  <c r="AS46" i="1"/>
  <c r="AV46" i="1"/>
  <c r="AS45" i="1"/>
  <c r="AT45" i="1"/>
  <c r="AP45" i="1"/>
  <c r="AU45" i="1"/>
  <c r="AV45" i="1"/>
  <c r="AV106" i="1"/>
  <c r="AS106" i="1"/>
  <c r="AT106" i="1"/>
  <c r="AP106" i="1"/>
  <c r="AU106" i="1"/>
  <c r="AP4" i="1"/>
  <c r="AU4" i="1"/>
  <c r="AV4" i="1"/>
  <c r="AS4" i="1"/>
  <c r="AT4" i="1"/>
  <c r="AV104" i="1"/>
  <c r="AV91" i="1"/>
  <c r="AV10" i="1"/>
  <c r="AV115" i="1"/>
  <c r="AV114" i="1"/>
  <c r="AV30" i="1"/>
  <c r="AV60" i="1"/>
  <c r="AV26" i="1"/>
  <c r="AV23" i="1"/>
  <c r="AV25" i="1"/>
  <c r="AV15" i="1"/>
  <c r="AC12" i="1"/>
  <c r="AK12" i="1" s="1"/>
  <c r="AC76" i="1"/>
  <c r="AK76" i="1" s="1"/>
  <c r="AL76" i="1" s="1"/>
  <c r="AC65" i="1"/>
  <c r="AK65" i="1" s="1"/>
  <c r="AL65" i="1" s="1"/>
  <c r="AC42" i="1"/>
  <c r="AK42" i="1" s="1"/>
  <c r="AL42" i="1" s="1"/>
  <c r="AC79" i="1"/>
  <c r="AK79" i="1" s="1"/>
  <c r="AL79" i="1" s="1"/>
  <c r="AC77" i="1"/>
  <c r="AK77" i="1" s="1"/>
  <c r="AL77" i="1" s="1"/>
  <c r="AC98" i="1"/>
  <c r="AK98" i="1" s="1"/>
  <c r="AL98" i="1" s="1"/>
  <c r="AC50" i="1"/>
  <c r="AK50" i="1" s="1"/>
  <c r="AL50" i="1" s="1"/>
  <c r="AC102" i="1"/>
  <c r="AK102" i="1" s="1"/>
  <c r="AL102" i="1" s="1"/>
  <c r="AC106" i="1"/>
  <c r="AK106" i="1" s="1"/>
  <c r="AL106" i="1" s="1"/>
  <c r="AC114" i="1"/>
  <c r="AK114" i="1" s="1"/>
  <c r="AL114" i="1" s="1"/>
  <c r="AC26" i="1"/>
  <c r="AK26" i="1" s="1"/>
  <c r="AL26" i="1" s="1"/>
  <c r="AS73" i="1"/>
  <c r="AV72" i="1"/>
  <c r="AT42" i="1"/>
  <c r="AU39" i="1"/>
  <c r="AV78" i="1"/>
  <c r="AT123" i="1"/>
  <c r="AV51" i="1"/>
  <c r="AV74" i="1"/>
  <c r="AT74" i="1"/>
  <c r="AC74" i="1"/>
  <c r="AK74" i="1" s="1"/>
  <c r="AL74" i="1" s="1"/>
  <c r="AT70" i="1"/>
  <c r="AP70" i="1"/>
  <c r="AU70" i="1"/>
  <c r="AV70" i="1"/>
  <c r="AC70" i="1"/>
  <c r="AK70" i="1" s="1"/>
  <c r="AL70" i="1" s="1"/>
  <c r="AV66" i="1"/>
  <c r="AS66" i="1"/>
  <c r="AT66" i="1"/>
  <c r="AC66" i="1"/>
  <c r="AK66" i="1" s="1"/>
  <c r="AL66" i="1" s="1"/>
  <c r="AT55" i="1"/>
  <c r="AP55" i="1"/>
  <c r="AU55" i="1"/>
  <c r="AV55" i="1"/>
  <c r="AC55" i="1"/>
  <c r="AK55" i="1" s="1"/>
  <c r="AL55" i="1" s="1"/>
  <c r="AV40" i="1"/>
  <c r="AS40" i="1"/>
  <c r="AT40" i="1"/>
  <c r="AC40" i="1"/>
  <c r="AK40" i="1" s="1"/>
  <c r="AL40" i="1" s="1"/>
  <c r="AT125" i="1"/>
  <c r="AP125" i="1"/>
  <c r="AU125" i="1"/>
  <c r="AV125" i="1"/>
  <c r="AC125" i="1"/>
  <c r="AV83" i="1"/>
  <c r="AS83" i="1"/>
  <c r="AT83" i="1"/>
  <c r="AC83" i="1"/>
  <c r="AK83" i="1" s="1"/>
  <c r="AL83" i="1" s="1"/>
  <c r="AT87" i="1"/>
  <c r="AP87" i="1"/>
  <c r="AU87" i="1"/>
  <c r="AV87" i="1"/>
  <c r="AC87" i="1"/>
  <c r="AK87" i="1" s="1"/>
  <c r="AL87" i="1" s="1"/>
  <c r="AV11" i="1"/>
  <c r="AC11" i="1"/>
  <c r="AK11" i="1" s="1"/>
  <c r="AL11" i="1" s="1"/>
  <c r="AT58" i="1"/>
  <c r="AP58" i="1"/>
  <c r="AU58" i="1"/>
  <c r="AV58" i="1"/>
  <c r="AC58" i="1"/>
  <c r="AV9" i="1"/>
  <c r="AC9" i="1"/>
  <c r="AK9" i="1" s="1"/>
  <c r="AL9" i="1" s="1"/>
  <c r="AT47" i="1"/>
  <c r="AP47" i="1"/>
  <c r="AV47" i="1"/>
  <c r="AS47" i="1"/>
  <c r="AC47" i="1"/>
  <c r="AK47" i="1" s="1"/>
  <c r="AL47" i="1" s="1"/>
  <c r="AS49" i="1"/>
  <c r="AT49" i="1"/>
  <c r="AP49" i="1"/>
  <c r="AU49" i="1"/>
  <c r="AC49" i="1"/>
  <c r="AK49" i="1" s="1"/>
  <c r="AL49" i="1" s="1"/>
  <c r="AP108" i="1"/>
  <c r="AV108" i="1"/>
  <c r="AS108" i="1"/>
  <c r="AU108" i="1"/>
  <c r="AC108" i="1"/>
  <c r="AK108" i="1" s="1"/>
  <c r="AL108" i="1" s="1"/>
  <c r="AT52" i="1"/>
  <c r="AP52" i="1"/>
  <c r="AU52" i="1"/>
  <c r="AS52" i="1"/>
  <c r="AC52" i="1"/>
  <c r="AK52" i="1" s="1"/>
  <c r="AL52" i="1" s="1"/>
  <c r="AS53" i="1"/>
  <c r="AT53" i="1"/>
  <c r="AP53" i="1"/>
  <c r="AU53" i="1"/>
  <c r="AV53" i="1"/>
  <c r="AC53" i="1"/>
  <c r="AK53" i="1" s="1"/>
  <c r="AL53" i="1" s="1"/>
  <c r="AV48" i="1"/>
  <c r="AS48" i="1"/>
  <c r="AT48" i="1"/>
  <c r="AP48" i="1"/>
  <c r="AU48" i="1"/>
  <c r="AC48" i="1"/>
  <c r="AK48" i="1" s="1"/>
  <c r="AL48" i="1" s="1"/>
  <c r="AV36" i="1"/>
  <c r="AV93" i="1"/>
  <c r="AV37" i="1"/>
  <c r="AC37" i="1"/>
  <c r="AK37" i="1" s="1"/>
  <c r="AL37" i="1" s="1"/>
  <c r="AV32" i="1"/>
  <c r="AC32" i="1"/>
  <c r="AK32" i="1" s="1"/>
  <c r="AL32" i="1" s="1"/>
  <c r="AV33" i="1"/>
  <c r="AC33" i="1"/>
  <c r="AK33" i="1" s="1"/>
  <c r="AL33" i="1" s="1"/>
  <c r="AV107" i="1"/>
  <c r="AC107" i="1"/>
  <c r="AK107" i="1" s="1"/>
  <c r="AL107" i="1" s="1"/>
  <c r="AV63" i="1"/>
  <c r="AC63" i="1"/>
  <c r="AK63" i="1" s="1"/>
  <c r="AL63" i="1" s="1"/>
  <c r="AV18" i="1"/>
  <c r="AC18" i="1"/>
  <c r="AK18" i="1" s="1"/>
  <c r="AL18" i="1" s="1"/>
  <c r="AV119" i="1"/>
  <c r="AC119" i="1"/>
  <c r="AK119" i="1" s="1"/>
  <c r="AL119" i="1" s="1"/>
  <c r="AV113" i="1"/>
  <c r="AC113" i="1"/>
  <c r="AK113" i="1" s="1"/>
  <c r="AL113" i="1" s="1"/>
  <c r="AV24" i="1"/>
  <c r="AC24" i="1"/>
  <c r="AK24" i="1" s="1"/>
  <c r="AL24" i="1" s="1"/>
  <c r="AV35" i="1"/>
  <c r="AC35" i="1"/>
  <c r="AK35" i="1" s="1"/>
  <c r="AL35" i="1" s="1"/>
  <c r="AV110" i="1"/>
  <c r="AC110" i="1"/>
  <c r="AK110" i="1" s="1"/>
  <c r="AL110" i="1" s="1"/>
  <c r="AC68" i="1"/>
  <c r="AK68" i="1" s="1"/>
  <c r="AL68" i="1" s="1"/>
  <c r="AC123" i="1"/>
  <c r="AC85" i="1"/>
  <c r="AK85" i="1" s="1"/>
  <c r="AL85" i="1" s="1"/>
  <c r="AC34" i="1"/>
  <c r="AK34" i="1" s="1"/>
  <c r="AL34" i="1" s="1"/>
  <c r="AC46" i="1"/>
  <c r="AK46" i="1" s="1"/>
  <c r="AL46" i="1" s="1"/>
  <c r="AC10" i="1"/>
  <c r="AK10" i="1" s="1"/>
  <c r="AL10" i="1" s="1"/>
  <c r="AC30" i="1"/>
  <c r="AK30" i="1" s="1"/>
  <c r="AL30" i="1" s="1"/>
  <c r="AC25" i="1"/>
  <c r="AK25" i="1" s="1"/>
  <c r="AL25" i="1" s="1"/>
  <c r="AT76" i="1"/>
  <c r="AU66" i="1"/>
  <c r="AP40" i="1"/>
  <c r="AU83" i="1"/>
  <c r="AU85" i="1"/>
  <c r="AV84" i="1"/>
  <c r="AV34" i="1"/>
  <c r="AP9" i="1"/>
  <c r="AU47" i="1"/>
  <c r="AV50" i="1"/>
  <c r="AT108" i="1"/>
  <c r="AV73" i="1"/>
  <c r="AP73" i="1"/>
  <c r="AT73" i="1"/>
  <c r="AP69" i="1"/>
  <c r="AT69" i="1"/>
  <c r="AU69" i="1"/>
  <c r="AV69" i="1"/>
  <c r="AP54" i="1"/>
  <c r="AT54" i="1"/>
  <c r="AU54" i="1"/>
  <c r="AV54" i="1"/>
  <c r="AV39" i="1"/>
  <c r="AS39" i="1"/>
  <c r="AP39" i="1"/>
  <c r="AT39" i="1"/>
  <c r="AV79" i="1"/>
  <c r="AS79" i="1"/>
  <c r="AP79" i="1"/>
  <c r="AT79" i="1"/>
  <c r="AP86" i="1"/>
  <c r="AT86" i="1"/>
  <c r="AU86" i="1"/>
  <c r="AV86" i="1"/>
  <c r="AP118" i="1"/>
  <c r="AV118" i="1"/>
  <c r="AV98" i="1"/>
  <c r="AS98" i="1"/>
  <c r="AP98" i="1"/>
  <c r="AT98" i="1"/>
  <c r="AV101" i="1"/>
  <c r="AS101" i="1"/>
  <c r="AU101" i="1"/>
  <c r="AP101" i="1"/>
  <c r="AT101" i="1"/>
  <c r="AP96" i="1"/>
  <c r="AT96" i="1"/>
  <c r="AU96" i="1"/>
  <c r="AS96" i="1"/>
  <c r="AV96" i="1"/>
  <c r="AV112" i="1"/>
  <c r="AS112" i="1"/>
  <c r="AP112" i="1"/>
  <c r="AT112" i="1"/>
  <c r="AU112" i="1"/>
  <c r="AU5" i="1"/>
  <c r="AV5" i="1"/>
  <c r="AS5" i="1"/>
  <c r="AP5" i="1"/>
  <c r="AT5" i="1"/>
  <c r="AV38" i="1"/>
  <c r="AV92" i="1"/>
  <c r="AP116" i="1"/>
  <c r="AV116" i="1"/>
  <c r="AP17" i="1"/>
  <c r="AV17" i="1"/>
  <c r="AP27" i="1"/>
  <c r="AV27" i="1"/>
  <c r="AP95" i="1"/>
  <c r="AP7" i="1"/>
  <c r="AV7" i="1"/>
  <c r="AP20" i="1"/>
  <c r="AV20" i="1"/>
  <c r="AP120" i="1"/>
  <c r="AV120" i="1"/>
  <c r="AP111" i="1"/>
  <c r="AV111" i="1"/>
  <c r="AP22" i="1"/>
  <c r="AV22" i="1"/>
  <c r="AP13" i="1"/>
  <c r="AV13" i="1"/>
  <c r="AP6" i="1"/>
  <c r="AV6" i="1"/>
  <c r="AV12" i="1"/>
  <c r="AC72" i="1"/>
  <c r="AK72" i="1" s="1"/>
  <c r="AL72" i="1" s="1"/>
  <c r="AC54" i="1"/>
  <c r="AK54" i="1" s="1"/>
  <c r="AL54" i="1" s="1"/>
  <c r="AC78" i="1"/>
  <c r="AK78" i="1" s="1"/>
  <c r="AL78" i="1" s="1"/>
  <c r="AC86" i="1"/>
  <c r="AK86" i="1" s="1"/>
  <c r="AL86" i="1" s="1"/>
  <c r="AC84" i="1"/>
  <c r="AK84" i="1" s="1"/>
  <c r="AL84" i="1" s="1"/>
  <c r="AC99" i="1"/>
  <c r="AK99" i="1" s="1"/>
  <c r="AL99" i="1" s="1"/>
  <c r="AC44" i="1"/>
  <c r="AK44" i="1" s="1"/>
  <c r="AL44" i="1" s="1"/>
  <c r="AC112" i="1"/>
  <c r="AK112" i="1" s="1"/>
  <c r="AL112" i="1" s="1"/>
  <c r="AC27" i="1"/>
  <c r="AK27" i="1" s="1"/>
  <c r="AL27" i="1" s="1"/>
  <c r="AC120" i="1"/>
  <c r="AK120" i="1" s="1"/>
  <c r="AL120" i="1" s="1"/>
  <c r="AC23" i="1"/>
  <c r="AK23" i="1" s="1"/>
  <c r="AL23" i="1" s="1"/>
  <c r="AC6" i="1"/>
  <c r="AK6" i="1" s="1"/>
  <c r="AL6" i="1" s="1"/>
  <c r="AU74" i="1"/>
  <c r="AU73" i="1"/>
  <c r="AS69" i="1"/>
  <c r="AP66" i="1"/>
  <c r="AS125" i="1"/>
  <c r="AP83" i="1"/>
  <c r="AP50" i="1"/>
  <c r="AT44" i="1"/>
  <c r="AV100" i="1"/>
  <c r="AS100" i="1"/>
  <c r="AU105" i="1"/>
  <c r="AV105" i="1"/>
  <c r="AP105" i="1"/>
  <c r="AT105" i="1"/>
  <c r="AS90" i="1"/>
  <c r="AP90" i="1"/>
  <c r="AT90" i="1"/>
  <c r="AV90" i="1"/>
  <c r="AV103" i="1"/>
  <c r="AS103" i="1"/>
  <c r="AP103" i="1"/>
  <c r="AT103" i="1"/>
  <c r="AU103" i="1"/>
  <c r="AU89" i="1"/>
  <c r="AV89" i="1"/>
  <c r="AS89" i="1"/>
  <c r="AP89" i="1"/>
  <c r="AT89" i="1"/>
  <c r="AV16" i="1"/>
  <c r="AV94" i="1"/>
  <c r="AP88" i="1"/>
  <c r="AV88" i="1"/>
  <c r="AV62" i="1"/>
  <c r="AP62" i="1"/>
  <c r="AV117" i="1"/>
  <c r="AP117" i="1"/>
  <c r="AP28" i="1"/>
  <c r="AV28" i="1"/>
  <c r="AP64" i="1"/>
  <c r="AV64" i="1"/>
  <c r="AP29" i="1"/>
  <c r="AV29" i="1"/>
  <c r="AP31" i="1"/>
  <c r="AV31" i="1"/>
  <c r="AP109" i="1"/>
  <c r="AV109" i="1"/>
  <c r="AP21" i="1"/>
  <c r="AV21" i="1"/>
  <c r="AP61" i="1"/>
  <c r="AV61" i="1"/>
  <c r="AP14" i="1"/>
  <c r="AV14" i="1"/>
  <c r="AS75" i="1"/>
  <c r="AU71" i="1"/>
  <c r="AS67" i="1"/>
  <c r="AU56" i="1"/>
  <c r="AS41" i="1"/>
  <c r="AU82" i="1"/>
  <c r="AS59" i="1"/>
  <c r="AU8" i="1"/>
  <c r="AS43" i="1"/>
  <c r="AU121" i="1"/>
  <c r="AT97" i="1"/>
  <c r="AP100" i="1"/>
  <c r="AV67" i="1"/>
  <c r="AT56" i="1"/>
  <c r="AP56" i="1"/>
  <c r="AV41" i="1"/>
  <c r="AT82" i="1"/>
  <c r="AP82" i="1"/>
  <c r="AV59" i="1"/>
  <c r="AT8" i="1"/>
  <c r="AP8" i="1"/>
  <c r="AV43" i="1"/>
  <c r="AT121" i="1"/>
  <c r="AP121" i="1"/>
  <c r="AU100" i="1"/>
  <c r="AS105" i="1"/>
  <c r="AU75" i="1"/>
  <c r="AU67" i="1"/>
  <c r="AU41" i="1"/>
  <c r="AU59" i="1"/>
  <c r="AU43" i="1"/>
  <c r="AV97" i="1"/>
  <c r="AT100" i="1"/>
  <c r="AP38" i="1"/>
  <c r="AP37" i="1"/>
  <c r="AP32" i="1"/>
  <c r="AP110" i="1"/>
  <c r="AP115" i="1"/>
  <c r="AP114" i="1"/>
  <c r="AP119" i="1"/>
  <c r="AP23" i="1"/>
  <c r="AP92" i="1"/>
  <c r="AP91" i="1"/>
  <c r="AP16" i="1"/>
  <c r="AP36" i="1"/>
  <c r="AP104" i="1"/>
  <c r="AP10" i="1"/>
  <c r="AP107" i="1"/>
  <c r="AP94" i="1"/>
  <c r="AP93" i="1"/>
  <c r="AP33" i="1"/>
  <c r="AP30" i="1"/>
  <c r="AP18" i="1"/>
  <c r="AP25" i="1"/>
  <c r="AP35" i="1"/>
  <c r="AP63" i="1"/>
  <c r="AP60" i="1"/>
  <c r="AP24" i="1"/>
  <c r="AP15" i="1"/>
  <c r="AP26" i="1"/>
  <c r="AP113" i="1"/>
  <c r="AR4" i="1"/>
  <c r="AR125" i="1"/>
  <c r="AR123" i="1"/>
  <c r="AR122" i="1"/>
  <c r="C10" i="1"/>
  <c r="C17" i="1"/>
  <c r="C22" i="1"/>
  <c r="C24" i="1"/>
  <c r="C27" i="1"/>
  <c r="C32" i="1"/>
  <c r="C33" i="1"/>
  <c r="C35" i="1"/>
  <c r="C61" i="1"/>
  <c r="C107" i="1"/>
  <c r="C109" i="1"/>
  <c r="C110" i="1"/>
  <c r="C113" i="1"/>
  <c r="C115" i="1"/>
  <c r="C117" i="1"/>
  <c r="C37" i="1"/>
  <c r="C25" i="1"/>
  <c r="C62" i="1"/>
  <c r="C7" i="1"/>
  <c r="C18" i="1"/>
  <c r="C20" i="1"/>
  <c r="C21" i="1"/>
  <c r="C23" i="1"/>
  <c r="C26" i="1"/>
  <c r="C28" i="1"/>
  <c r="C29" i="1"/>
  <c r="C30" i="1"/>
  <c r="C95" i="1"/>
  <c r="C31" i="1"/>
  <c r="C36" i="1"/>
  <c r="C38" i="1"/>
  <c r="C43" i="1"/>
  <c r="C44" i="1"/>
  <c r="C45" i="1"/>
  <c r="C46" i="1"/>
  <c r="C47" i="1"/>
  <c r="C48" i="1"/>
  <c r="C49" i="1"/>
  <c r="C50" i="1"/>
  <c r="C51" i="1"/>
  <c r="C52" i="1"/>
  <c r="C53" i="1"/>
  <c r="C60" i="1"/>
  <c r="C63" i="1"/>
  <c r="C64" i="1"/>
  <c r="C79" i="1"/>
  <c r="C83" i="1"/>
  <c r="C84" i="1"/>
  <c r="C85" i="1"/>
  <c r="C86" i="1"/>
  <c r="C87" i="1"/>
  <c r="C89" i="1"/>
  <c r="C90" i="1"/>
  <c r="C96" i="1"/>
  <c r="C97" i="1"/>
  <c r="C98" i="1"/>
  <c r="C99" i="1"/>
  <c r="C100" i="1"/>
  <c r="C101" i="1"/>
  <c r="C102" i="1"/>
  <c r="C103" i="1"/>
  <c r="C105" i="1"/>
  <c r="C106" i="1"/>
  <c r="C108" i="1"/>
  <c r="C111" i="1"/>
  <c r="C112" i="1"/>
  <c r="C114" i="1"/>
  <c r="C116" i="1"/>
  <c r="C119" i="1"/>
  <c r="C120" i="1"/>
  <c r="C121" i="1"/>
  <c r="C9" i="1"/>
  <c r="C12" i="1"/>
  <c r="C13" i="1"/>
  <c r="C14" i="1"/>
  <c r="C15" i="1"/>
  <c r="C16" i="1"/>
  <c r="C19" i="1"/>
  <c r="C34" i="1"/>
  <c r="C39" i="1"/>
  <c r="C40" i="1"/>
  <c r="C41" i="1"/>
  <c r="C42" i="1"/>
  <c r="C54" i="1"/>
  <c r="C55" i="1"/>
  <c r="C56" i="1"/>
  <c r="C57" i="1"/>
  <c r="C65" i="1"/>
  <c r="C66" i="1"/>
  <c r="C67" i="1"/>
  <c r="C68" i="1"/>
  <c r="C69" i="1"/>
  <c r="C70" i="1"/>
  <c r="C71" i="1"/>
  <c r="C72" i="1"/>
  <c r="C73" i="1"/>
  <c r="C74" i="1"/>
  <c r="C75" i="1"/>
  <c r="C76" i="1"/>
  <c r="C78" i="1"/>
  <c r="C82" i="1"/>
  <c r="C88" i="1"/>
  <c r="C91" i="1"/>
  <c r="C92" i="1"/>
  <c r="C93" i="1"/>
  <c r="C94" i="1"/>
  <c r="C104" i="1"/>
  <c r="C118" i="1"/>
  <c r="C11" i="1"/>
  <c r="C59" i="1"/>
  <c r="C58" i="1"/>
  <c r="C123" i="1"/>
  <c r="C124" i="1"/>
  <c r="C77" i="1"/>
  <c r="C8" i="1"/>
  <c r="C122" i="1"/>
  <c r="C125" i="1"/>
  <c r="C6" i="1"/>
  <c r="AM59" i="1" l="1"/>
  <c r="AR59" i="1"/>
  <c r="AM58" i="1"/>
  <c r="AK58" i="1"/>
  <c r="AN8" i="1"/>
  <c r="AK8" i="1"/>
  <c r="AM63" i="1"/>
  <c r="AN108" i="1"/>
  <c r="AM27" i="1"/>
  <c r="AR87" i="1"/>
  <c r="AR85" i="1"/>
  <c r="AN25" i="1"/>
  <c r="AN119" i="1"/>
  <c r="AN120" i="1"/>
  <c r="AM34" i="1"/>
  <c r="AR84" i="1"/>
  <c r="AR43" i="1"/>
  <c r="AM110" i="1"/>
  <c r="AN30" i="1"/>
  <c r="AR86" i="1"/>
  <c r="AM113" i="1"/>
  <c r="AR121" i="1"/>
  <c r="AM23" i="1"/>
  <c r="AM6" i="1"/>
  <c r="AM114" i="1"/>
  <c r="AN37" i="1"/>
  <c r="AM26" i="1"/>
  <c r="AM35" i="1"/>
  <c r="AM18" i="1"/>
  <c r="AM9" i="1"/>
  <c r="AM107" i="1"/>
  <c r="AM32" i="1"/>
  <c r="AN10" i="1"/>
  <c r="AN24" i="1"/>
  <c r="AN63" i="1"/>
  <c r="AM33" i="1"/>
  <c r="AN11" i="1"/>
  <c r="AR88" i="1"/>
  <c r="AR77" i="1"/>
  <c r="AR11" i="1"/>
  <c r="AR116" i="1"/>
  <c r="AR57" i="1"/>
  <c r="AR24" i="1"/>
  <c r="AR110" i="1"/>
  <c r="AR15" i="1"/>
  <c r="AR94" i="1"/>
  <c r="AR91" i="1"/>
  <c r="AR96" i="1"/>
  <c r="AR106" i="1"/>
  <c r="AR14" i="1"/>
  <c r="AR31" i="1"/>
  <c r="AR38" i="1"/>
  <c r="AR101" i="1"/>
  <c r="AR117" i="1"/>
  <c r="AR92" i="1"/>
  <c r="AR120" i="1"/>
  <c r="AR102" i="1"/>
  <c r="AR112" i="1"/>
  <c r="AR115" i="1"/>
  <c r="AR25" i="1"/>
  <c r="AR60" i="1"/>
  <c r="AR52" i="1"/>
  <c r="AR64" i="1"/>
  <c r="AR21" i="1"/>
  <c r="AR36" i="1"/>
  <c r="AR93" i="1"/>
  <c r="AR99" i="1"/>
  <c r="AR119" i="1"/>
  <c r="AR17" i="1"/>
  <c r="AR28" i="1"/>
  <c r="AR30" i="1"/>
  <c r="AR22" i="1"/>
  <c r="AR7" i="1"/>
  <c r="AR16" i="1"/>
  <c r="AR6" i="1"/>
  <c r="AR27" i="1"/>
  <c r="AR118" i="1"/>
  <c r="AR34" i="1"/>
  <c r="AR33" i="1"/>
  <c r="AR83" i="1"/>
  <c r="AR40" i="1"/>
  <c r="AR45" i="1"/>
  <c r="AR62" i="1"/>
  <c r="AR26" i="1"/>
  <c r="AR95" i="1"/>
  <c r="AR76" i="1"/>
  <c r="AR23" i="1"/>
  <c r="AR63" i="1"/>
  <c r="AR37" i="1"/>
  <c r="AR51" i="1"/>
  <c r="AR67" i="1"/>
  <c r="AR9" i="1"/>
  <c r="AR10" i="1"/>
  <c r="AR113" i="1"/>
  <c r="AR107" i="1"/>
  <c r="AR114" i="1"/>
  <c r="AR35" i="1"/>
  <c r="AR18" i="1"/>
  <c r="AR32" i="1"/>
  <c r="AR53" i="1"/>
  <c r="AR49" i="1"/>
  <c r="AR66" i="1"/>
  <c r="AR46" i="1"/>
  <c r="AR44" i="1"/>
  <c r="AR55" i="1"/>
  <c r="AR48" i="1"/>
  <c r="AR97" i="1"/>
  <c r="AR56" i="1"/>
  <c r="AR50" i="1"/>
  <c r="AR61" i="1"/>
  <c r="AR89" i="1"/>
  <c r="AR20" i="1"/>
  <c r="AR47" i="1"/>
  <c r="AR104" i="1"/>
  <c r="AR75" i="1"/>
  <c r="AR13" i="1"/>
  <c r="AR29" i="1"/>
  <c r="AR109" i="1"/>
  <c r="AR79" i="1"/>
  <c r="AR111" i="1"/>
  <c r="AR103" i="1"/>
  <c r="AR105" i="1"/>
  <c r="AR90" i="1"/>
  <c r="AR54" i="1"/>
  <c r="AR82" i="1"/>
  <c r="AR19" i="1"/>
  <c r="AR71" i="1"/>
  <c r="AR65" i="1"/>
  <c r="AR39" i="1"/>
  <c r="AR100" i="1"/>
  <c r="AR41" i="1"/>
  <c r="AR73" i="1"/>
  <c r="AL58" i="1" l="1"/>
  <c r="AR58" i="1"/>
  <c r="AR8" i="1"/>
  <c r="AL8" i="1"/>
  <c r="AR108" i="1"/>
  <c r="AR70" i="1"/>
  <c r="AR72" i="1"/>
  <c r="AR68" i="1"/>
  <c r="AR74" i="1"/>
  <c r="AR98" i="1"/>
  <c r="AR78" i="1"/>
  <c r="AR42" i="1"/>
  <c r="AU1" i="1"/>
  <c r="AT1" i="1"/>
  <c r="AU11" i="1" l="1"/>
  <c r="AU95" i="1"/>
  <c r="AT11" i="1"/>
  <c r="AT95" i="1"/>
  <c r="AT104" i="1"/>
  <c r="AT91" i="1"/>
  <c r="AT9" i="1"/>
  <c r="AT7" i="1"/>
  <c r="AT13" i="1"/>
  <c r="AT6" i="1"/>
  <c r="AT88" i="1"/>
  <c r="AT29" i="1"/>
  <c r="AT118" i="1"/>
  <c r="AT94" i="1"/>
  <c r="AT37" i="1"/>
  <c r="AT107" i="1"/>
  <c r="AT30" i="1"/>
  <c r="AT114" i="1"/>
  <c r="AT15" i="1"/>
  <c r="AT116" i="1"/>
  <c r="AT27" i="1"/>
  <c r="AT111" i="1"/>
  <c r="AT28" i="1"/>
  <c r="AT64" i="1"/>
  <c r="AT31" i="1"/>
  <c r="AT38" i="1"/>
  <c r="AT33" i="1"/>
  <c r="AT119" i="1"/>
  <c r="AT18" i="1"/>
  <c r="AT36" i="1"/>
  <c r="AT17" i="1"/>
  <c r="AT117" i="1"/>
  <c r="AT109" i="1"/>
  <c r="AT21" i="1"/>
  <c r="AT14" i="1"/>
  <c r="AT32" i="1"/>
  <c r="AT115" i="1"/>
  <c r="AT113" i="1"/>
  <c r="AT92" i="1"/>
  <c r="AT10" i="1"/>
  <c r="AT110" i="1"/>
  <c r="AT35" i="1"/>
  <c r="AT24" i="1"/>
  <c r="AT34" i="1"/>
  <c r="AT20" i="1"/>
  <c r="AT19" i="1"/>
  <c r="AT25" i="1"/>
  <c r="AT63" i="1"/>
  <c r="AT93" i="1"/>
  <c r="AT62" i="1"/>
  <c r="AT61" i="1"/>
  <c r="AT120" i="1"/>
  <c r="AT22" i="1"/>
  <c r="AT16" i="1"/>
  <c r="AT26" i="1"/>
  <c r="AT60" i="1"/>
  <c r="AT23" i="1"/>
  <c r="AU9" i="1"/>
  <c r="AU34" i="1"/>
  <c r="AU20" i="1"/>
  <c r="AU117" i="1"/>
  <c r="AU21" i="1"/>
  <c r="AU61" i="1"/>
  <c r="AU14" i="1"/>
  <c r="AU118" i="1"/>
  <c r="AU37" i="1"/>
  <c r="AU23" i="1"/>
  <c r="AU93" i="1"/>
  <c r="AU15" i="1"/>
  <c r="AU91" i="1"/>
  <c r="AU17" i="1"/>
  <c r="AU27" i="1"/>
  <c r="AU7" i="1"/>
  <c r="AU111" i="1"/>
  <c r="AU6" i="1"/>
  <c r="AU94" i="1"/>
  <c r="AU28" i="1"/>
  <c r="AU110" i="1"/>
  <c r="AU119" i="1"/>
  <c r="AU104" i="1"/>
  <c r="AU33" i="1"/>
  <c r="AU30" i="1"/>
  <c r="AU35" i="1"/>
  <c r="AU63" i="1"/>
  <c r="AU10" i="1"/>
  <c r="AU114" i="1"/>
  <c r="AU19" i="1"/>
  <c r="AU38" i="1"/>
  <c r="AU120" i="1"/>
  <c r="AU22" i="1"/>
  <c r="AU62" i="1"/>
  <c r="AU109" i="1"/>
  <c r="AU36" i="1"/>
  <c r="AU107" i="1"/>
  <c r="AU18" i="1"/>
  <c r="AU25" i="1"/>
  <c r="AU24" i="1"/>
  <c r="AU26" i="1"/>
  <c r="AU16" i="1"/>
  <c r="AU115" i="1"/>
  <c r="AU92" i="1"/>
  <c r="AU116" i="1"/>
  <c r="AU13" i="1"/>
  <c r="AU64" i="1"/>
  <c r="AU31" i="1"/>
  <c r="AU60" i="1"/>
  <c r="AU88" i="1"/>
  <c r="AU29" i="1"/>
  <c r="AU32" i="1"/>
  <c r="AU113" i="1"/>
  <c r="B9" i="1"/>
  <c r="B5" i="1"/>
  <c r="B48" i="1"/>
  <c r="B53" i="1"/>
  <c r="B45" i="1"/>
  <c r="B52" i="1"/>
  <c r="B46" i="1"/>
  <c r="B44" i="1"/>
  <c r="B49" i="1"/>
  <c r="B50" i="1"/>
  <c r="B47" i="1"/>
  <c r="B51" i="1"/>
  <c r="B89" i="1"/>
  <c r="B103" i="1"/>
  <c r="B102" i="1"/>
  <c r="B90" i="1"/>
  <c r="B96" i="1"/>
  <c r="B101" i="1"/>
  <c r="B100" i="1"/>
  <c r="B99" i="1"/>
  <c r="B97" i="1"/>
  <c r="B98" i="1"/>
  <c r="B106" i="1"/>
  <c r="B105" i="1"/>
  <c r="B118" i="1"/>
  <c r="B35" i="1"/>
  <c r="B27" i="1"/>
  <c r="B6" i="1"/>
  <c r="B110" i="1"/>
  <c r="B33" i="1"/>
  <c r="B117" i="1"/>
  <c r="B115" i="1"/>
  <c r="B14" i="1"/>
  <c r="B15" i="1"/>
  <c r="B37" i="1"/>
  <c r="B61" i="1"/>
  <c r="B17" i="1"/>
  <c r="B32" i="1"/>
  <c r="B34" i="1"/>
  <c r="B25" i="1"/>
  <c r="B13" i="1"/>
  <c r="B22" i="1"/>
  <c r="B24" i="1"/>
  <c r="B38" i="1"/>
  <c r="B62" i="1"/>
  <c r="B111" i="1"/>
  <c r="B113" i="1"/>
  <c r="B109" i="1"/>
  <c r="B26" i="1"/>
  <c r="B120" i="1"/>
  <c r="B119" i="1"/>
  <c r="B31" i="1"/>
  <c r="B60" i="1"/>
  <c r="B20" i="1"/>
  <c r="B121" i="1"/>
  <c r="B18" i="1"/>
  <c r="B29" i="1"/>
  <c r="B30" i="1"/>
  <c r="B36" i="1"/>
  <c r="B10" i="1"/>
  <c r="B7" i="1"/>
  <c r="B84" i="1"/>
  <c r="B85" i="1"/>
  <c r="B63" i="1"/>
  <c r="B116" i="1"/>
  <c r="B11" i="1"/>
  <c r="B64" i="1"/>
  <c r="B107" i="1"/>
  <c r="B28" i="1"/>
  <c r="B43" i="1"/>
  <c r="B77" i="1"/>
  <c r="B86" i="1"/>
  <c r="B87" i="1"/>
  <c r="B8" i="1"/>
  <c r="B122" i="1"/>
  <c r="B79" i="1"/>
  <c r="B83" i="1"/>
  <c r="B59" i="1"/>
  <c r="B19" i="1"/>
  <c r="B123" i="1"/>
  <c r="B114" i="1"/>
  <c r="B124" i="1"/>
  <c r="B125" i="1"/>
  <c r="B12" i="1"/>
  <c r="B16" i="1"/>
  <c r="B82" i="1"/>
  <c r="B78" i="1"/>
  <c r="B39" i="1"/>
  <c r="B40" i="1"/>
  <c r="B41" i="1"/>
  <c r="B42" i="1"/>
  <c r="B54" i="1"/>
  <c r="B55" i="1"/>
  <c r="B56" i="1"/>
  <c r="B57" i="1"/>
  <c r="B65" i="1"/>
  <c r="B66" i="1"/>
  <c r="B67" i="1"/>
  <c r="B68" i="1"/>
  <c r="B69" i="1"/>
  <c r="B70" i="1"/>
  <c r="B71" i="1"/>
  <c r="B72" i="1"/>
  <c r="B73" i="1"/>
  <c r="B74" i="1"/>
  <c r="B75" i="1"/>
  <c r="B76" i="1"/>
  <c r="B88" i="1"/>
  <c r="B91" i="1"/>
  <c r="B92" i="1"/>
  <c r="B93" i="1"/>
  <c r="B94" i="1"/>
  <c r="B95" i="1"/>
  <c r="B104" i="1"/>
  <c r="B4" i="1"/>
  <c r="AW12" i="1" l="1"/>
  <c r="AO12" i="1"/>
  <c r="AD12" i="1"/>
  <c r="AE12" i="1"/>
  <c r="AF12" i="1"/>
  <c r="AH12" i="1"/>
  <c r="AT12" i="1" s="1"/>
  <c r="AI12" i="1"/>
  <c r="AU12" i="1" s="1"/>
  <c r="AS1" i="1"/>
  <c r="AL12" i="1" l="1"/>
  <c r="AM12" i="1"/>
  <c r="AS11" i="1"/>
  <c r="AS95" i="1"/>
  <c r="AX12" i="1"/>
  <c r="AS115" i="1"/>
  <c r="AS114" i="1"/>
  <c r="AS60" i="1"/>
  <c r="AS15" i="1"/>
  <c r="AS32" i="1"/>
  <c r="AS33" i="1"/>
  <c r="AS118" i="1"/>
  <c r="AS27" i="1"/>
  <c r="AS7" i="1"/>
  <c r="AS111" i="1"/>
  <c r="AS64" i="1"/>
  <c r="AS17" i="1"/>
  <c r="AS16" i="1"/>
  <c r="AS94" i="1"/>
  <c r="AS12" i="1"/>
  <c r="AS34" i="1"/>
  <c r="AS10" i="1"/>
  <c r="AS23" i="1"/>
  <c r="AS37" i="1"/>
  <c r="AS113" i="1"/>
  <c r="AS116" i="1"/>
  <c r="AS20" i="1"/>
  <c r="AS120" i="1"/>
  <c r="AS88" i="1"/>
  <c r="AS31" i="1"/>
  <c r="AS61" i="1"/>
  <c r="AS19" i="1"/>
  <c r="AS91" i="1"/>
  <c r="AS9" i="1"/>
  <c r="AS119" i="1"/>
  <c r="AS110" i="1"/>
  <c r="AS13" i="1"/>
  <c r="AS6" i="1"/>
  <c r="AS29" i="1"/>
  <c r="AS14" i="1"/>
  <c r="AS28" i="1"/>
  <c r="AS104" i="1"/>
  <c r="AS18" i="1"/>
  <c r="AS24" i="1"/>
  <c r="AS22" i="1"/>
  <c r="AS117" i="1"/>
  <c r="AS92" i="1"/>
  <c r="AS107" i="1"/>
  <c r="AS109" i="1"/>
  <c r="AS38" i="1"/>
  <c r="AS30" i="1"/>
  <c r="AS63" i="1"/>
  <c r="AS21" i="1"/>
  <c r="AS36" i="1"/>
  <c r="AS26" i="1"/>
  <c r="AS25" i="1"/>
  <c r="AS35" i="1"/>
  <c r="AS62" i="1"/>
  <c r="AS93" i="1"/>
  <c r="AP12" i="1"/>
  <c r="B58" i="1"/>
  <c r="B108" i="1"/>
  <c r="B21" i="1"/>
  <c r="B23" i="1"/>
  <c r="B112" i="1"/>
  <c r="AR12" i="1" l="1"/>
  <c r="AI3" i="1" l="1"/>
  <c r="AH3" i="1"/>
  <c r="B5" i="2"/>
  <c r="D3" i="2"/>
  <c r="H20" i="4"/>
  <c r="H21" i="4"/>
  <c r="H22" i="4"/>
  <c r="H19" i="4"/>
  <c r="I22" i="4"/>
  <c r="I21" i="4"/>
  <c r="I20" i="4"/>
  <c r="I19" i="4"/>
  <c r="E8" i="4"/>
  <c r="H8" i="4"/>
  <c r="I8" i="4"/>
  <c r="H9" i="4"/>
  <c r="I9" i="4"/>
  <c r="E10" i="4"/>
  <c r="I10" i="4"/>
  <c r="H10" i="4"/>
  <c r="H11" i="4"/>
  <c r="I11" i="4"/>
  <c r="D17" i="3"/>
  <c r="D18" i="3"/>
</calcChain>
</file>

<file path=xl/comments1.xml><?xml version="1.0" encoding="utf-8"?>
<comments xmlns="http://schemas.openxmlformats.org/spreadsheetml/2006/main">
  <authors>
    <author>afsharn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afsharn:</t>
        </r>
        <r>
          <rPr>
            <sz val="9"/>
            <color indexed="81"/>
            <rFont val="Tahoma"/>
            <family val="2"/>
          </rPr>
          <t xml:space="preserve">
pmac internal</t>
        </r>
      </text>
    </comment>
  </commentList>
</comments>
</file>

<file path=xl/sharedStrings.xml><?xml version="1.0" encoding="utf-8"?>
<sst xmlns="http://schemas.openxmlformats.org/spreadsheetml/2006/main" count="2275" uniqueCount="706">
  <si>
    <t>RaScan</t>
  </si>
  <si>
    <t>Module</t>
  </si>
  <si>
    <t>Definition</t>
  </si>
  <si>
    <t>Controller governed X-Y PassCan</t>
  </si>
  <si>
    <t>Kinematic definitions</t>
  </si>
  <si>
    <t>Function</t>
  </si>
  <si>
    <t>PMAC</t>
  </si>
  <si>
    <t>Definied</t>
  </si>
  <si>
    <t>m1</t>
  </si>
  <si>
    <t>m2</t>
  </si>
  <si>
    <t>m3</t>
  </si>
  <si>
    <t>m4</t>
  </si>
  <si>
    <t>X</t>
  </si>
  <si>
    <t>Y</t>
  </si>
  <si>
    <t>BACKWARD multiplier</t>
  </si>
  <si>
    <t>k_Yth</t>
  </si>
  <si>
    <t>Deg</t>
  </si>
  <si>
    <t>T_X_Gear</t>
  </si>
  <si>
    <t>Deg/mm</t>
  </si>
  <si>
    <t>Pos FORWARD</t>
  </si>
  <si>
    <t>Pos INVERSE</t>
  </si>
  <si>
    <t>10000*YY</t>
  </si>
  <si>
    <t>XX*-sin(Yth)</t>
  </si>
  <si>
    <t>XX*cos(Yth)+YY</t>
  </si>
  <si>
    <t>Epics</t>
  </si>
  <si>
    <t>Description</t>
  </si>
  <si>
    <t>Flags</t>
  </si>
  <si>
    <t>Units</t>
  </si>
  <si>
    <t>enum</t>
  </si>
  <si>
    <t>min</t>
  </si>
  <si>
    <t>max</t>
  </si>
  <si>
    <t>prec</t>
  </si>
  <si>
    <t>EPICS DB</t>
  </si>
  <si>
    <t>EPICS Format</t>
  </si>
  <si>
    <t>pmac Code</t>
  </si>
  <si>
    <t>p</t>
  </si>
  <si>
    <t>int</t>
  </si>
  <si>
    <t>gs</t>
  </si>
  <si>
    <t>real</t>
  </si>
  <si>
    <t>g</t>
  </si>
  <si>
    <t>Num_Formats</t>
  </si>
  <si>
    <t>EPICS_Formats</t>
  </si>
  <si>
    <t>Max pmac integer</t>
  </si>
  <si>
    <t>%s</t>
  </si>
  <si>
    <t>%d</t>
  </si>
  <si>
    <t>none</t>
  </si>
  <si>
    <t>%f</t>
  </si>
  <si>
    <t>string</t>
  </si>
  <si>
    <t>Default</t>
  </si>
  <si>
    <t>CanGet</t>
  </si>
  <si>
    <t>CanSet</t>
  </si>
  <si>
    <t>LoadSavepcf</t>
  </si>
  <si>
    <t>Changed</t>
  </si>
  <si>
    <t>expand("pmacRascanGSVar.vdb", GSVar~VAR) {
  macro(VAR, "~VAR")
  macro(EGU, "~EGU")
  macro(P, "$(P)")
  macro(Q, ":~PVNAME")
  macro(PORT, "$(PORT)")
  macro(CanGet, "~CANGET")
  macro(CanSet, "~CANSET")
  macro(PREC, "$(PREC=~PREC)")
  macro(DESC,"~DESC")
}</t>
  </si>
  <si>
    <t>ST_ALWAYS</t>
  </si>
  <si>
    <t>Archiver</t>
  </si>
  <si>
    <t xml:space="preserve">      &lt;channel&gt;
         &lt;name&gt;~PREFIX~PVNAME&lt;/name&gt;
         &lt;period&gt;~PERIOD&lt;/period&gt;
         &lt;monitor/&gt;
      &lt;/channel&gt;</t>
  </si>
  <si>
    <t xml:space="preserve">Key                                 </t>
  </si>
  <si>
    <t xml:space="preserve">Type  </t>
  </si>
  <si>
    <t xml:space="preserve">Value                 </t>
  </si>
  <si>
    <t xml:space="preserve">Default value         </t>
  </si>
  <si>
    <t xml:space="preserve">Name                   </t>
  </si>
  <si>
    <t xml:space="preserve">    Min</t>
  </si>
  <si>
    <t xml:space="preserve">         Max</t>
  </si>
  <si>
    <t xml:space="preserve">   Inc</t>
  </si>
  <si>
    <t xml:space="preserve">Units  </t>
  </si>
  <si>
    <t>Access</t>
  </si>
  <si>
    <t>Source</t>
  </si>
  <si>
    <t>Options</t>
  </si>
  <si>
    <t xml:space="preserve">afe.attn                            </t>
  </si>
  <si>
    <t>option</t>
  </si>
  <si>
    <t xml:space="preserve">-6dB                  </t>
  </si>
  <si>
    <t xml:space="preserve">0dB                   </t>
  </si>
  <si>
    <t xml:space="preserve">Attenuation         </t>
  </si>
  <si>
    <t xml:space="preserve">      -</t>
  </si>
  <si>
    <t xml:space="preserve">           -</t>
  </si>
  <si>
    <t xml:space="preserve">     -</t>
  </si>
  <si>
    <t xml:space="preserve">       </t>
  </si>
  <si>
    <t>r/w</t>
  </si>
  <si>
    <t>brd</t>
  </si>
  <si>
    <t>[0dB, -6dB, ground]</t>
  </si>
  <si>
    <t xml:space="preserve">afe.coupling                        </t>
  </si>
  <si>
    <t xml:space="preserve">ac                    </t>
  </si>
  <si>
    <t xml:space="preserve">Coupling            </t>
  </si>
  <si>
    <t>[ac, dc]</t>
  </si>
  <si>
    <t xml:space="preserve">afe.dacGain                         </t>
  </si>
  <si>
    <t>float</t>
  </si>
  <si>
    <t xml:space="preserve">Gain                </t>
  </si>
  <si>
    <t xml:space="preserve">afe.dacOffset                       </t>
  </si>
  <si>
    <t xml:space="preserve">Offset              </t>
  </si>
  <si>
    <t xml:space="preserve">afe.decayTime                       </t>
  </si>
  <si>
    <t xml:space="preserve">short                 </t>
  </si>
  <si>
    <t xml:space="preserve">Decay time          </t>
  </si>
  <si>
    <t>[long, medium, short, very-short]</t>
  </si>
  <si>
    <t xml:space="preserve">afe.invert                          </t>
  </si>
  <si>
    <t>bool</t>
  </si>
  <si>
    <t xml:space="preserve">false                 </t>
  </si>
  <si>
    <t xml:space="preserve">Invert              </t>
  </si>
  <si>
    <t xml:space="preserve">afe.sampleRate                      </t>
  </si>
  <si>
    <t xml:space="preserve">-                   </t>
  </si>
  <si>
    <t xml:space="preserve">Sample Rate         </t>
  </si>
  <si>
    <t xml:space="preserve">Mhz    </t>
  </si>
  <si>
    <t>r/o</t>
  </si>
  <si>
    <t>-</t>
  </si>
  <si>
    <t xml:space="preserve">afe.termination                     </t>
  </si>
  <si>
    <t xml:space="preserve">1kohm                 </t>
  </si>
  <si>
    <t xml:space="preserve">Termination         </t>
  </si>
  <si>
    <t>[1kohm, 50ohm]</t>
  </si>
  <si>
    <t xml:space="preserve">baseline.dcOffset                   </t>
  </si>
  <si>
    <t xml:space="preserve">DC Offset           </t>
  </si>
  <si>
    <t xml:space="preserve">baseline.dcTrackingMode             </t>
  </si>
  <si>
    <t xml:space="preserve">off                   </t>
  </si>
  <si>
    <t xml:space="preserve">DC Tracking Mode    </t>
  </si>
  <si>
    <t>[off, slow, medium, fast]</t>
  </si>
  <si>
    <t xml:space="preserve">blanking.enable                     </t>
  </si>
  <si>
    <t xml:space="preserve">true                  </t>
  </si>
  <si>
    <t xml:space="preserve">Enable              </t>
  </si>
  <si>
    <t xml:space="preserve">blanking.postSamples                </t>
  </si>
  <si>
    <t xml:space="preserve">Post Samples        </t>
  </si>
  <si>
    <t xml:space="preserve">blanking.preSamples                 </t>
  </si>
  <si>
    <t xml:space="preserve">Pre Samples         </t>
  </si>
  <si>
    <t xml:space="preserve">blanking.threshold                  </t>
  </si>
  <si>
    <t xml:space="preserve">Threshold           </t>
  </si>
  <si>
    <t xml:space="preserve">channel.id                          </t>
  </si>
  <si>
    <t xml:space="preserve">Channel Id          </t>
  </si>
  <si>
    <t xml:space="preserve">channel.state                       </t>
  </si>
  <si>
    <t xml:space="preserve">ready                 </t>
  </si>
  <si>
    <t xml:space="preserve">Channel State       </t>
  </si>
  <si>
    <t>[ready, error, osc, histo, fft, listMode, calibrate, dcOffset]</t>
  </si>
  <si>
    <t xml:space="preserve">gate.statsCollectionMode            </t>
  </si>
  <si>
    <t xml:space="preserve">always                </t>
  </si>
  <si>
    <t xml:space="preserve">Collection Mode     </t>
  </si>
  <si>
    <t>[off, risingEdge, fallingEdge, whenHigh, whenLow, always]</t>
  </si>
  <si>
    <t xml:space="preserve">histogram.binSubRegion.highIndex    </t>
  </si>
  <si>
    <t xml:space="preserve">High Bin Index      </t>
  </si>
  <si>
    <t xml:space="preserve">histogram.binSubRegion.lowIndex     </t>
  </si>
  <si>
    <t xml:space="preserve">Low Bin Index       </t>
  </si>
  <si>
    <t xml:space="preserve">histogram.coarseBinScaleDown        </t>
  </si>
  <si>
    <t>Coarse Bin Scale Down</t>
  </si>
  <si>
    <t xml:space="preserve">histogram.coarseBinScaling          </t>
  </si>
  <si>
    <t xml:space="preserve">Coarse Bin Scaling  </t>
  </si>
  <si>
    <t xml:space="preserve">histogram.datagram.enable           </t>
  </si>
  <si>
    <t xml:space="preserve">Datagram tx enable  </t>
  </si>
  <si>
    <t>conn</t>
  </si>
  <si>
    <t xml:space="preserve">histogram.datagram.ip               </t>
  </si>
  <si>
    <t xml:space="preserve">10.114.2.117          </t>
  </si>
  <si>
    <t xml:space="preserve">Datagram dest. IP   </t>
  </si>
  <si>
    <t xml:space="preserve">histogram.datagram.port             </t>
  </si>
  <si>
    <t xml:space="preserve">Datagram dest. port </t>
  </si>
  <si>
    <t xml:space="preserve">histogram.fixedInputCount.count     </t>
  </si>
  <si>
    <t xml:space="preserve">Fixed Input Count   </t>
  </si>
  <si>
    <t xml:space="preserve">histogram.fixedOutputCount.count    </t>
  </si>
  <si>
    <t xml:space="preserve">Fixed Output Count  </t>
  </si>
  <si>
    <t xml:space="preserve">histogram.fixedTime.duration        </t>
  </si>
  <si>
    <t xml:space="preserve">Fixed Time Duration </t>
  </si>
  <si>
    <t xml:space="preserve">s      </t>
  </si>
  <si>
    <t xml:space="preserve">histogram.mode                      </t>
  </si>
  <si>
    <t xml:space="preserve">movingAverage         </t>
  </si>
  <si>
    <t xml:space="preserve">continuous            </t>
  </si>
  <si>
    <t xml:space="preserve">Histogram Mode      </t>
  </si>
  <si>
    <t>[continuous, fixedTime, fixedInputCount, fixedOutputCount, movingAverage, gated, spatial]</t>
  </si>
  <si>
    <t>histogram.movingAverage.windowPeriod</t>
  </si>
  <si>
    <t>Moving Average Window</t>
  </si>
  <si>
    <t xml:space="preserve">histogram.options                   </t>
  </si>
  <si>
    <t xml:space="preserve">                      </t>
  </si>
  <si>
    <t xml:space="preserve">Histogram Options   </t>
  </si>
  <si>
    <t xml:space="preserve">histogram.refreshRate               </t>
  </si>
  <si>
    <t xml:space="preserve">Refresh Rate        </t>
  </si>
  <si>
    <t xml:space="preserve">histogram.spectrumSelect.accepted   </t>
  </si>
  <si>
    <t xml:space="preserve">Accepted Spectrum   </t>
  </si>
  <si>
    <t xml:space="preserve">histogram.spectrumSelect.rejected   </t>
  </si>
  <si>
    <t xml:space="preserve">Rejected Spectrum   </t>
  </si>
  <si>
    <t xml:space="preserve">instrument.analog.modStrike         </t>
  </si>
  <si>
    <t xml:space="preserve">Analog Mod Level    </t>
  </si>
  <si>
    <t>brd,ins</t>
  </si>
  <si>
    <t xml:space="preserve">instrument.analog.partNumber        </t>
  </si>
  <si>
    <t xml:space="preserve">GA3FG00004            </t>
  </si>
  <si>
    <t xml:space="preserve">Analog Board Part#  </t>
  </si>
  <si>
    <t xml:space="preserve">instrument.analog.revision          </t>
  </si>
  <si>
    <t xml:space="preserve">Analog Revision     </t>
  </si>
  <si>
    <t xml:space="preserve">instrument.analog.serialNumber      </t>
  </si>
  <si>
    <t xml:space="preserve">017233002-0001        </t>
  </si>
  <si>
    <t xml:space="preserve">Analog Board Ser#   </t>
  </si>
  <si>
    <t xml:space="preserve">instrument.assembly.serialNumber    </t>
  </si>
  <si>
    <t xml:space="preserve">016454001-0002        </t>
  </si>
  <si>
    <t xml:space="preserve">Assembly Ser#       </t>
  </si>
  <si>
    <t xml:space="preserve">instrument.digital.config           </t>
  </si>
  <si>
    <t xml:space="preserve">16in-16out            </t>
  </si>
  <si>
    <t xml:space="preserve">Digital GPIO Config </t>
  </si>
  <si>
    <t>ins</t>
  </si>
  <si>
    <t>[16in-16out, 8in-24out]</t>
  </si>
  <si>
    <t xml:space="preserve">instrument.digital.modStrike        </t>
  </si>
  <si>
    <t xml:space="preserve">Digital Mod Level   </t>
  </si>
  <si>
    <t xml:space="preserve">instrument.digital.partNumber       </t>
  </si>
  <si>
    <t xml:space="preserve">GA3FG00001            </t>
  </si>
  <si>
    <t xml:space="preserve">Digital Board Part# </t>
  </si>
  <si>
    <t xml:space="preserve">instrument.digital.revision         </t>
  </si>
  <si>
    <t xml:space="preserve">Digital Revision    </t>
  </si>
  <si>
    <t xml:space="preserve">instrument.digital.serialNumber     </t>
  </si>
  <si>
    <t xml:space="preserve">Digital Board Ser#  </t>
  </si>
  <si>
    <t xml:space="preserve">instrument.firmwareVersion          </t>
  </si>
  <si>
    <t xml:space="preserve">0.8.3                 </t>
  </si>
  <si>
    <t xml:space="preserve">Firmware Version    </t>
  </si>
  <si>
    <t xml:space="preserve">instrument.hash.fpga                </t>
  </si>
  <si>
    <t xml:space="preserve">57a9e077              </t>
  </si>
  <si>
    <t xml:space="preserve">FPGA Hash Id        </t>
  </si>
  <si>
    <t xml:space="preserve">instrument.hash.software            </t>
  </si>
  <si>
    <t xml:space="preserve">508f388               </t>
  </si>
  <si>
    <t xml:space="preserve">Software Hash Id    </t>
  </si>
  <si>
    <t xml:space="preserve">instrument.network.hostName         </t>
  </si>
  <si>
    <t xml:space="preserve">SITORO-016454001-0002 </t>
  </si>
  <si>
    <t xml:space="preserve">Network host name   </t>
  </si>
  <si>
    <t xml:space="preserve">instrument.network.mac              </t>
  </si>
  <si>
    <t xml:space="preserve">00:0c:79:01:1c:12     </t>
  </si>
  <si>
    <t xml:space="preserve">MAC network address </t>
  </si>
  <si>
    <t xml:space="preserve">instrument.numChannels              </t>
  </si>
  <si>
    <t xml:space="preserve">Number of Channels  </t>
  </si>
  <si>
    <t xml:space="preserve">instrument.productName              </t>
  </si>
  <si>
    <t xml:space="preserve">Falcon X1             </t>
  </si>
  <si>
    <t xml:space="preserve">Product Name        </t>
  </si>
  <si>
    <t xml:space="preserve">instrument.protocolVersion          </t>
  </si>
  <si>
    <t xml:space="preserve">instrument.sca.generationTrigger    </t>
  </si>
  <si>
    <t xml:space="preserve">Generation Trigger  </t>
  </si>
  <si>
    <t>[off, whenHigh, whenLow, always]</t>
  </si>
  <si>
    <t xml:space="preserve">instrument.sca.pulseDuration        </t>
  </si>
  <si>
    <t xml:space="preserve">Ns Per Pulse        </t>
  </si>
  <si>
    <t xml:space="preserve">ns     </t>
  </si>
  <si>
    <t xml:space="preserve">instrument.temperature              </t>
  </si>
  <si>
    <t xml:space="preserve">Temperature         </t>
  </si>
  <si>
    <t xml:space="preserve">°C    </t>
  </si>
  <si>
    <t xml:space="preserve">instrument.temperatureMax           </t>
  </si>
  <si>
    <t xml:space="preserve">Temperature Max     </t>
  </si>
  <si>
    <t xml:space="preserve">listMode.enableTimeOfArrival        </t>
  </si>
  <si>
    <t xml:space="preserve">Enable TOA Data     </t>
  </si>
  <si>
    <t xml:space="preserve">oscilloscope.options                </t>
  </si>
  <si>
    <t xml:space="preserve">fullRate              </t>
  </si>
  <si>
    <t>Oscilloscope Options</t>
  </si>
  <si>
    <t xml:space="preserve">oscilloscope.range.max              </t>
  </si>
  <si>
    <t xml:space="preserve">Maximum Value       </t>
  </si>
  <si>
    <t xml:space="preserve">oscilloscope.range.min              </t>
  </si>
  <si>
    <t xml:space="preserve">Minimum Value       </t>
  </si>
  <si>
    <t xml:space="preserve">oscilloscope.runContinuously        </t>
  </si>
  <si>
    <t xml:space="preserve">Run Continuously    </t>
  </si>
  <si>
    <t xml:space="preserve">oscilloscope.samples                </t>
  </si>
  <si>
    <t>Oscilloscope Samples</t>
  </si>
  <si>
    <t xml:space="preserve">pulse.calibrated                    </t>
  </si>
  <si>
    <t xml:space="preserve">Calibrated          </t>
  </si>
  <si>
    <t xml:space="preserve">pulse.calibration.optPercent        </t>
  </si>
  <si>
    <t xml:space="preserve">Percent Optimized   </t>
  </si>
  <si>
    <t xml:space="preserve">pulse.calibration.optimize          </t>
  </si>
  <si>
    <t xml:space="preserve">Enable Optimization </t>
  </si>
  <si>
    <t xml:space="preserve">pulse.detectionThreshold            </t>
  </si>
  <si>
    <t xml:space="preserve">Detection Threshold </t>
  </si>
  <si>
    <t xml:space="preserve">pulse.minPulsePairSeparation        </t>
  </si>
  <si>
    <t xml:space="preserve">Min Pulse Pair Sep. </t>
  </si>
  <si>
    <t xml:space="preserve">Scale Factor        </t>
  </si>
  <si>
    <t xml:space="preserve">pulse.sourceType                    </t>
  </si>
  <si>
    <t xml:space="preserve">lowEnergy             </t>
  </si>
  <si>
    <t xml:space="preserve">midRate               </t>
  </si>
  <si>
    <t xml:space="preserve">Source Type         </t>
  </si>
  <si>
    <t>[lowEnergy, lowRate, midRate, highRate, maxThroughput]</t>
  </si>
  <si>
    <t xml:space="preserve">sca.numRegions                      </t>
  </si>
  <si>
    <t xml:space="preserve">Number of Regions   </t>
  </si>
  <si>
    <t xml:space="preserve">sca.region_01.endBin                </t>
  </si>
  <si>
    <t xml:space="preserve">Region End Bin      </t>
  </si>
  <si>
    <t xml:space="preserve">sca.region_01.startBin              </t>
  </si>
  <si>
    <t xml:space="preserve">Region Start Bin    </t>
  </si>
  <si>
    <t xml:space="preserve">sca.region_02.endBin                </t>
  </si>
  <si>
    <t xml:space="preserve">sca.region_02.startBin              </t>
  </si>
  <si>
    <t xml:space="preserve">sca.region_03.endBin                </t>
  </si>
  <si>
    <t xml:space="preserve">sca.region_03.startBin              </t>
  </si>
  <si>
    <t xml:space="preserve">sca.region_04.endBin                </t>
  </si>
  <si>
    <t xml:space="preserve">sca.region_04.startBin              </t>
  </si>
  <si>
    <t xml:space="preserve">sca.region_05.endBin                </t>
  </si>
  <si>
    <t xml:space="preserve">sca.region_05.startBin              </t>
  </si>
  <si>
    <t xml:space="preserve">sca.region_06.endBin                </t>
  </si>
  <si>
    <t xml:space="preserve">sca.region_06.startBin              </t>
  </si>
  <si>
    <t xml:space="preserve">sca.region_07.endBin                </t>
  </si>
  <si>
    <t xml:space="preserve">sca.region_07.startBin              </t>
  </si>
  <si>
    <t xml:space="preserve">sca.region_08.endBin                </t>
  </si>
  <si>
    <t xml:space="preserve">sca.region_08.startBin              </t>
  </si>
  <si>
    <t xml:space="preserve">sca.region_09.endBin                </t>
  </si>
  <si>
    <t xml:space="preserve">sca.region_09.startBin              </t>
  </si>
  <si>
    <t xml:space="preserve">sca.region_10.endBin                </t>
  </si>
  <si>
    <t xml:space="preserve">sca.region_10.startBin              </t>
  </si>
  <si>
    <t xml:space="preserve">sca.region_11.endBin                </t>
  </si>
  <si>
    <t xml:space="preserve">sca.region_11.startBin              </t>
  </si>
  <si>
    <t xml:space="preserve">sca.region_12.endBin                </t>
  </si>
  <si>
    <t xml:space="preserve">sca.region_12.startBin              </t>
  </si>
  <si>
    <t xml:space="preserve">sca.region_13.endBin                </t>
  </si>
  <si>
    <t xml:space="preserve">sca.region_13.startBin              </t>
  </si>
  <si>
    <t xml:space="preserve">sca.region_14.endBin                </t>
  </si>
  <si>
    <t xml:space="preserve">sca.region_14.startBin              </t>
  </si>
  <si>
    <t xml:space="preserve">sca.region_15.endBin                </t>
  </si>
  <si>
    <t xml:space="preserve">sca.region_15.startBin              </t>
  </si>
  <si>
    <t xml:space="preserve">sca.region_16.endBin                </t>
  </si>
  <si>
    <t xml:space="preserve">sca.region_16.startBin              </t>
  </si>
  <si>
    <t xml:space="preserve">sca.region_17.endBin                </t>
  </si>
  <si>
    <t xml:space="preserve">no value              </t>
  </si>
  <si>
    <t xml:space="preserve">sca.region_17.startBin              </t>
  </si>
  <si>
    <t xml:space="preserve">sca.region_18.endBin                </t>
  </si>
  <si>
    <t xml:space="preserve">sca.region_18.startBin              </t>
  </si>
  <si>
    <t xml:space="preserve">sca.region_19.endBin                </t>
  </si>
  <si>
    <t xml:space="preserve">sca.region_19.startBin              </t>
  </si>
  <si>
    <t xml:space="preserve">sca.region_20.endBin                </t>
  </si>
  <si>
    <t xml:space="preserve">sca.region_20.startBin              </t>
  </si>
  <si>
    <t xml:space="preserve">sca.region_21.endBin                </t>
  </si>
  <si>
    <t xml:space="preserve">sca.region_21.startBin              </t>
  </si>
  <si>
    <t xml:space="preserve">sca.region_22.endBin                </t>
  </si>
  <si>
    <t xml:space="preserve">sca.region_22.startBin              </t>
  </si>
  <si>
    <t xml:space="preserve">sca.region_23.endBin                </t>
  </si>
  <si>
    <t xml:space="preserve">sca.region_23.startBin              </t>
  </si>
  <si>
    <t xml:space="preserve">sca.region_24.endBin                </t>
  </si>
  <si>
    <t xml:space="preserve">sca.region_24.startBin              </t>
  </si>
  <si>
    <t xml:space="preserve">spatial.axis_1.enable               </t>
  </si>
  <si>
    <t xml:space="preserve">Axis Enable         </t>
  </si>
  <si>
    <t xml:space="preserve">spatial.axis_1.inputType            </t>
  </si>
  <si>
    <t xml:space="preserve">quadrature            </t>
  </si>
  <si>
    <t xml:space="preserve">stepDirection         </t>
  </si>
  <si>
    <t xml:space="preserve">Input Type          </t>
  </si>
  <si>
    <t>[quadrature, stepDirection]</t>
  </si>
  <si>
    <t xml:space="preserve">spatial.axis_1.stepPosOnReset       </t>
  </si>
  <si>
    <t>Step Position on Reset</t>
  </si>
  <si>
    <t xml:space="preserve">spatial.axis_1.stepsPerUnit         </t>
  </si>
  <si>
    <t xml:space="preserve">Steps Per Unit      </t>
  </si>
  <si>
    <t xml:space="preserve">spatial.axis_1.unitPosOnReset       </t>
  </si>
  <si>
    <t>Unit Position on Reset</t>
  </si>
  <si>
    <t xml:space="preserve">spatial.axis_2.enable               </t>
  </si>
  <si>
    <t xml:space="preserve">spatial.axis_2.inputType            </t>
  </si>
  <si>
    <t xml:space="preserve">spatial.axis_2.stepPosOnReset       </t>
  </si>
  <si>
    <t xml:space="preserve">spatial.axis_2.stepsPerUnit         </t>
  </si>
  <si>
    <t xml:space="preserve">spatial.axis_2.unitPosOnReset       </t>
  </si>
  <si>
    <t xml:space="preserve">spatial.axis_3.enable               </t>
  </si>
  <si>
    <t xml:space="preserve">spatial.axis_3.inputType            </t>
  </si>
  <si>
    <t xml:space="preserve">spatial.axis_3.stepPosOnReset       </t>
  </si>
  <si>
    <t xml:space="preserve">spatial.axis_3.stepsPerUnit         </t>
  </si>
  <si>
    <t xml:space="preserve">spatial.axis_3.unitPosOnReset       </t>
  </si>
  <si>
    <t xml:space="preserve">spatial.axis_4.enable               </t>
  </si>
  <si>
    <t xml:space="preserve">spatial.axis_4.inputType            </t>
  </si>
  <si>
    <t xml:space="preserve">spatial.axis_4.stepPosOnReset       </t>
  </si>
  <si>
    <t xml:space="preserve">spatial.axis_4.stepsPerUnit         </t>
  </si>
  <si>
    <t xml:space="preserve">spatial.axis_4.unitPosOnReset       </t>
  </si>
  <si>
    <t xml:space="preserve">spatial.enableGateReset             </t>
  </si>
  <si>
    <t xml:space="preserve">Enable Gate Reset   </t>
  </si>
  <si>
    <t xml:space="preserve">spatial.enableStatistics            </t>
  </si>
  <si>
    <t xml:space="preserve">Enable Statistics   </t>
  </si>
  <si>
    <t xml:space="preserve">spatial.enableUnitEvents            </t>
  </si>
  <si>
    <t xml:space="preserve">Enable Unit Events  </t>
  </si>
  <si>
    <t xml:space="preserve">spatial.numAxes                     </t>
  </si>
  <si>
    <t xml:space="preserve">Number of Axes      </t>
  </si>
  <si>
    <t>DeviceKey</t>
  </si>
  <si>
    <t>VarName.Old</t>
  </si>
  <si>
    <t>./torero -h 10.114.2.50 -- listparams &gt; FalconX_parameters.txt</t>
  </si>
  <si>
    <t>EPICS Type</t>
  </si>
  <si>
    <t>device varname</t>
  </si>
  <si>
    <t>PV name</t>
  </si>
  <si>
    <t>PV name OLD</t>
  </si>
  <si>
    <t>device varname OLD</t>
  </si>
  <si>
    <t>c:\p4c\RaScanFR.AF9</t>
  </si>
  <si>
    <t>bi</t>
  </si>
  <si>
    <t>bo</t>
  </si>
  <si>
    <t>$(DTYP)</t>
  </si>
  <si>
    <t>dataType</t>
  </si>
  <si>
    <t>datOut</t>
  </si>
  <si>
    <t>datIn</t>
  </si>
  <si>
    <t>ai</t>
  </si>
  <si>
    <t>ao</t>
  </si>
  <si>
    <t>pulse.scaleFactor</t>
  </si>
  <si>
    <t>ST_NEVER</t>
  </si>
  <si>
    <t>UPDATED</t>
  </si>
  <si>
    <t>options</t>
  </si>
  <si>
    <t>MBBIO enum</t>
  </si>
  <si>
    <t>ArchiverPeriod 
max change period 
 (0s - 30s)</t>
  </si>
  <si>
    <t>P2000</t>
  </si>
  <si>
    <t>P2001</t>
  </si>
  <si>
    <t>P2002</t>
  </si>
  <si>
    <t>P2005</t>
  </si>
  <si>
    <t>P2006</t>
  </si>
  <si>
    <t>P2007</t>
  </si>
  <si>
    <t>P2008</t>
  </si>
  <si>
    <t>P2009</t>
  </si>
  <si>
    <t>P2010</t>
  </si>
  <si>
    <t>P2011</t>
  </si>
  <si>
    <t>P2012</t>
  </si>
  <si>
    <t>P2013</t>
  </si>
  <si>
    <t>P2014</t>
  </si>
  <si>
    <t>P2017</t>
  </si>
  <si>
    <t>P2040</t>
  </si>
  <si>
    <t>P2041</t>
  </si>
  <si>
    <t>P2042</t>
  </si>
  <si>
    <t>P2043</t>
  </si>
  <si>
    <t>P2044</t>
  </si>
  <si>
    <t>P2045</t>
  </si>
  <si>
    <t>P2046</t>
  </si>
  <si>
    <t>P2047</t>
  </si>
  <si>
    <t>P2048</t>
  </si>
  <si>
    <t>P2049</t>
  </si>
  <si>
    <t>P2050</t>
  </si>
  <si>
    <t>P2051</t>
  </si>
  <si>
    <t>P2052</t>
  </si>
  <si>
    <t>P2053</t>
  </si>
  <si>
    <t>P2054</t>
  </si>
  <si>
    <t>P2055</t>
  </si>
  <si>
    <t>P2056</t>
  </si>
  <si>
    <t>P2057</t>
  </si>
  <si>
    <t>P2058</t>
  </si>
  <si>
    <t>P2059</t>
  </si>
  <si>
    <t>P2060</t>
  </si>
  <si>
    <t>P2061</t>
  </si>
  <si>
    <t>P2062</t>
  </si>
  <si>
    <t>P2063</t>
  </si>
  <si>
    <t>P2064</t>
  </si>
  <si>
    <t>P2065</t>
  </si>
  <si>
    <t>P2066</t>
  </si>
  <si>
    <t>P2068</t>
  </si>
  <si>
    <t>P2069</t>
  </si>
  <si>
    <t>P2072</t>
  </si>
  <si>
    <t>P2073</t>
  </si>
  <si>
    <t>P2078</t>
  </si>
  <si>
    <t>P2079</t>
  </si>
  <si>
    <t>P2080</t>
  </si>
  <si>
    <t>P2081</t>
  </si>
  <si>
    <t>P2082</t>
  </si>
  <si>
    <t>P2090</t>
  </si>
  <si>
    <t>P2091</t>
  </si>
  <si>
    <t>Q401</t>
  </si>
  <si>
    <t>Q402</t>
  </si>
  <si>
    <t>x</t>
  </si>
  <si>
    <t>er_NONE</t>
  </si>
  <si>
    <t>st_Blank</t>
  </si>
  <si>
    <t>er_v1_Delta</t>
  </si>
  <si>
    <t>st_Terminated</t>
  </si>
  <si>
    <t>er_d1_In</t>
  </si>
  <si>
    <t>st_Standby</t>
  </si>
  <si>
    <t>er_TrjBuilder</t>
  </si>
  <si>
    <t>st_Compiling</t>
  </si>
  <si>
    <t>er_ERROR4</t>
  </si>
  <si>
    <t>st_Ready</t>
  </si>
  <si>
    <t>t_Max</t>
  </si>
  <si>
    <t>er_a1_In</t>
  </si>
  <si>
    <t>st_Setting</t>
  </si>
  <si>
    <t>er_Range1</t>
  </si>
  <si>
    <t>st_Set</t>
  </si>
  <si>
    <t>er_Range2</t>
  </si>
  <si>
    <t>st_Running</t>
  </si>
  <si>
    <t>er_ERROR8</t>
  </si>
  <si>
    <t>st_Reserved</t>
  </si>
  <si>
    <t>er_Standby</t>
  </si>
  <si>
    <t>st_Resetting</t>
  </si>
  <si>
    <t>d1_Ind_HLM</t>
  </si>
  <si>
    <t>d1_IndL_Req</t>
  </si>
  <si>
    <t>d1_IndR_Req</t>
  </si>
  <si>
    <t>dev_CMD</t>
  </si>
  <si>
    <t>d1_Span</t>
  </si>
  <si>
    <t>a1_HLM</t>
  </si>
  <si>
    <t>a2_HLM</t>
  </si>
  <si>
    <t>t_In_LLM</t>
  </si>
  <si>
    <t>d2_Step</t>
  </si>
  <si>
    <t>v1_Scan</t>
  </si>
  <si>
    <t>cs_AngleXZ</t>
  </si>
  <si>
    <t>cs_GearTX</t>
  </si>
  <si>
    <t>line_End</t>
  </si>
  <si>
    <t>d1_Centre</t>
  </si>
  <si>
    <t>d2_Start</t>
  </si>
  <si>
    <t>d2_TolRatio</t>
  </si>
  <si>
    <t>cs_AngleXY</t>
  </si>
  <si>
    <t>dev_State</t>
  </si>
  <si>
    <t>line_N</t>
  </si>
  <si>
    <t>t_Mid</t>
  </si>
  <si>
    <t>t_Out</t>
  </si>
  <si>
    <t>t_In</t>
  </si>
  <si>
    <t>d1_Out</t>
  </si>
  <si>
    <t>v2_Out</t>
  </si>
  <si>
    <t>v2_In</t>
  </si>
  <si>
    <t>d2_Span</t>
  </si>
  <si>
    <t>line_Dir</t>
  </si>
  <si>
    <t>t_Min</t>
  </si>
  <si>
    <t>Xd1</t>
  </si>
  <si>
    <t>d1_In</t>
  </si>
  <si>
    <t>d2_In</t>
  </si>
  <si>
    <t>d2_Out</t>
  </si>
  <si>
    <t>dev_Error</t>
  </si>
  <si>
    <t>a2_Max</t>
  </si>
  <si>
    <t>a1_In</t>
  </si>
  <si>
    <t>p_X0</t>
  </si>
  <si>
    <t>p_X1</t>
  </si>
  <si>
    <t>line_SubEnd</t>
  </si>
  <si>
    <t>v1_Out</t>
  </si>
  <si>
    <t>line_SubN</t>
  </si>
  <si>
    <t>t_Edge</t>
  </si>
  <si>
    <t>d2_Edge</t>
  </si>
  <si>
    <t>dum</t>
  </si>
  <si>
    <t>p_Y0</t>
  </si>
  <si>
    <t>p_Y1</t>
  </si>
  <si>
    <t>p_delta</t>
  </si>
  <si>
    <t>p_tau</t>
  </si>
  <si>
    <t>v1_Diff</t>
  </si>
  <si>
    <t>d1_In_HLM</t>
  </si>
  <si>
    <t>a2_Out</t>
  </si>
  <si>
    <t>t_EdgeOld</t>
  </si>
  <si>
    <t>d1_IndL</t>
  </si>
  <si>
    <t>d2_InOld</t>
  </si>
  <si>
    <t>d1_IndR</t>
  </si>
  <si>
    <t>t_OvrHd</t>
  </si>
  <si>
    <t>cs_Active</t>
  </si>
  <si>
    <t>cs_Status</t>
  </si>
  <si>
    <t>p_Sin</t>
  </si>
  <si>
    <t>p_Cos</t>
  </si>
  <si>
    <t>DIR</t>
  </si>
  <si>
    <t>HLMM</t>
  </si>
  <si>
    <t>LLMM</t>
  </si>
  <si>
    <t>MRES</t>
  </si>
  <si>
    <t>OFF</t>
  </si>
  <si>
    <t>st_Always</t>
  </si>
  <si>
    <t>st_CSSetup</t>
  </si>
  <si>
    <t>st_Global</t>
  </si>
  <si>
    <t>st_InProg</t>
  </si>
  <si>
    <t>st_Monitor</t>
  </si>
  <si>
    <t>st_Never</t>
  </si>
  <si>
    <t>st_TrajSet</t>
  </si>
  <si>
    <t>v1_TolRatio</t>
  </si>
  <si>
    <t>No Fault</t>
  </si>
  <si>
    <t>Velocity parameters non-consistent</t>
  </si>
  <si>
    <t>inner-skip range non-consistent</t>
  </si>
  <si>
    <t>Standby, waiting for user setup</t>
  </si>
  <si>
    <t>trajectory builder error</t>
  </si>
  <si>
    <t>Compiling scan</t>
  </si>
  <si>
    <t>reserved</t>
  </si>
  <si>
    <t>Setup is being verified</t>
  </si>
  <si>
    <t>Pmac internal variable</t>
  </si>
  <si>
    <t>Moving to begin position to start scan</t>
  </si>
  <si>
    <t>Compiled and moved into position to start scan</t>
  </si>
  <si>
    <t>Running scan</t>
  </si>
  <si>
    <t>rscn program terminated via CTRL</t>
  </si>
  <si>
    <t>Device indentation live switch</t>
  </si>
  <si>
    <t>Scan control word</t>
  </si>
  <si>
    <t>Fly axis span (span)</t>
  </si>
  <si>
    <t>Fly axis line scan velocity</t>
  </si>
  <si>
    <t>X-Z scan angle</t>
  </si>
  <si>
    <t>Tomo-X scan gear ratio</t>
  </si>
  <si>
    <t>Fly axis scan starting position</t>
  </si>
  <si>
    <t>X-Y scan angle</t>
  </si>
  <si>
    <t>Scan state word</t>
  </si>
  <si>
    <t>Current scan line</t>
  </si>
  <si>
    <t>outer-skip move time</t>
  </si>
  <si>
    <t>inner-skip move time</t>
  </si>
  <si>
    <t>Fly axis outer-skip band</t>
  </si>
  <si>
    <t>Current line direction</t>
  </si>
  <si>
    <t>SkipScan fault code</t>
  </si>
  <si>
    <t>Number of subsegments</t>
  </si>
  <si>
    <t>Fly axis line exit velocity</t>
  </si>
  <si>
    <t>subsegment counter</t>
  </si>
  <si>
    <t>Edge-skip move time</t>
  </si>
  <si>
    <t>Fly axis indent from Left</t>
  </si>
  <si>
    <t>Fly axis indent from Right</t>
  </si>
  <si>
    <t>Active CS number on pmac</t>
  </si>
  <si>
    <t>CS specific Sin(angle)</t>
  </si>
  <si>
    <t>CS specific Cos(angle)</t>
  </si>
  <si>
    <t>State: coordinate system setup</t>
  </si>
  <si>
    <t>State: MONITOR</t>
  </si>
  <si>
    <t>mbbi</t>
  </si>
  <si>
    <t>gsu</t>
  </si>
  <si>
    <t>e</t>
  </si>
  <si>
    <t>s</t>
  </si>
  <si>
    <t>EGU</t>
  </si>
  <si>
    <t>EGU/s2</t>
  </si>
  <si>
    <t>EGU/s</t>
  </si>
  <si>
    <t>deg</t>
  </si>
  <si>
    <t>deg/mm</t>
  </si>
  <si>
    <t>ST_INPROG</t>
  </si>
  <si>
    <t>ST_MONITOR</t>
  </si>
  <si>
    <t>ST_TRAJSET</t>
  </si>
  <si>
    <t>ST_GLOBAL</t>
  </si>
  <si>
    <t>ST_CSSETUP</t>
  </si>
  <si>
    <t>stream</t>
  </si>
  <si>
    <t>@pmac.proto setVar($(VAR)) $(PORT)</t>
  </si>
  <si>
    <t>C:\P4C\tec\mc\pmacUtil\trunk\pmacUtilApp\Db\</t>
  </si>
  <si>
    <t>@pmac.proto getVar($(VAR)) $(PORT)</t>
  </si>
  <si>
    <t>:RSCN</t>
  </si>
  <si>
    <t>d1_IndSt</t>
  </si>
  <si>
    <t>epics ONLY not part of the map</t>
  </si>
  <si>
    <t>Base PV</t>
  </si>
  <si>
    <t>yes</t>
  </si>
  <si>
    <t>No</t>
  </si>
  <si>
    <t>device var</t>
  </si>
  <si>
    <t>Part of the map if and only if left char is "g": g, gs, gsu. Actual get or set status is defined by get and set strobes GetSB SetSB</t>
  </si>
  <si>
    <t>User set ONLY. No change by device, nor by the solver</t>
  </si>
  <si>
    <t>Device mapped record</t>
  </si>
  <si>
    <t>Single PV</t>
  </si>
  <si>
    <t>Yes</t>
  </si>
  <si>
    <t>yes devicename has an additional "U" at the end (right)</t>
  </si>
  <si>
    <t>g,gs (leading "g")</t>
  </si>
  <si>
    <t>gsu (trailing "u")</t>
  </si>
  <si>
    <t>DevMap record</t>
  </si>
  <si>
    <t>n</t>
  </si>
  <si>
    <t>e (leading "e")</t>
  </si>
  <si>
    <t>device internal. Define in the device.</t>
  </si>
  <si>
    <t>d</t>
  </si>
  <si>
    <t>db</t>
  </si>
  <si>
    <t>d (leading "d")</t>
  </si>
  <si>
    <t>t_Mid_LLM</t>
  </si>
  <si>
    <t>t_HLM</t>
  </si>
  <si>
    <t>t_AHLM</t>
  </si>
  <si>
    <t>t_ALLM</t>
  </si>
  <si>
    <t>P2016</t>
  </si>
  <si>
    <t>P2018</t>
  </si>
  <si>
    <t>P2019</t>
  </si>
  <si>
    <t>P2067</t>
  </si>
  <si>
    <t>P2070</t>
  </si>
  <si>
    <t>P2071</t>
  </si>
  <si>
    <t>P2083</t>
  </si>
  <si>
    <t>absolute low limit for time vars</t>
  </si>
  <si>
    <t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"$(DTYP)")_x000D_
  field(FLNK, "$(P)$(Q):SYN")_x000D_
  field(INP, "$(GETPROTO)")_x000D_
  field(SDIS, "$(GetSB) CP MS")_x000D_
  field(DISV, "0")_x000D_
  field(PINI, "NO")_x000D_
  field(DISS, "INVALID")_x000D_
  field(EGU, "$(EGU)")_x000D_
  field(PREC, "$(PREC)")  _x000D_
}_x000D_
record(ao, "$(P)$(Q):SET") {_x000D_
  field(DTYP, "$(DTYP)")_x000D_
  field(SDIS, "$(P)$(Q):ROL PP MS")_x000D_
  field(OUT, "$(SETPROTO)")_x000D_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t>
  </si>
  <si>
    <t>_x000D_
# PVs mapping to $(VAR)_x000D_
record(bo, "$(P)$(Q)") {_x000D_
  field(DESC, "$(DESC)")_x000D_
  field(OUT, "$(P)$(Q):SET PP MS")_x000D_
  field(PINI, "NO")_x000D_
  field(ZNAM, "No")_x000D_
  field(ONAM, "Yes")_x000D_
}_x000D_
record(bi, "$(P)$(Q):RBV") {_x000D_
  field(DESC, "$(DESC) readback")_x000D_
  field(DTYP, "$(DTYP)")_x000D_
  field(FLNK, "$(P)$(Q):SYN")_x000D_
  field(INP, "$(GETPROTO)")_x000D_
  field(SDIS, "$(GetSB) CP MS")_x000D_
  field(DISV, "0")_x000D_
  field(PINI, "NO")_x000D_
  field(DISS, "INVALID")_x000D_
  field(ZNAM, "No")_x000D_
  field(ONAM, "Yes")_x000D_
}_x000D_
record(bo, "$(P)$(Q):SET") {_x000D_
  field(DTYP, "$(DTYP)")_x000D_
  field(SDIS, "$(P)$(Q):ROL PP MS")_x000D_
  field(OUT, "$(SETPROTO)")_x000D_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t>
  </si>
  <si>
    <t>_x000D_
# PVs mapping to $(VAR)_x000D_
record(stringout, "$(P)$(Q)") {_x000D_
  field(DESC, "$(DESC)")_x000D_
  field(OUT, "$(P)$(Q):SET PP MS")_x000D_
  field(PINI, "NO")  _x000D_
}_x000D_
record(stringin, "$(P)$(Q):RBV") {_x000D_
  field(DESC, "$(DESC) readback")_x000D_
  field(DTYP, "$(DTYP)")_x000D_
  field(FLNK, "$(P)$(Q):SYN")_x000D_
  field(INP, "$(GETPROTO)")_x000D_
  field(SDIS, "$(GetSB) CP MS")_x000D_
  field(DISV, "0")_x000D_
  field(PINI, "NO")_x000D_
  field(DISS, "INVALID") _x000D_
}_x000D_
record(stringout, "$(P)$(Q):SET") {_x000D_
  field(DTYP, "$(DTYP)")_x000D_
  field(SDIS, "$(P)$(Q):ROL PP MS")_x000D_
  field(OUT, "$(SETPROTO)")_x000D_
  field(PINI, "NO")_x000D_
  field(DISS, "INVALID")_x000D_
}_x000D_
record(calc, "$(P)$(Q):ROL") {_x000D_
  field(CALC, "(!B) || A")_x000D_
  field(INPA, "$(P)$(Q):SYN.PACT")_x000D_
  field(INPB, "$(SetSB) NPP MS")_x000D_
  field(PINI, "NO")_x000D_
}_x000D_
record(scalcout, "$(P)$(Q):SYN") {_x000D_
  field(INAA, "$(P)$(Q):RBV PP")_x000D_
  field(INPB, "$(GetSB) NPP MS")_x000D_
  field(INPC, "$(SetSB) NPP MS")_x000D_
  field(CALC, "AA")_x000D_
  field(OUT, "$(P)$(Q) PP MS")_x000D_
  field(PINI, "NO")_x000D_
}_x000D_
#--------------------</t>
  </si>
  <si>
    <t>_x000D_
# PVs mapping to $(VAR)_x000D_
record(longout, "$(P)$(Q)") {_x000D_
  field(DESC, "$(DESC)")_x000D_
  field(OUT, "$(P)$(Q):SET PP MS")_x000D_
  field(PINI, "NO")_x000D_
  field(EGU, "$(EGU)")_x000D_
  }_x000D_
record(longin, "$(P)$(Q):RBV") {_x000D_
  field(DESC, "$(DESC) readback")_x000D_
  field(DTYP, "$(DTYP)")_x000D_
  field(FLNK, "$(P)$(Q):SYN")_x000D_
  field(INP, "$(GETPROTO)")_x000D_
  field(SDIS, "$(GetSB) CP MS")_x000D_
  field(DISV, "0")_x000D_
  field(PINI, "NO")_x000D_
  field(DISS, "INVALID")_x000D_
  field(EGU, "$(EGU)")_x000D_
}_x000D_
record(longout, "$(P)$(Q):SET") {_x000D_
  field(DTYP, "$(DTYP)")_x000D_
  field(SDIS, "$(P)$(Q):ROL PP MS")_x000D_
  field(OUT, "$(SETPROTO)")_x000D_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#---------------------</t>
  </si>
  <si>
    <t>_x000D_
# PVs mapping to $(VAR)_x000D_
record(mbbo, "$(P)$(Q)") {_x000D_
  field(DESC, "$(DESC)")_x000D_
  field(OUT, "$(P)$(Q):SET PP MS")_x000D_
  field(PINI, "NO")_x000D_
$(ENUMS)_x000D_
  }_x000D_
record(mbbi, "$(P)$(Q):RBV") {_x000D_
  field(DESC, "$(DESC) readback")_x000D_
  field(DTYP, "$(DTYP)")_x000D_
  field(FLNK, "$(P)$(Q):SYN")_x000D_
  field(INP, "$(GETPROTO)")_x000D_
  field(SDIS, "$(GetSB) CP MS")_x000D_
  field(DISV, "0")_x000D_
  field(PINI, "NO")_x000D_
  field(DISS, "INVALID")_x000D_
$(ENUMS)_x000D_
}_x000D_
record(mbbo, "$(P)$(Q):SET") {_x000D_
  field(DTYP, "$(DTYP)")_x000D_
  field(SDIS, "$(P)$(Q):ROL PP MS")_x000D_
  field(OUT, "$(SETPROTO)")_x000D_
  field(PINI, "NO")_x000D_
  field(DISS, "INVALID")_x000D_
$(ENUMS)_x000D_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#---------------------</t>
  </si>
  <si>
    <t>Fly vel scan tolerance ratio</t>
  </si>
  <si>
    <t>device definition</t>
  </si>
  <si>
    <t>incomplete</t>
  </si>
  <si>
    <t>EPICS length limits</t>
  </si>
  <si>
    <t xml:space="preserve">DESC </t>
  </si>
  <si>
    <t>setSB PV</t>
  </si>
  <si>
    <t>getSB PV</t>
  </si>
  <si>
    <t>PV Name</t>
  </si>
  <si>
    <t>Inc. axis trajectory max accel.</t>
  </si>
  <si>
    <t>Inc. axis accel. high limit</t>
  </si>
  <si>
    <t>Inc. axis Edge-skip distance</t>
  </si>
  <si>
    <t>Inc. axis skip distance</t>
  </si>
  <si>
    <t>Inc. axis scan span (span)</t>
  </si>
  <si>
    <t>Inc. axis line exit velocity</t>
  </si>
  <si>
    <t>Fly axis inner-skip high limit</t>
  </si>
  <si>
    <t>Inc. axis line entry velocity</t>
  </si>
  <si>
    <t>Fly axis scan velocity delta</t>
  </si>
  <si>
    <t>Scanline middle segnment time</t>
  </si>
  <si>
    <t>Fly axis inner-skip distance</t>
  </si>
  <si>
    <t>Inc. axis line separation</t>
  </si>
  <si>
    <t>Fly axis accel. desired limit</t>
  </si>
  <si>
    <t>Inner-skip accel. exceeds limits</t>
  </si>
  <si>
    <t>Fly axis inner-skip time LLM</t>
  </si>
  <si>
    <t xml:space="preserve">Fly axis inner-skip accel. </t>
  </si>
  <si>
    <t>Fly axis Right indent request</t>
  </si>
  <si>
    <t>Inc. axis inner-skip distance</t>
  </si>
  <si>
    <t>Fly axis Left indent request</t>
  </si>
  <si>
    <t>Inc. axis tolerance ratio</t>
  </si>
  <si>
    <t>Fly axis total indent HLM</t>
  </si>
  <si>
    <t>Inc. axis scan start position</t>
  </si>
  <si>
    <t>Scan line End count</t>
  </si>
  <si>
    <t>Motion range exceeds Fly axis limits</t>
  </si>
  <si>
    <t>Motion range exceeds Inc. axis limits</t>
  </si>
  <si>
    <t>Low limit for tMid</t>
  </si>
  <si>
    <t>High limit for time vars</t>
  </si>
  <si>
    <t>Absolute high limit for time vars</t>
  </si>
  <si>
    <t>map</t>
  </si>
  <si>
    <t>Calculated overhead time per line</t>
  </si>
  <si>
    <t>Signal designator</t>
  </si>
  <si>
    <t>pmacCS</t>
  </si>
  <si>
    <t>pmacMotion</t>
  </si>
  <si>
    <t>base</t>
  </si>
  <si>
    <t>hiSolver</t>
  </si>
  <si>
    <t>hiIndent</t>
  </si>
  <si>
    <t>epicsCtrl</t>
  </si>
  <si>
    <t>epicsMon</t>
  </si>
  <si>
    <t>dev_SLVD</t>
  </si>
  <si>
    <t>Solution is ready</t>
  </si>
  <si>
    <t>IF(OR(LEFT(J4)="d",LEFT(J4)="g"),"#define",";")</t>
  </si>
  <si>
    <t>epics</t>
  </si>
  <si>
    <t>PV List</t>
  </si>
  <si>
    <t>SR05ID01FST01</t>
  </si>
  <si>
    <t>Active CS status (CSSTRS)</t>
  </si>
  <si>
    <t>H:\Personal_Folder\FST01Rascan.autogen.1704.xml</t>
  </si>
  <si>
    <t>RASCAN pmac definition script</t>
  </si>
  <si>
    <t>Inc. axis trajectory accel. Out</t>
  </si>
  <si>
    <t>p_alpha</t>
  </si>
  <si>
    <t>CS specific axis1 resolution</t>
  </si>
  <si>
    <t>p_E1Res</t>
  </si>
  <si>
    <t>p_E2Res</t>
  </si>
  <si>
    <t>Q403</t>
  </si>
  <si>
    <t>Q404</t>
  </si>
  <si>
    <t>CS specific axis2 resolution</t>
  </si>
  <si>
    <t>Sort order</t>
  </si>
  <si>
    <t>Dev Sort (OBS)</t>
  </si>
  <si>
    <t>GUICtrlPosition</t>
  </si>
  <si>
    <t>GUIMonPosition</t>
  </si>
  <si>
    <t>GUICtrl_UI</t>
  </si>
  <si>
    <t>GUIMon_UI</t>
  </si>
  <si>
    <t xml:space="preserve">                
        &lt;/layout&gt;
       &lt;/item&gt;
      &lt;/layout&gt;
     &lt;/widget&gt;
    &lt;/widget&gt;
   &lt;/item&gt;
  &lt;/layout&gt;
 &lt;/widget&gt;
 &lt;customwidgets&gt;
  &lt;customwidget&gt;
   &lt;class&gt;QELabel&lt;/class&gt;
   &lt;extends&gt;QLabel&lt;/extends&gt;
   &lt;header&gt;QELabel.h&lt;/header&gt;
  &lt;/customwidget&gt;
  &lt;customwidget&gt;
   &lt;class&gt;QELineEdit&lt;/class&gt;
   &lt;extends&gt;QLineEdit&lt;/extends&gt;
   &lt;header&gt;QELineEdit.h&lt;/header&gt;
  &lt;/customwidget&gt;
 &lt;/customwidgets&gt;
 &lt;resources/&gt;
 &lt;connections/&gt;
&lt;/ui&gt;
</t>
  </si>
  <si>
    <t xml:space="preserve">&lt;item row="~ROW" column="0"&gt;
         &lt;widget class="QLabel" name="L_~NAME"&gt;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&lt;string&gt;~NAME&lt;/string&gt;
          &lt;/property&gt;
          &lt;property name="margin"&gt;
           &lt;number&gt;3&lt;/number&gt;
          &lt;/property&gt;
         &lt;/widget&gt;
        &lt;/item&gt;
</t>
  </si>
  <si>
    <t xml:space="preserve">&lt;item row="~ROW" column="1"&gt;
         &lt;widget class="QELabel" name="QL_~NAME"&gt;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&lt;string&gt;$(P)$(R)~PVNAME&lt;/string&gt;
          &lt;/property&gt;
         &lt;/widget&gt;
   &lt;/item&gt;
</t>
  </si>
  <si>
    <t>&lt;item row="~ROW" column="2"&gt;
            &lt;widget class="QELineEdit" name="QLD_~NAME"&gt;
             &lt;property name="variable" stdset="0"&gt;
              &lt;string&gt;$(P)$(R)~PVNAME&lt;/string&gt;
             &lt;/property&gt;
             &lt;property name="addUnits"&gt;
             &lt;bool&gt;true&lt;/bool&gt;
             &lt;/property&gt;
            &lt;/widget&gt;
           &lt;/item&gt;</t>
  </si>
  <si>
    <t xml:space="preserve">&lt;?xml version="1.0" encoding="UTF-8"?&gt;
&lt;ui version="4.0"&gt;
 &lt;class&gt;Form&lt;/class&gt;
 &lt;widget class="QWidget" name="Form"&gt;
  &lt;property name="geometry"&gt;
   &lt;rect&gt;
    &lt;x&gt;0&lt;/x&gt;
    &lt;y&gt;0&lt;/y&gt;
    &lt;width&gt;460&lt;/width&gt;
    &lt;height&gt;700&lt;/height&gt;
   &lt;/rect&gt;
  &lt;/property&gt;
  &lt;property name="windowTitle"&gt;
   &lt;string&gt;$(P)$(R) param list&lt;/string&gt;
  &lt;/property&gt;
  &lt;layout class="QVBoxLayout" name="verticalLayout_2"&gt;
   &lt;item&gt;
    &lt;widget class="QScrollArea" name="scrollArea"&gt;
     &lt;property name="widgetResizable"&gt;
      &lt;bool&gt;true&lt;/bool&gt;
     &lt;/property&gt;
     &lt;widget class="QWidget" name="scrollAreaWidgetContents"&gt;
      &lt;property name="geometry"&gt;
       &lt;rect&gt;
        &lt;x&gt;0&lt;/x&gt;
        &lt;y&gt;0&lt;/y&gt;
        &lt;width&gt;420&lt;/width&gt;
        &lt;height&gt;700&lt;/height&gt;
       &lt;/rect&gt;
      &lt;/property&gt;
      &lt;layout class="QVBoxLayout" name="verticalLayout"&gt;
       &lt;item&gt;
        &lt;layout class="QGridLayout" name="gd_ParamGrid"&gt;
         &lt;property name="margin"&gt;
          &lt;number&gt;2&lt;/number&gt;
         &lt;/property&gt;
         &lt;property name="spacing"&gt;
          &lt;number&gt;1&lt;/number&gt;
         &lt;/property&gt;
&lt;!-- Insert Auto-generated Param list here --&gt;    </t>
  </si>
  <si>
    <t xml:space="preserve">&lt;?xml version="1.0" encoding="UTF-8"?&gt;
&lt;ui version="4.0"&gt;
 &lt;class&gt;Form&lt;/class&gt;
 &lt;widget class="QWidget" name="Form"&gt;
  &lt;property name="geometry"&gt;
   &lt;rect&gt;
    &lt;x&gt;0&lt;/x&gt;
    &lt;y&gt;0&lt;/y&gt;
    &lt;width&gt;300&lt;/width&gt;
    &lt;height&gt;700&lt;/height&gt;
   &lt;/rect&gt;
  &lt;/property&gt;
  &lt;property name="windowTitle"&gt;
   &lt;string&gt;$(P)$(R) param list&lt;/string&gt;
  &lt;/property&gt;
  &lt;layout class="QVBoxLayout" name="verticalLayout_2"&gt;
   &lt;item&gt;
    &lt;widget class="QScrollArea" name="scrollArea"&gt;
     &lt;property name="widgetResizable"&gt;
      &lt;bool&gt;true&lt;/bool&gt;
     &lt;/property&gt;
     &lt;widget class="QWidget" name="scrollAreaWidgetContents"&gt;
      &lt;property name="geometry"&gt;
       &lt;rect&gt;
        &lt;x&gt;0&lt;/x&gt;
        &lt;y&gt;0&lt;/y&gt;
        &lt;width&gt;300&lt;/width&gt;
        &lt;height&gt;700&lt;/height&gt;
       &lt;/rect&gt;
      &lt;/property&gt;
      &lt;layout class="QVBoxLayout" name="verticalLayout"&gt;
       &lt;item&gt;
        &lt;layout class="QGridLayout" name="gd_ParamGrid"&gt;
         &lt;property name="margin"&gt;
          &lt;number&gt;2&lt;/number&gt;
         &lt;/property&gt;
         &lt;property name="spacing"&gt;
          &lt;number&gt;1&lt;/number&gt;
         &lt;/property&gt;
&lt;!-- Insert Auto-generated Param list here --&gt;    </t>
  </si>
  <si>
    <t>H:\Personal_Folder\rascanCtrl.autogen.xml</t>
  </si>
  <si>
    <t>H:\Personal_Folder\rascanMon.autogen.xml</t>
  </si>
  <si>
    <t>H:\Personal_Folder\rascanMap.autogen.template</t>
  </si>
  <si>
    <t># non-mapped PV
record(ai, "$(P)$(Q)") {
  field(DESC, "$(DESC)")
  field(PINI, "YES")
  field(EGU, "$(EGU)")
  field(PREC, "$(PREC)")
  field(VAL,"$(DEFAULT)")
  field(SDIS, "$(SetSB) CP MS")
  field(DISV, "0")
  field(DISS, "INVALID")
}
#--------------</t>
  </si>
  <si>
    <t>a1_Out</t>
  </si>
  <si>
    <t>j1_HLM</t>
  </si>
  <si>
    <t>P2020</t>
  </si>
  <si>
    <t>P2021</t>
  </si>
  <si>
    <t>Inc. axis jerk desired limit</t>
  </si>
  <si>
    <t>j2_HLM</t>
  </si>
  <si>
    <t>Fly axis jerk desired limit</t>
  </si>
  <si>
    <t xml:space="preserve">Fly axis outer-skip accel. </t>
  </si>
  <si>
    <t>;</t>
  </si>
  <si>
    <t>H:\Personal_Folder\RaScan2_Interface_def.autogen.pmc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</si>
</sst>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5" fillId="5" borderId="1" applyNumberFormat="0" applyFont="0" applyAlignment="0" applyProtection="0"/>
    <xf numFmtId="0" fontId="7" fillId="6" borderId="2" applyNumberFormat="0" applyAlignment="0" applyProtection="0"/>
  </cellStyleXfs>
  <cellXfs count="64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0" applyFont="1" applyProtection="1"/>
    <xf numFmtId="0" fontId="3" fillId="2" borderId="0" xfId="1" applyProtection="1"/>
    <xf numFmtId="0" fontId="3" fillId="4" borderId="0" xfId="0" applyFont="1" applyFill="1" applyProtection="1"/>
    <xf numFmtId="38" fontId="6" fillId="3" borderId="0" xfId="0" applyNumberFormat="1" applyFont="1" applyFill="1" applyProtection="1">
      <protection locked="0"/>
    </xf>
    <xf numFmtId="0" fontId="0" fillId="5" borderId="1" xfId="2" applyFont="1" applyProtection="1"/>
    <xf numFmtId="0" fontId="0" fillId="5" borderId="1" xfId="2" applyFont="1" applyBorder="1" applyProtection="1">
      <protection locked="0"/>
    </xf>
    <xf numFmtId="0" fontId="0" fillId="0" borderId="0" xfId="0" applyFill="1" applyProtection="1"/>
    <xf numFmtId="0" fontId="0" fillId="0" borderId="0" xfId="0" applyFill="1" applyAlignment="1" applyProtection="1">
      <alignment wrapText="1"/>
    </xf>
    <xf numFmtId="38" fontId="6" fillId="3" borderId="0" xfId="0" applyNumberFormat="1" applyFont="1" applyFill="1" applyProtection="1"/>
    <xf numFmtId="0" fontId="0" fillId="0" borderId="0" xfId="0" applyProtection="1"/>
    <xf numFmtId="0" fontId="0" fillId="0" borderId="0" xfId="0" applyAlignment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Alignment="1" applyProtection="1"/>
    <xf numFmtId="0" fontId="0" fillId="0" borderId="0" xfId="0" quotePrefix="1"/>
    <xf numFmtId="0" fontId="0" fillId="0" borderId="0" xfId="0" applyFill="1" applyBorder="1" applyProtection="1"/>
    <xf numFmtId="11" fontId="0" fillId="0" borderId="0" xfId="0" applyNumberFormat="1" applyFill="1" applyProtection="1"/>
    <xf numFmtId="0" fontId="0" fillId="0" borderId="0" xfId="0" quotePrefix="1" applyProtection="1">
      <protection locked="0"/>
    </xf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4" fillId="0" borderId="0" xfId="0" applyFont="1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3" fillId="2" borderId="0" xfId="1" applyProtection="1"/>
    <xf numFmtId="0" fontId="0" fillId="0" borderId="0" xfId="0" applyFill="1" applyBorder="1" applyProtection="1">
      <protection locked="0"/>
    </xf>
    <xf numFmtId="0" fontId="3" fillId="4" borderId="0" xfId="0" applyFont="1" applyFill="1" applyProtection="1"/>
    <xf numFmtId="0" fontId="0" fillId="5" borderId="1" xfId="2" applyFont="1" applyProtection="1"/>
    <xf numFmtId="0" fontId="0" fillId="5" borderId="1" xfId="2" applyFont="1" applyProtection="1">
      <protection locked="0"/>
    </xf>
    <xf numFmtId="0" fontId="0" fillId="7" borderId="0" xfId="0" applyFill="1" applyProtection="1"/>
    <xf numFmtId="0" fontId="7" fillId="0" borderId="2" xfId="3" applyFill="1" applyProtection="1">
      <protection locked="0"/>
    </xf>
    <xf numFmtId="0" fontId="8" fillId="5" borderId="1" xfId="2" applyFont="1" applyProtection="1"/>
    <xf numFmtId="0" fontId="8" fillId="0" borderId="0" xfId="0" applyFont="1" applyFill="1" applyBorder="1" applyProtection="1">
      <protection locked="0"/>
    </xf>
    <xf numFmtId="0" fontId="3" fillId="2" borderId="0" xfId="1" applyBorder="1" applyAlignment="1" applyProtection="1">
      <alignment horizontal="center" vertical="center" textRotation="135" wrapText="1"/>
    </xf>
    <xf numFmtId="0" fontId="0" fillId="0" borderId="4" xfId="0" applyBorder="1" applyAlignment="1" applyProtection="1">
      <alignment horizontal="center" textRotation="180" wrapText="1"/>
      <protection locked="0"/>
    </xf>
    <xf numFmtId="0" fontId="4" fillId="0" borderId="0" xfId="0" applyFont="1" applyBorder="1" applyAlignment="1" applyProtection="1">
      <alignment horizontal="center" textRotation="180" wrapText="1"/>
    </xf>
    <xf numFmtId="0" fontId="0" fillId="7" borderId="0" xfId="0" applyFill="1" applyBorder="1" applyAlignment="1" applyProtection="1">
      <alignment horizontal="center" textRotation="180" wrapText="1"/>
    </xf>
    <xf numFmtId="0" fontId="0" fillId="5" borderId="1" xfId="2" applyFont="1" applyBorder="1" applyAlignment="1" applyProtection="1">
      <alignment horizontal="center" textRotation="180" wrapText="1"/>
    </xf>
    <xf numFmtId="0" fontId="0" fillId="0" borderId="0" xfId="0" applyBorder="1" applyAlignment="1" applyProtection="1">
      <alignment horizontal="center" textRotation="180" wrapText="1"/>
      <protection locked="0"/>
    </xf>
    <xf numFmtId="0" fontId="7" fillId="0" borderId="2" xfId="3" applyFill="1" applyBorder="1" applyAlignment="1" applyProtection="1">
      <alignment horizontal="center" textRotation="180" wrapText="1"/>
      <protection locked="0"/>
    </xf>
    <xf numFmtId="0" fontId="3" fillId="4" borderId="0" xfId="0" applyFont="1" applyFill="1" applyBorder="1" applyAlignment="1" applyProtection="1">
      <alignment horizontal="center" textRotation="180" wrapText="1"/>
    </xf>
    <xf numFmtId="0" fontId="3" fillId="2" borderId="0" xfId="1" applyBorder="1" applyAlignment="1" applyProtection="1">
      <alignment horizontal="center" textRotation="180" wrapText="1"/>
    </xf>
    <xf numFmtId="38" fontId="6" fillId="3" borderId="0" xfId="0" applyNumberFormat="1" applyFont="1" applyFill="1" applyBorder="1" applyAlignment="1" applyProtection="1">
      <alignment horizontal="center" textRotation="180" wrapText="1"/>
    </xf>
    <xf numFmtId="0" fontId="0" fillId="0" borderId="0" xfId="0" applyBorder="1" applyAlignment="1" applyProtection="1">
      <alignment horizontal="center" textRotation="180" wrapText="1"/>
    </xf>
    <xf numFmtId="0" fontId="0" fillId="8" borderId="4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8" borderId="4" xfId="0" applyFill="1" applyBorder="1" applyAlignment="1" applyProtection="1">
      <alignment horizontal="center" textRotation="180" wrapText="1"/>
      <protection locked="0"/>
    </xf>
    <xf numFmtId="0" fontId="0" fillId="8" borderId="0" xfId="0" applyFill="1" applyBorder="1" applyAlignment="1" applyProtection="1">
      <alignment horizontal="center" textRotation="180" wrapText="1"/>
      <protection locked="0"/>
    </xf>
    <xf numFmtId="0" fontId="0" fillId="8" borderId="4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3" fillId="2" borderId="3" xfId="1" applyBorder="1" applyAlignment="1" applyProtection="1">
      <alignment horizontal="center"/>
      <protection locked="0"/>
    </xf>
    <xf numFmtId="0" fontId="3" fillId="2" borderId="3" xfId="1" applyBorder="1" applyAlignment="1" applyProtection="1">
      <alignment horizontal="center" textRotation="180" wrapText="1"/>
      <protection locked="0"/>
    </xf>
    <xf numFmtId="0" fontId="3" fillId="2" borderId="3" xfId="1" applyBorder="1" applyAlignment="1" applyProtection="1">
      <alignment horizontal="center"/>
    </xf>
    <xf numFmtId="0" fontId="3" fillId="2" borderId="0" xfId="1" applyBorder="1" applyAlignment="1" applyProtection="1">
      <alignment horizontal="center"/>
      <protection locked="0"/>
    </xf>
    <xf numFmtId="0" fontId="3" fillId="2" borderId="0" xfId="1" applyBorder="1" applyAlignment="1" applyProtection="1">
      <alignment horizontal="center" textRotation="180" wrapText="1"/>
      <protection locked="0"/>
    </xf>
    <xf numFmtId="0" fontId="3" fillId="2" borderId="0" xfId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 textRotation="180" wrapText="1"/>
      <protection locked="0"/>
    </xf>
    <xf numFmtId="0" fontId="0" fillId="9" borderId="0" xfId="0" applyFill="1" applyBorder="1" applyAlignment="1" applyProtection="1">
      <alignment horizontal="center"/>
    </xf>
    <xf numFmtId="0" fontId="9" fillId="10" borderId="0" xfId="1" applyFont="1" applyFill="1" applyAlignment="1" applyProtection="1">
      <alignment wrapText="1"/>
    </xf>
    <xf numFmtId="0" fontId="3" fillId="10" borderId="0" xfId="1" applyFill="1" applyAlignment="1" applyProtection="1">
      <alignment wrapText="1"/>
    </xf>
  </cellXfs>
  <cellStyles count="4">
    <cellStyle name="Good" xfId="1" builtinId="26"/>
    <cellStyle name="Input" xfId="3" builtinId="20"/>
    <cellStyle name="Normal" xfId="0" builtinId="0"/>
    <cellStyle name="Note" xfId="2" builtinId="10"/>
  </cellStyles>
  <dxfs count="25"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ont>
        <strike val="0"/>
      </font>
      <fill>
        <patternFill patternType="lightDown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  <dxf>
      <fill>
        <patternFill>
          <bgColor rgb="FFFFFF66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ont>
        <strike/>
      </font>
      <fill>
        <patternFill patternType="solid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76200</xdr:colOff>
          <xdr:row>2</xdr:row>
          <xdr:rowOff>28575</xdr:rowOff>
        </xdr:from>
        <xdr:to>
          <xdr:col>42</xdr:col>
          <xdr:colOff>504825</xdr:colOff>
          <xdr:row>2</xdr:row>
          <xdr:rowOff>647700</xdr:rowOff>
        </xdr:to>
        <xdr:sp macro="" textlink="">
          <xdr:nvSpPr>
            <xdr:cNvPr id="3077" name="L_ExportPMAC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47625</xdr:colOff>
          <xdr:row>2</xdr:row>
          <xdr:rowOff>28575</xdr:rowOff>
        </xdr:from>
        <xdr:to>
          <xdr:col>37</xdr:col>
          <xdr:colOff>485775</xdr:colOff>
          <xdr:row>2</xdr:row>
          <xdr:rowOff>704850</xdr:rowOff>
        </xdr:to>
        <xdr:sp macro="" textlink="">
          <xdr:nvSpPr>
            <xdr:cNvPr id="3079" name="L_ExportEPIC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0</xdr:colOff>
          <xdr:row>2</xdr:row>
          <xdr:rowOff>28575</xdr:rowOff>
        </xdr:from>
        <xdr:to>
          <xdr:col>43</xdr:col>
          <xdr:colOff>495300</xdr:colOff>
          <xdr:row>2</xdr:row>
          <xdr:rowOff>533400</xdr:rowOff>
        </xdr:to>
        <xdr:sp macro="" textlink="">
          <xdr:nvSpPr>
            <xdr:cNvPr id="3080" name="L_ExportArchiverXML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85725</xdr:rowOff>
        </xdr:from>
        <xdr:to>
          <xdr:col>3</xdr:col>
          <xdr:colOff>114300</xdr:colOff>
          <xdr:row>2</xdr:row>
          <xdr:rowOff>447675</xdr:rowOff>
        </xdr:to>
        <xdr:sp macro="" textlink="">
          <xdr:nvSpPr>
            <xdr:cNvPr id="3081" name="L_ExportFindReplace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2</xdr:row>
          <xdr:rowOff>47625</xdr:rowOff>
        </xdr:from>
        <xdr:to>
          <xdr:col>4</xdr:col>
          <xdr:colOff>1704975</xdr:colOff>
          <xdr:row>2</xdr:row>
          <xdr:rowOff>1190625</xdr:rowOff>
        </xdr:to>
        <xdr:sp macro="" textlink="">
          <xdr:nvSpPr>
            <xdr:cNvPr id="3082" name="CB_PVNAMES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2</xdr:row>
          <xdr:rowOff>28575</xdr:rowOff>
        </xdr:from>
        <xdr:to>
          <xdr:col>38</xdr:col>
          <xdr:colOff>485775</xdr:colOff>
          <xdr:row>2</xdr:row>
          <xdr:rowOff>704850</xdr:rowOff>
        </xdr:to>
        <xdr:sp macro="" textlink="">
          <xdr:nvSpPr>
            <xdr:cNvPr id="3083" name="L_CtrlUI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47625</xdr:colOff>
          <xdr:row>2</xdr:row>
          <xdr:rowOff>9525</xdr:rowOff>
        </xdr:from>
        <xdr:to>
          <xdr:col>39</xdr:col>
          <xdr:colOff>485775</xdr:colOff>
          <xdr:row>2</xdr:row>
          <xdr:rowOff>685800</xdr:rowOff>
        </xdr:to>
        <xdr:sp macro="" textlink="">
          <xdr:nvSpPr>
            <xdr:cNvPr id="3084" name="L_MonUI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57150</xdr:rowOff>
        </xdr:from>
        <xdr:to>
          <xdr:col>11</xdr:col>
          <xdr:colOff>723900</xdr:colOff>
          <xdr:row>7</xdr:row>
          <xdr:rowOff>104775</xdr:rowOff>
        </xdr:to>
        <xdr:sp macro="" textlink="">
          <xdr:nvSpPr>
            <xdr:cNvPr id="2050" name="CB_LoadVarTemplat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X125"/>
  <sheetViews>
    <sheetView tabSelected="1" zoomScaleNormal="100" workbookViewId="0">
      <pane xSplit="5" ySplit="3" topLeftCell="F17" activePane="bottomRight" state="frozen"/>
      <selection pane="topRight" activeCell="E1" sqref="E1"/>
      <selection pane="bottomLeft" activeCell="A4" sqref="A4"/>
      <selection pane="bottomRight" activeCell="T37" sqref="T37"/>
    </sheetView>
  </sheetViews>
  <sheetFormatPr defaultColWidth="9.140625" defaultRowHeight="15.75" customHeight="1" x14ac:dyDescent="0.25"/>
  <cols>
    <col min="1" max="1" width="9.140625" style="2"/>
    <col min="2" max="2" width="1.7109375" style="4" customWidth="1"/>
    <col min="3" max="3" width="3" style="32" customWidth="1"/>
    <col min="4" max="4" width="10.7109375" style="8" customWidth="1"/>
    <col min="5" max="5" width="27.42578125" style="2" bestFit="1" customWidth="1"/>
    <col min="6" max="6" width="9.5703125" style="2" customWidth="1"/>
    <col min="7" max="7" width="7.140625" style="2" customWidth="1"/>
    <col min="8" max="8" width="9.140625" style="2"/>
    <col min="9" max="9" width="29.140625" style="3" customWidth="1"/>
    <col min="10" max="10" width="4.85546875" style="2" customWidth="1"/>
    <col min="11" max="11" width="6.5703125" style="2" customWidth="1"/>
    <col min="12" max="12" width="9.140625" style="2"/>
    <col min="13" max="13" width="12" style="2" bestFit="1" customWidth="1"/>
    <col min="14" max="14" width="8.42578125" style="2" bestFit="1" customWidth="1"/>
    <col min="15" max="15" width="19" style="14" customWidth="1"/>
    <col min="16" max="16" width="5.85546875" style="47" customWidth="1"/>
    <col min="17" max="22" width="5.85546875" style="48" customWidth="1"/>
    <col min="23" max="24" width="5.85546875" style="59" customWidth="1"/>
    <col min="25" max="26" width="12.7109375" style="33" bestFit="1" customWidth="1"/>
    <col min="27" max="27" width="11.42578125" style="33" customWidth="1"/>
    <col min="28" max="28" width="6" style="56" customWidth="1"/>
    <col min="29" max="29" width="6" style="53" customWidth="1"/>
    <col min="30" max="30" width="6.28515625" style="6" customWidth="1"/>
    <col min="31" max="31" width="6.85546875" style="5" customWidth="1"/>
    <col min="32" max="32" width="4.42578125" style="6" customWidth="1"/>
    <col min="33" max="33" width="4.140625" style="5" customWidth="1"/>
    <col min="34" max="34" width="5" style="5" customWidth="1"/>
    <col min="35" max="35" width="3" style="5" customWidth="1"/>
    <col min="36" max="36" width="5.7109375" style="5" customWidth="1"/>
    <col min="37" max="37" width="4.7109375" style="5" customWidth="1"/>
    <col min="38" max="38" width="8.85546875" style="5" customWidth="1"/>
    <col min="39" max="39" width="10.140625" style="5" customWidth="1"/>
    <col min="40" max="40" width="10.140625" style="27" customWidth="1"/>
    <col min="41" max="41" width="10.140625" style="5" customWidth="1"/>
    <col min="42" max="42" width="5.42578125" style="5" customWidth="1"/>
    <col min="43" max="43" width="10.140625" style="5" customWidth="1"/>
    <col min="44" max="44" width="8.7109375" style="5" customWidth="1"/>
    <col min="45" max="48" width="4.5703125" style="7" customWidth="1"/>
    <col min="49" max="49" width="9.140625" style="13"/>
    <col min="50" max="16384" width="9.140625" style="2"/>
  </cols>
  <sheetData>
    <row r="1" spans="1:50" ht="15.75" customHeight="1" x14ac:dyDescent="0.25">
      <c r="E1" s="8" t="s">
        <v>668</v>
      </c>
      <c r="J1" s="20"/>
      <c r="AE1" s="5" t="s">
        <v>578</v>
      </c>
      <c r="AL1" s="5" t="s">
        <v>369</v>
      </c>
      <c r="AS1" s="12">
        <f>40-LEN(y_Prefix)-LEN("SYC.NAME")</f>
        <v>19</v>
      </c>
      <c r="AT1" s="12">
        <f>40-LEN(y_Prefix)-LEN("SYC.NAME")+LEN("$(P):")</f>
        <v>24</v>
      </c>
      <c r="AU1" s="12">
        <f>40-LEN(y_Prefix)-LEN("SYC.NAME")+LEN("$(P):")</f>
        <v>24</v>
      </c>
      <c r="AV1" s="12">
        <v>40</v>
      </c>
    </row>
    <row r="2" spans="1:50" ht="15.75" customHeight="1" x14ac:dyDescent="0.25">
      <c r="A2" s="2" t="s">
        <v>665</v>
      </c>
      <c r="B2" s="4" t="s">
        <v>358</v>
      </c>
      <c r="P2" s="47" t="s">
        <v>26</v>
      </c>
      <c r="AD2" s="6" t="s">
        <v>24</v>
      </c>
      <c r="AE2" s="5" t="s">
        <v>24</v>
      </c>
      <c r="AL2" s="5" t="s">
        <v>694</v>
      </c>
      <c r="AM2" s="27" t="s">
        <v>692</v>
      </c>
      <c r="AN2" s="27" t="s">
        <v>693</v>
      </c>
      <c r="AQ2" s="5" t="s">
        <v>705</v>
      </c>
      <c r="AR2" s="5" t="s">
        <v>670</v>
      </c>
      <c r="AS2" s="12" t="s">
        <v>620</v>
      </c>
      <c r="AT2" s="12"/>
      <c r="AU2" s="12"/>
      <c r="AV2" s="12"/>
    </row>
    <row r="3" spans="1:50" s="41" customFormat="1" ht="112.7" customHeight="1" x14ac:dyDescent="0.25">
      <c r="A3" s="37" t="s">
        <v>680</v>
      </c>
      <c r="B3" s="38" t="s">
        <v>52</v>
      </c>
      <c r="C3" s="39" t="s">
        <v>618</v>
      </c>
      <c r="D3" s="40" t="s">
        <v>351</v>
      </c>
      <c r="E3" s="41" t="s">
        <v>655</v>
      </c>
      <c r="F3" s="41" t="s">
        <v>350</v>
      </c>
      <c r="G3" s="41" t="s">
        <v>353</v>
      </c>
      <c r="H3" s="41" t="s">
        <v>48</v>
      </c>
      <c r="I3" s="41" t="s">
        <v>25</v>
      </c>
      <c r="J3" s="41" t="s">
        <v>26</v>
      </c>
      <c r="K3" s="41" t="s">
        <v>27</v>
      </c>
      <c r="L3" s="41" t="s">
        <v>29</v>
      </c>
      <c r="M3" s="41" t="s">
        <v>30</v>
      </c>
      <c r="N3" s="41" t="s">
        <v>31</v>
      </c>
      <c r="O3" s="41" t="s">
        <v>370</v>
      </c>
      <c r="P3" s="49" t="s">
        <v>657</v>
      </c>
      <c r="Q3" s="50" t="s">
        <v>656</v>
      </c>
      <c r="R3" s="50" t="s">
        <v>661</v>
      </c>
      <c r="S3" s="50" t="s">
        <v>662</v>
      </c>
      <c r="T3" s="50" t="s">
        <v>659</v>
      </c>
      <c r="U3" s="50" t="s">
        <v>660</v>
      </c>
      <c r="V3" s="50" t="s">
        <v>658</v>
      </c>
      <c r="W3" s="60" t="s">
        <v>682</v>
      </c>
      <c r="X3" s="60" t="s">
        <v>683</v>
      </c>
      <c r="Y3" s="42" t="s">
        <v>49</v>
      </c>
      <c r="Z3" s="42" t="s">
        <v>50</v>
      </c>
      <c r="AA3" s="42" t="s">
        <v>372</v>
      </c>
      <c r="AB3" s="57" t="s">
        <v>666</v>
      </c>
      <c r="AC3" s="54" t="s">
        <v>653</v>
      </c>
      <c r="AD3" s="43" t="s">
        <v>356</v>
      </c>
      <c r="AE3" s="44" t="s">
        <v>355</v>
      </c>
      <c r="AF3" s="43" t="s">
        <v>357</v>
      </c>
      <c r="AG3" s="44" t="s">
        <v>354</v>
      </c>
      <c r="AH3" s="44" t="str">
        <f>IF(ISNUMBER(Y3),Y3,"$(P):$(Q):"&amp;Y3)</f>
        <v>$(P):$(Q):CanGet</v>
      </c>
      <c r="AI3" s="44" t="str">
        <f>IF(ISNUMBER(Z3),Z3,"$(P):$(Q):"&amp;Z3)</f>
        <v>$(P):$(Q):CanSet</v>
      </c>
      <c r="AJ3" s="44" t="s">
        <v>371</v>
      </c>
      <c r="AK3" s="44" t="s">
        <v>593</v>
      </c>
      <c r="AL3" s="44" t="s">
        <v>32</v>
      </c>
      <c r="AM3" s="44" t="s">
        <v>684</v>
      </c>
      <c r="AN3" s="44" t="s">
        <v>685</v>
      </c>
      <c r="AO3" s="44" t="s">
        <v>33</v>
      </c>
      <c r="AP3" s="44" t="s">
        <v>51</v>
      </c>
      <c r="AQ3" s="44" t="s">
        <v>34</v>
      </c>
      <c r="AR3" s="36" t="s">
        <v>55</v>
      </c>
      <c r="AS3" s="45" t="s">
        <v>624</v>
      </c>
      <c r="AT3" s="45" t="s">
        <v>623</v>
      </c>
      <c r="AU3" s="45" t="s">
        <v>622</v>
      </c>
      <c r="AV3" s="45" t="s">
        <v>621</v>
      </c>
      <c r="AW3" s="46" t="s">
        <v>681</v>
      </c>
      <c r="AX3" s="41" t="s">
        <v>667</v>
      </c>
    </row>
    <row r="4" spans="1:50" ht="15.75" customHeight="1" x14ac:dyDescent="0.25">
      <c r="B4" s="24" t="str">
        <f t="shared" ref="B4:B35" si="0">IF(AND(LEN(D4)&gt;3,D4&lt;&gt;E4),"&lt;FIND TYPE=ASC&gt;"&amp;AD4&amp;"&lt;/FIND&gt;&lt;REPLACE TYPE=ASC&gt;"&amp;AE4&amp;"&lt;/REPLACE&gt;"&amp;CHAR(10)&amp;"&lt;FIND TYPE=ASC&gt;"&amp;AF4&amp;"&lt;/FIND&gt;&lt;REPLACE TYPE=ASC&gt;"&amp;AG4&amp;"&lt;/REPLACE&gt;"&amp;CHAR(10)&amp;"&lt;FIND TYPE=ASC&gt;"&amp;D4&amp;"&lt;/FIND&gt;&lt;REPLACE TYPE=ASC&gt;"&amp;E4&amp;"&lt;/REPLACE&gt;",".")</f>
        <v>.</v>
      </c>
      <c r="C4" s="32" t="s">
        <v>704</v>
      </c>
      <c r="D4" s="31"/>
      <c r="E4" s="25">
        <v>-1</v>
      </c>
      <c r="F4" s="25">
        <v>-1</v>
      </c>
      <c r="G4" s="25"/>
      <c r="H4" s="25"/>
      <c r="I4" s="26" t="str">
        <f>"Auto generated script from excel EPICS mapping by "&amp;"nader.afshar@synchrotron.org.au"</f>
        <v>Auto generated script from excel EPICS mapping by nader.afshar@synchrotron.org.au</v>
      </c>
      <c r="J4" s="25"/>
      <c r="K4" s="25"/>
      <c r="L4" s="25"/>
      <c r="M4" s="25"/>
      <c r="N4" s="25"/>
      <c r="O4" s="15"/>
      <c r="P4" s="48" t="s">
        <v>39</v>
      </c>
      <c r="AB4" s="58" t="str">
        <f t="shared" ref="AB4:AB35" si="1">IF(LEN(R4&amp;S4&amp;T4&amp;U4&amp;V4)&gt;0,"epics","")</f>
        <v/>
      </c>
      <c r="AC4" s="55" t="str">
        <f t="shared" ref="AC4:AC35" si="2">IF(NOT(ISBLANK(V4)),"base",IF(AB4="epics",IF(AND(ISBLANK(P4),ISBLANK(Q4)),"nmp","map"),""))</f>
        <v/>
      </c>
      <c r="AD4" s="29" t="str">
        <f t="shared" ref="AD4:AD35" si="3">UPPER(AD$1&amp;":"&amp;D4)</f>
        <v>:</v>
      </c>
      <c r="AE4" s="27" t="str">
        <f t="shared" ref="AE4:AE35" si="4">UPPER(AE$1&amp;":"&amp;E4)</f>
        <v>:RSCN:-1</v>
      </c>
      <c r="AF4" s="29" t="str">
        <f t="shared" ref="AF4:AF35" si="5">SUBSTITUTE(D4,"_","")</f>
        <v/>
      </c>
      <c r="AG4" s="27" t="str">
        <f t="shared" ref="AG4:AG35" si="6">SUBSTITUTE(E4,"_","")&amp;IF(AND(RIGHT(P4)&lt;&gt;"s",RIGHT(Q4)&lt;&gt;"s"),"","")</f>
        <v>-1</v>
      </c>
      <c r="AH4" s="27" t="str">
        <f t="shared" ref="AH4:AH35" si="7">IF(ISNUMBER(Y4),Y4,"$(P)"&amp;$AE$1&amp;":"&amp;Y4)</f>
        <v>$(P):RSCN:</v>
      </c>
      <c r="AI4" s="27" t="str">
        <f t="shared" ref="AI4:AI35" si="8">IF(ISNUMBER(Z4),Z4,"$(P)"&amp;$AE$1&amp;":"&amp;Z4)</f>
        <v>$(P):RSCN:</v>
      </c>
      <c r="AJ4" s="27"/>
      <c r="AK4" s="27" t="str">
        <f t="shared" ref="AK4:AK35" si="9">IF(LEN(AG4)&gt;2,SUBSTITUTE(SUBSTITUTE(SUBSTITUTE(IF(AC4="map",IF(G4="float",y_mapVarAnalog,IF(G4="int",y_mapVarLongint,IF(G4="bool",y_mapVarBool,IF(G4="string",y_mapVarString,IF(G4="option",y_mapVarOption,"#unknown Type"))))),IF(AC4="nmp",y_nonMappedAnalog,"")),"$(DTYP)",y_DTYPE),"$(SETPROTO)",y_setVarProto),"$(GETPROTO)",y_getVarProto),"")</f>
        <v/>
      </c>
      <c r="AL4" s="27" t="str">
        <f t="shared" ref="AL4:AL35" si="10">SUBSTITUTE(SUBSTITUTE(SUBSTITUTE(SUBSTITUTE(SUBSTITUTE(SUBSTITUTE(SUBSTITUTE(SUBSTITUTE(SUBSTITUTE(AK4,"$(Q)",AE4),"$(EGU)",K4),"$(PREC)",N4),"$(VAR)",TRIM(CLEAN(F4))),"$(GetSB)",AH4),"$(SetSB)",AI4),"$(DESC)",LEFT(I4,40)),"$(ENUMS)",AJ4),"$(DEFAULT)",H4)</f>
        <v/>
      </c>
      <c r="AM4" s="63" t="s">
        <v>690</v>
      </c>
      <c r="AN4" s="63" t="s">
        <v>691</v>
      </c>
      <c r="AO4" s="27" t="e">
        <f t="shared" ref="AO4:AO35" si="11">VLOOKUP(G4,y_EPICS_Formats,2,FALSE)</f>
        <v>#N/A</v>
      </c>
      <c r="AP4" s="27" t="str">
        <f t="shared" ref="AP4:AP35" si="12">IF(AB4="epics",y_Prefix&amp;AE4&amp;" = ","")</f>
        <v/>
      </c>
      <c r="AQ4" s="27" t="str">
        <f>IF(LEN(P4&amp;Q4)&gt;0,IFERROR(";"&amp;I4&amp;"["&amp;K4&amp;"]"&amp;AB4&amp;"("&amp;AC4&amp;")"&amp;CHAR(10)&amp;C4 &amp;CHAR(9)&amp;AG4&amp;CHAR(9)&amp;F4 &amp;CHAR(9),";;Error!"),"")</f>
        <v xml:space="preserve">;Auto generated script from excel EPICS mapping by nader.afshar@synchrotron.org.au[]()
;	-1	-1	</v>
      </c>
      <c r="AR4" s="27" t="str">
        <f t="shared" ref="AR4:AR35" si="13">IF(IFERROR(AND(AA4&gt;0,LEN(AK4)&gt;0),FALSE),SUBSTITUTE(SUBSTITUTE(SUBSTITUTE(y_archiverXML,"~PVNAME",AE4),"~PREFIX",y_Prefix),"~PERIOD",MIN(30,AA4)),"")</f>
        <v/>
      </c>
      <c r="AS4" s="12" t="str">
        <f t="shared" ref="AS4:AS35" si="14">IF($AB4="epics",AS$1-LEN(AE4),"")</f>
        <v/>
      </c>
      <c r="AT4" s="12" t="str">
        <f t="shared" ref="AT4:AT35" si="15">IF($AB4="epics",AT$1-LEN(AH4),"")</f>
        <v/>
      </c>
      <c r="AU4" s="12" t="str">
        <f t="shared" ref="AU4:AU35" si="16">IF($AB4="epics",AU$1-LEN(AI4),"")</f>
        <v/>
      </c>
      <c r="AV4" s="12" t="str">
        <f t="shared" ref="AV4:AV35" si="17">IF($AB4="epics",AV$1-LEN(I4)-LEN(" readback"),"")</f>
        <v/>
      </c>
      <c r="AW4" s="13" t="str">
        <f t="shared" ref="AW4:AW35" si="18">IF(ISNUMBER(F4),"0"&amp;LEFT(E4,2)&amp;TEXT(F4,"#.0000"),F4)</f>
        <v>0-1-1.0000</v>
      </c>
      <c r="AX4" s="23" t="str">
        <f t="shared" ref="AX4:AX35" si="19">y_Prefix&amp;AE4</f>
        <v>SR05ID01FST01:RSCN:-1</v>
      </c>
    </row>
    <row r="5" spans="1:50" ht="15.75" customHeight="1" x14ac:dyDescent="0.25">
      <c r="B5" s="24" t="str">
        <f t="shared" si="0"/>
        <v>.</v>
      </c>
      <c r="C5" s="32" t="s">
        <v>704</v>
      </c>
      <c r="D5" s="31"/>
      <c r="E5" s="25">
        <v>-1</v>
      </c>
      <c r="F5" s="25">
        <v>-1</v>
      </c>
      <c r="G5" s="25"/>
      <c r="H5" s="25"/>
      <c r="I5" s="26" t="s">
        <v>671</v>
      </c>
      <c r="J5" s="25"/>
      <c r="K5" s="25"/>
      <c r="L5" s="25"/>
      <c r="M5" s="25"/>
      <c r="N5" s="25"/>
      <c r="O5" s="15"/>
      <c r="P5" s="48" t="s">
        <v>39</v>
      </c>
      <c r="AB5" s="58" t="str">
        <f t="shared" si="1"/>
        <v/>
      </c>
      <c r="AC5" s="55" t="str">
        <f t="shared" si="2"/>
        <v/>
      </c>
      <c r="AD5" s="29" t="str">
        <f t="shared" si="3"/>
        <v>:</v>
      </c>
      <c r="AE5" s="27" t="str">
        <f t="shared" si="4"/>
        <v>:RSCN:-1</v>
      </c>
      <c r="AF5" s="29" t="str">
        <f t="shared" si="5"/>
        <v/>
      </c>
      <c r="AG5" s="27" t="str">
        <f t="shared" si="6"/>
        <v>-1</v>
      </c>
      <c r="AH5" s="27" t="str">
        <f t="shared" si="7"/>
        <v>$(P):RSCN:</v>
      </c>
      <c r="AI5" s="27" t="str">
        <f t="shared" si="8"/>
        <v>$(P):RSCN:</v>
      </c>
      <c r="AJ5" s="27"/>
      <c r="AK5" s="27" t="str">
        <f t="shared" si="9"/>
        <v/>
      </c>
      <c r="AL5" s="27" t="str">
        <f t="shared" si="10"/>
        <v/>
      </c>
      <c r="AM5" s="27" t="str">
        <f t="shared" ref="AM5:AM36" si="20">IF(ISNUMBER(W5),SUBSTITUTE(SUBSTITUTE(SUBSTITUTE(SUBSTITUTE(SUBSTITUTE(SUBSTITUTE(SUBSTITUTE(SUBSTITUTE(y_QLabel &amp; IF(RIGHT(R5)="s",y_QELineEdit,y_QELabel),"~PVNAME",$AE5&amp;IF($AC5="map","","")),"~EGU",$K5),"~PREC",$N5),"~VAR",$F5),"~CANGET",$AH5),"~CANSET",$AI5),"~ROW",W5),"~NAME",$E5),"")</f>
        <v/>
      </c>
      <c r="AN5" s="27" t="str">
        <f t="shared" ref="AN5:AN36" si="21">IF(ISNUMBER(X5),SUBSTITUTE(SUBSTITUTE(SUBSTITUTE(SUBSTITUTE(SUBSTITUTE(SUBSTITUTE(SUBSTITUTE(SUBSTITUTE(y_QLabel &amp; IF(RIGHT(S5)="s",y_QELineEdit,y_QELabel),"~PVNAME",$AE5&amp;IF($AC5="map","","")),"~EGU",$K5),"~PREC",$N5),"~VAR",$F5),"~CANGET",$AH5),"~CANSET",$AI5),"~ROW",X5),"~NAME",$E5),"")</f>
        <v/>
      </c>
      <c r="AO5" s="27" t="e">
        <f t="shared" si="11"/>
        <v>#N/A</v>
      </c>
      <c r="AP5" s="27" t="str">
        <f t="shared" si="12"/>
        <v/>
      </c>
      <c r="AQ5" s="27" t="str">
        <f t="shared" ref="AQ5:AQ68" si="22">IF(LEN(P5&amp;Q5)&gt;0,IFERROR(";"&amp;I5&amp;"["&amp;K5&amp;"]"&amp;AB5&amp;"("&amp;AC5&amp;")"&amp;CHAR(10)&amp;C5 &amp;CHAR(9)&amp;AG5&amp;CHAR(9)&amp;F5 &amp;CHAR(9),";;Error!"),"")</f>
        <v xml:space="preserve">;RASCAN pmac definition script[]()
;	-1	-1	</v>
      </c>
      <c r="AR5" s="27" t="str">
        <f t="shared" si="13"/>
        <v/>
      </c>
      <c r="AS5" s="12" t="str">
        <f t="shared" si="14"/>
        <v/>
      </c>
      <c r="AT5" s="12" t="str">
        <f t="shared" si="15"/>
        <v/>
      </c>
      <c r="AU5" s="12" t="str">
        <f t="shared" si="16"/>
        <v/>
      </c>
      <c r="AV5" s="12" t="str">
        <f t="shared" si="17"/>
        <v/>
      </c>
      <c r="AW5" s="13" t="str">
        <f t="shared" si="18"/>
        <v>0-1-1.0000</v>
      </c>
      <c r="AX5" s="23" t="str">
        <f t="shared" si="19"/>
        <v>SR05ID01FST01:RSCN:-1</v>
      </c>
    </row>
    <row r="6" spans="1:50" ht="15.75" customHeight="1" x14ac:dyDescent="0.25">
      <c r="B6" s="24" t="str">
        <f t="shared" si="0"/>
        <v>.</v>
      </c>
      <c r="C6" s="32" t="str">
        <f t="shared" ref="C6:C37" si="23">IF(AND(ISBLANK(P6),ISBLANK(Q6)),";","#define")</f>
        <v>#define</v>
      </c>
      <c r="D6" s="31" t="s">
        <v>454</v>
      </c>
      <c r="E6" s="25" t="s">
        <v>454</v>
      </c>
      <c r="F6" s="10" t="s">
        <v>375</v>
      </c>
      <c r="G6" s="10" t="s">
        <v>86</v>
      </c>
      <c r="H6" s="10"/>
      <c r="I6" s="11" t="s">
        <v>637</v>
      </c>
      <c r="J6" s="10" t="s">
        <v>561</v>
      </c>
      <c r="K6" s="10" t="s">
        <v>565</v>
      </c>
      <c r="L6" s="10">
        <v>-9999999</v>
      </c>
      <c r="M6" s="10">
        <v>9999999</v>
      </c>
      <c r="N6" s="10">
        <v>1</v>
      </c>
      <c r="O6" s="16"/>
      <c r="P6" s="52" t="s">
        <v>39</v>
      </c>
      <c r="Q6" s="52"/>
      <c r="R6" s="52" t="s">
        <v>563</v>
      </c>
      <c r="S6" s="52"/>
      <c r="T6" s="52" t="s">
        <v>39</v>
      </c>
      <c r="U6" s="52"/>
      <c r="V6" s="52"/>
      <c r="W6" s="61">
        <v>14</v>
      </c>
      <c r="X6" s="61"/>
      <c r="Y6" s="33" t="s">
        <v>570</v>
      </c>
      <c r="Z6" s="33" t="s">
        <v>571</v>
      </c>
      <c r="AA6" s="33">
        <v>30</v>
      </c>
      <c r="AB6" s="58" t="str">
        <f t="shared" si="1"/>
        <v>epics</v>
      </c>
      <c r="AC6" s="55" t="str">
        <f t="shared" si="2"/>
        <v>map</v>
      </c>
      <c r="AD6" s="29" t="str">
        <f t="shared" si="3"/>
        <v>:A1_HLM</v>
      </c>
      <c r="AE6" s="27" t="str">
        <f t="shared" si="4"/>
        <v>:RSCN:A1_HLM</v>
      </c>
      <c r="AF6" s="29" t="str">
        <f t="shared" si="5"/>
        <v>a1HLM</v>
      </c>
      <c r="AG6" s="27" t="str">
        <f t="shared" si="6"/>
        <v>a1HLM</v>
      </c>
      <c r="AH6" s="27" t="str">
        <f t="shared" si="7"/>
        <v>$(P):RSCN:ST_MONITOR</v>
      </c>
      <c r="AI6" s="27" t="str">
        <f t="shared" si="8"/>
        <v>$(P):RSCN:ST_TRAJSET</v>
      </c>
      <c r="AJ6" s="27"/>
      <c r="AK6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6" s="27" t="str">
        <f t="shared" si="10"/>
        <v>_x000D_
# PVs mapping to P2002_x000D_
record(ao, "$(P):RSCN:A1_HLM") {_x000D_
  field(DESC, "Fly axis accel. desired limit")_x000D_
  field(OUT, "$(P):RSCN:A1_HLM:SET PP MS")_x000D_
  field(PINI, "NO")_x000D_
  field(EGU, "EGU/s2")_x000D_
  field(PREC, "1")  _x000D_
}_x000D_
record(ai, "$(P):RSCN:A1_HLM:RBV") {_x000D_
  field(DESC, "Fly axis accel. desired limit readback")_x000D_
  field(DTYP, "stream")_x000D_
  field(FLNK, "$(P):RSCN:A1_HLM:SYN")_x000D_
  field(INP, "@pmac.proto getVar(P2002) $(PORT)")_x000D_
  field(SDIS, "$(P):RSCN:ST_MONITOR CP MS")_x000D_
  field(DISV, "0")_x000D_
  field(PINI, "NO")_x000D_
  field(DISS, "INVALID")_x000D_
  field(EGU, "EGU/s2")_x000D_
  field(PREC, "1")  _x000D_
}_x000D_
record(ao, "$(P):RSCN:A1_HLM:SET") {_x000D_
  field(DTYP, "stream")_x000D_
  field(SDIS, "$(P):RSCN:A1_HLM:ROL PP MS")_x000D_
  field(OUT, "@pmac.proto setVar(P2002) $(PORT)")_x000D_
  field(PINI, "NO")_x000D_
  field(DISS, "INVALID")_x000D_
}_x000D_
record(calc, "$(P):RSCN:A1_HLM:ROL") {_x000D_
  field(CALC, "(!B) || A")_x000D_
  field(INPA, "$(P):RSCN:A1_HLM:SYN.PACT")_x000D_
  field(INPB, "$(P):RSCN:ST_TRAJSET NPP MS")_x000D_
  field(PINI, "NO")_x000D_
}_x000D_
record(calcout, "$(P):RSCN:A1_HLM:SYN") {_x000D_
  field(INPA, "$(P):RSCN:A1_HLM:RBV PP")_x000D_
  field(INPB, "$(P):RSCN:ST_MONITOR NPP MS")_x000D_
  field(INPC, "$(P):RSCN:ST_TRAJSET NPP MS")_x000D_
  field(CALC, "A")_x000D_
  field(OUT, "$(P):RSCN:A1_HLM PP MS")_x000D_
  field(PINI, "NO")_x000D_
}_x000D_
#--------------------</v>
      </c>
      <c r="AM6" s="27" t="str">
        <f t="shared" si="20"/>
        <v>&lt;item row="14" column="0"&gt;
         &lt;widget class="QLabel" name="L_a1_HLM"&gt;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&lt;string&gt;a1_HLM&lt;/string&gt;
          &lt;/property&gt;
          &lt;property name="margin"&gt;
           &lt;number&gt;3&lt;/number&gt;
          &lt;/property&gt;
         &lt;/widget&gt;
        &lt;/item&gt;
&lt;item row="14" column="2"&gt;
            &lt;widget class="QELineEdit" name="QLD_a1_HLM"&gt;
             &lt;property name="variable" stdset="0"&gt;
              &lt;string&gt;$(P)$(R):RSCN:A1_HLM&lt;/string&gt;
             &lt;/property&gt;
             &lt;property name="addUnits"&gt;
             &lt;bool&gt;true&lt;/bool&gt;
             &lt;/property&gt;
            &lt;/widget&gt;
           &lt;/item&gt;</v>
      </c>
      <c r="AN6" s="27" t="str">
        <f t="shared" si="21"/>
        <v/>
      </c>
      <c r="AO6" s="27" t="e">
        <f t="shared" si="11"/>
        <v>#N/A</v>
      </c>
      <c r="AP6" s="27" t="str">
        <f t="shared" si="12"/>
        <v xml:space="preserve">SR05ID01FST01:RSCN:A1_HLM = </v>
      </c>
      <c r="AQ6" s="27" t="str">
        <f t="shared" si="22"/>
        <v xml:space="preserve">;Fly axis accel. desired limit[EGU/s2]epics(map)
#define	a1HLM	P2002	</v>
      </c>
      <c r="AR6" s="27" t="str">
        <f t="shared" si="13"/>
        <v xml:space="preserve">      &lt;channel&gt;
         &lt;name&gt;SR05ID01FST01:RSCN:A1_HLM&lt;/name&gt;
         &lt;period&gt;30&lt;/period&gt;
         &lt;monitor/&gt;
      &lt;/channel&gt;</v>
      </c>
      <c r="AS6" s="12">
        <f t="shared" si="14"/>
        <v>7</v>
      </c>
      <c r="AT6" s="12">
        <f t="shared" si="15"/>
        <v>4</v>
      </c>
      <c r="AU6" s="12">
        <f t="shared" si="16"/>
        <v>4</v>
      </c>
      <c r="AV6" s="12">
        <f t="shared" si="17"/>
        <v>2</v>
      </c>
      <c r="AW6" s="13" t="str">
        <f t="shared" si="18"/>
        <v>P2002</v>
      </c>
      <c r="AX6" s="23" t="str">
        <f t="shared" si="19"/>
        <v>SR05ID01FST01:RSCN:A1_HLM</v>
      </c>
    </row>
    <row r="7" spans="1:50" ht="15.75" customHeight="1" x14ac:dyDescent="0.25">
      <c r="B7" s="24" t="str">
        <f t="shared" si="0"/>
        <v>.</v>
      </c>
      <c r="C7" s="32" t="str">
        <f t="shared" si="23"/>
        <v>#define</v>
      </c>
      <c r="D7" s="31" t="s">
        <v>483</v>
      </c>
      <c r="E7" s="25" t="s">
        <v>483</v>
      </c>
      <c r="F7" s="10" t="s">
        <v>404</v>
      </c>
      <c r="G7" s="10" t="s">
        <v>86</v>
      </c>
      <c r="H7" s="10"/>
      <c r="I7" s="11" t="s">
        <v>640</v>
      </c>
      <c r="J7" s="10" t="s">
        <v>39</v>
      </c>
      <c r="K7" s="10" t="s">
        <v>565</v>
      </c>
      <c r="L7" s="10">
        <v>-9999999</v>
      </c>
      <c r="M7" s="10">
        <v>9999999</v>
      </c>
      <c r="N7" s="10">
        <v>1</v>
      </c>
      <c r="O7" s="16"/>
      <c r="P7" s="52" t="s">
        <v>563</v>
      </c>
      <c r="Q7" s="52"/>
      <c r="R7" s="52"/>
      <c r="S7" s="52" t="s">
        <v>39</v>
      </c>
      <c r="T7" s="52"/>
      <c r="U7" s="52"/>
      <c r="V7" s="52"/>
      <c r="W7" s="61"/>
      <c r="X7" s="61">
        <v>1</v>
      </c>
      <c r="Y7" s="33" t="s">
        <v>570</v>
      </c>
      <c r="Z7" s="33" t="s">
        <v>368</v>
      </c>
      <c r="AA7" s="33">
        <v>30</v>
      </c>
      <c r="AB7" s="58" t="str">
        <f t="shared" si="1"/>
        <v>epics</v>
      </c>
      <c r="AC7" s="55" t="str">
        <f t="shared" si="2"/>
        <v>map</v>
      </c>
      <c r="AD7" s="29" t="str">
        <f t="shared" si="3"/>
        <v>:A1_IN</v>
      </c>
      <c r="AE7" s="27" t="str">
        <f t="shared" si="4"/>
        <v>:RSCN:A1_IN</v>
      </c>
      <c r="AF7" s="29" t="str">
        <f t="shared" si="5"/>
        <v>a1In</v>
      </c>
      <c r="AG7" s="27" t="str">
        <f t="shared" si="6"/>
        <v>a1In</v>
      </c>
      <c r="AH7" s="27" t="str">
        <f t="shared" si="7"/>
        <v>$(P):RSCN:ST_MONITOR</v>
      </c>
      <c r="AI7" s="27" t="str">
        <f t="shared" si="8"/>
        <v>$(P):RSCN:ST_NEVER</v>
      </c>
      <c r="AJ7" s="27"/>
      <c r="AK7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7" s="27" t="str">
        <f t="shared" si="10"/>
        <v>_x000D_
# PVs mapping to P2057_x000D_
record(ao, "$(P):RSCN:A1_IN") {_x000D_
  field(DESC, "Fly axis inner-skip accel. ")_x000D_
  field(OUT, "$(P):RSCN:A1_IN:SET PP MS")_x000D_
  field(PINI, "NO")_x000D_
  field(EGU, "EGU/s2")_x000D_
  field(PREC, "1")  _x000D_
}_x000D_
record(ai, "$(P):RSCN:A1_IN:RBV") {_x000D_
  field(DESC, "Fly axis inner-skip accel.  readback")_x000D_
  field(DTYP, "stream")_x000D_
  field(FLNK, "$(P):RSCN:A1_IN:SYN")_x000D_
  field(INP, "@pmac.proto getVar(P2057) $(PORT)")_x000D_
  field(SDIS, "$(P):RSCN:ST_MONITOR CP MS")_x000D_
  field(DISV, "0")_x000D_
  field(PINI, "NO")_x000D_
  field(DISS, "INVALID")_x000D_
  field(EGU, "EGU/s2")_x000D_
  field(PREC, "1")  _x000D_
}_x000D_
record(ao, "$(P):RSCN:A1_IN:SET") {_x000D_
  field(DTYP, "stream")_x000D_
  field(SDIS, "$(P):RSCN:A1_IN:ROL PP MS")_x000D_
  field(OUT, "@pmac.proto setVar(P2057) $(PORT)")_x000D_
  field(PINI, "NO")_x000D_
  field(DISS, "INVALID")_x000D_
}_x000D_
record(calc, "$(P):RSCN:A1_IN:ROL") {_x000D_
  field(CALC, "(!B) || A")_x000D_
  field(INPA, "$(P):RSCN:A1_IN:SYN.PACT")_x000D_
  field(INPB, "$(P):RSCN:ST_NEVER NPP MS")_x000D_
  field(PINI, "NO")_x000D_
}_x000D_
record(calcout, "$(P):RSCN:A1_IN:SYN") {_x000D_
  field(INPA, "$(P):RSCN:A1_IN:RBV PP")_x000D_
  field(INPB, "$(P):RSCN:ST_MONITOR NPP MS")_x000D_
  field(INPC, "$(P):RSCN:ST_NEVER NPP MS")_x000D_
  field(CALC, "A")_x000D_
  field(OUT, "$(P):RSCN:A1_IN PP MS")_x000D_
  field(PINI, "NO")_x000D_
}_x000D_
#--------------------</v>
      </c>
      <c r="AM7" s="27" t="str">
        <f t="shared" si="20"/>
        <v/>
      </c>
      <c r="AN7" s="27" t="str">
        <f t="shared" si="21"/>
        <v xml:space="preserve">&lt;item row="1" column="0"&gt;
         &lt;widget class="QLabel" name="L_a1_In"&gt;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&lt;string&gt;a1_In&lt;/string&gt;
          &lt;/property&gt;
          &lt;property name="margin"&gt;
           &lt;number&gt;3&lt;/number&gt;
          &lt;/property&gt;
         &lt;/widget&gt;
        &lt;/item&gt;
&lt;item row="1" column="1"&gt;
         &lt;widget class="QELabel" name="QL_a1_In"&gt;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&lt;string&gt;$(P)$(R):RSCN:A1_IN&lt;/string&gt;
          &lt;/property&gt;
         &lt;/widget&gt;
   &lt;/item&gt;
</v>
      </c>
      <c r="AO7" s="27" t="e">
        <f t="shared" si="11"/>
        <v>#N/A</v>
      </c>
      <c r="AP7" s="27" t="str">
        <f t="shared" si="12"/>
        <v xml:space="preserve">SR05ID01FST01:RSCN:A1_IN = </v>
      </c>
      <c r="AQ7" s="27" t="str">
        <f t="shared" si="22"/>
        <v xml:space="preserve">;Fly axis inner-skip accel. [EGU/s2]epics(map)
#define	a1In	P2057	</v>
      </c>
      <c r="AR7" s="27" t="str">
        <f t="shared" si="13"/>
        <v xml:space="preserve">      &lt;channel&gt;
         &lt;name&gt;SR05ID01FST01:RSCN:A1_IN&lt;/name&gt;
         &lt;period&gt;30&lt;/period&gt;
         &lt;monitor/&gt;
      &lt;/channel&gt;</v>
      </c>
      <c r="AS7" s="12">
        <f t="shared" si="14"/>
        <v>8</v>
      </c>
      <c r="AT7" s="12">
        <f t="shared" si="15"/>
        <v>4</v>
      </c>
      <c r="AU7" s="12">
        <f t="shared" si="16"/>
        <v>6</v>
      </c>
      <c r="AV7" s="12">
        <f t="shared" si="17"/>
        <v>4</v>
      </c>
      <c r="AW7" s="13" t="str">
        <f t="shared" si="18"/>
        <v>P2057</v>
      </c>
      <c r="AX7" s="23" t="str">
        <f t="shared" si="19"/>
        <v>SR05ID01FST01:RSCN:A1_IN</v>
      </c>
    </row>
    <row r="8" spans="1:50" ht="15.75" customHeight="1" x14ac:dyDescent="0.25">
      <c r="B8" s="24" t="str">
        <f t="shared" si="0"/>
        <v>.</v>
      </c>
      <c r="C8" s="32" t="str">
        <f t="shared" si="23"/>
        <v>#define</v>
      </c>
      <c r="D8" s="30"/>
      <c r="E8" s="23" t="s">
        <v>696</v>
      </c>
      <c r="F8" s="10" t="s">
        <v>608</v>
      </c>
      <c r="G8" s="10" t="s">
        <v>86</v>
      </c>
      <c r="H8" s="10"/>
      <c r="I8" s="11" t="s">
        <v>703</v>
      </c>
      <c r="J8" s="10" t="s">
        <v>39</v>
      </c>
      <c r="K8" s="10" t="s">
        <v>565</v>
      </c>
      <c r="L8" s="10">
        <v>-9999999</v>
      </c>
      <c r="M8" s="10">
        <v>9999999</v>
      </c>
      <c r="N8" s="10">
        <v>1</v>
      </c>
      <c r="O8" s="16"/>
      <c r="P8" s="52" t="s">
        <v>563</v>
      </c>
      <c r="Q8" s="52"/>
      <c r="R8" s="52"/>
      <c r="S8" s="52" t="s">
        <v>39</v>
      </c>
      <c r="T8" s="52"/>
      <c r="U8" s="52"/>
      <c r="V8" s="52"/>
      <c r="W8" s="61"/>
      <c r="X8" s="61">
        <v>2</v>
      </c>
      <c r="Y8" s="33" t="s">
        <v>570</v>
      </c>
      <c r="Z8" s="33" t="s">
        <v>368</v>
      </c>
      <c r="AA8" s="33">
        <v>30</v>
      </c>
      <c r="AB8" s="58" t="str">
        <f t="shared" si="1"/>
        <v>epics</v>
      </c>
      <c r="AC8" s="55" t="str">
        <f t="shared" si="2"/>
        <v>map</v>
      </c>
      <c r="AD8" s="29" t="str">
        <f t="shared" si="3"/>
        <v>:</v>
      </c>
      <c r="AE8" s="27" t="str">
        <f t="shared" si="4"/>
        <v>:RSCN:A1_OUT</v>
      </c>
      <c r="AF8" s="29" t="str">
        <f t="shared" si="5"/>
        <v/>
      </c>
      <c r="AG8" s="27" t="str">
        <f t="shared" si="6"/>
        <v>a1Out</v>
      </c>
      <c r="AH8" s="27" t="str">
        <f t="shared" si="7"/>
        <v>$(P):RSCN:ST_MONITOR</v>
      </c>
      <c r="AI8" s="27" t="str">
        <f t="shared" si="8"/>
        <v>$(P):RSCN:ST_NEVER</v>
      </c>
      <c r="AJ8" s="27"/>
      <c r="AK8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8" s="27" t="str">
        <f t="shared" si="10"/>
        <v>_x000D_
# PVs mapping to P2070_x000D_
record(ao, "$(P):RSCN:A1_OUT") {_x000D_
  field(DESC, "Fly axis outer-skip accel. ")_x000D_
  field(OUT, "$(P):RSCN:A1_OUT:SET PP MS")_x000D_
  field(PINI, "NO")_x000D_
  field(EGU, "EGU/s2")_x000D_
  field(PREC, "1")  _x000D_
}_x000D_
record(ai, "$(P):RSCN:A1_OUT:RBV") {_x000D_
  field(DESC, "Fly axis outer-skip accel.  readback")_x000D_
  field(DTYP, "stream")_x000D_
  field(FLNK, "$(P):RSCN:A1_OUT:SYN")_x000D_
  field(INP, "@pmac.proto getVar(P2070) $(PORT)")_x000D_
  field(SDIS, "$(P):RSCN:ST_MONITOR CP MS")_x000D_
  field(DISV, "0")_x000D_
  field(PINI, "NO")_x000D_
  field(DISS, "INVALID")_x000D_
  field(EGU, "EGU/s2")_x000D_
  field(PREC, "1")  _x000D_
}_x000D_
record(ao, "$(P):RSCN:A1_OUT:SET") {_x000D_
  field(DTYP, "stream")_x000D_
  field(SDIS, "$(P):RSCN:A1_OUT:ROL PP MS")_x000D_
  field(OUT, "@pmac.proto setVar(P2070) $(PORT)")_x000D_
  field(PINI, "NO")_x000D_
  field(DISS, "INVALID")_x000D_
}_x000D_
record(calc, "$(P):RSCN:A1_OUT:ROL") {_x000D_
  field(CALC, "(!B) || A")_x000D_
  field(INPA, "$(P):RSCN:A1_OUT:SYN.PACT")_x000D_
  field(INPB, "$(P):RSCN:ST_NEVER NPP MS")_x000D_
  field(PINI, "NO")_x000D_
}_x000D_
record(calcout, "$(P):RSCN:A1_OUT:SYN") {_x000D_
  field(INPA, "$(P):RSCN:A1_OUT:RBV PP")_x000D_
  field(INPB, "$(P):RSCN:ST_MONITOR NPP MS")_x000D_
  field(INPC, "$(P):RSCN:ST_NEVER NPP MS")_x000D_
  field(CALC, "A")_x000D_
  field(OUT, "$(P):RSCN:A1_OUT PP MS")_x000D_
  field(PINI, "NO")_x000D_
}_x000D_
#--------------------</v>
      </c>
      <c r="AM8" s="27" t="str">
        <f t="shared" si="20"/>
        <v/>
      </c>
      <c r="AN8" s="27" t="str">
        <f t="shared" si="21"/>
        <v xml:space="preserve">&lt;item row="2" column="0"&gt;
         &lt;widget class="QLabel" name="L_a1_Out"&gt;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&lt;string&gt;a1_Out&lt;/string&gt;
          &lt;/property&gt;
          &lt;property name="margin"&gt;
           &lt;number&gt;3&lt;/number&gt;
          &lt;/property&gt;
         &lt;/widget&gt;
        &lt;/item&gt;
&lt;item row="2" column="1"&gt;
         &lt;widget class="QELabel" name="QL_a1_Out"&gt;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&lt;string&gt;$(P)$(R):RSCN:A1_OUT&lt;/string&gt;
          &lt;/property&gt;
         &lt;/widget&gt;
   &lt;/item&gt;
</v>
      </c>
      <c r="AO8" s="27" t="e">
        <f t="shared" si="11"/>
        <v>#N/A</v>
      </c>
      <c r="AP8" s="27" t="str">
        <f t="shared" si="12"/>
        <v xml:space="preserve">SR05ID01FST01:RSCN:A1_OUT = </v>
      </c>
      <c r="AQ8" s="27" t="str">
        <f t="shared" si="22"/>
        <v xml:space="preserve">;Fly axis outer-skip accel. [EGU/s2]epics(map)
#define	a1Out	P2070	</v>
      </c>
      <c r="AR8" s="27" t="str">
        <f t="shared" si="13"/>
        <v xml:space="preserve">      &lt;channel&gt;
         &lt;name&gt;SR05ID01FST01:RSCN:A1_OUT&lt;/name&gt;
         &lt;period&gt;30&lt;/period&gt;
         &lt;monitor/&gt;
      &lt;/channel&gt;</v>
      </c>
      <c r="AS8" s="12">
        <f t="shared" si="14"/>
        <v>7</v>
      </c>
      <c r="AT8" s="12">
        <f t="shared" si="15"/>
        <v>4</v>
      </c>
      <c r="AU8" s="12">
        <f t="shared" si="16"/>
        <v>6</v>
      </c>
      <c r="AV8" s="12">
        <f t="shared" si="17"/>
        <v>4</v>
      </c>
      <c r="AW8" s="13" t="str">
        <f t="shared" si="18"/>
        <v>P2070</v>
      </c>
      <c r="AX8" s="23" t="str">
        <f t="shared" si="19"/>
        <v>SR05ID01FST01:RSCN:A1_OUT</v>
      </c>
    </row>
    <row r="9" spans="1:50" ht="15.75" customHeight="1" x14ac:dyDescent="0.25">
      <c r="B9" s="24" t="str">
        <f t="shared" si="0"/>
        <v>.</v>
      </c>
      <c r="C9" s="32" t="str">
        <f t="shared" si="23"/>
        <v>;</v>
      </c>
      <c r="D9" s="30"/>
      <c r="E9" s="23" t="s">
        <v>455</v>
      </c>
      <c r="F9" s="10" t="s">
        <v>45</v>
      </c>
      <c r="G9" s="10" t="s">
        <v>86</v>
      </c>
      <c r="H9" s="10">
        <v>0</v>
      </c>
      <c r="I9" s="11" t="s">
        <v>626</v>
      </c>
      <c r="J9" s="10" t="s">
        <v>562</v>
      </c>
      <c r="K9" s="10" t="s">
        <v>566</v>
      </c>
      <c r="L9" s="10">
        <v>-9999999</v>
      </c>
      <c r="M9" s="10">
        <v>9999999</v>
      </c>
      <c r="N9" s="10">
        <v>3</v>
      </c>
      <c r="O9" s="16"/>
      <c r="P9" s="52"/>
      <c r="Q9" s="52"/>
      <c r="R9" s="52" t="s">
        <v>563</v>
      </c>
      <c r="S9" s="52"/>
      <c r="T9" s="52" t="s">
        <v>39</v>
      </c>
      <c r="U9" s="52"/>
      <c r="V9" s="52"/>
      <c r="W9" s="61">
        <v>15</v>
      </c>
      <c r="X9" s="61"/>
      <c r="Z9" s="33" t="s">
        <v>571</v>
      </c>
      <c r="AA9" s="33">
        <v>30</v>
      </c>
      <c r="AB9" s="58" t="str">
        <f t="shared" si="1"/>
        <v>epics</v>
      </c>
      <c r="AC9" s="55" t="str">
        <f t="shared" si="2"/>
        <v>nmp</v>
      </c>
      <c r="AD9" s="29" t="str">
        <f t="shared" si="3"/>
        <v>:</v>
      </c>
      <c r="AE9" s="27" t="str">
        <f t="shared" si="4"/>
        <v>:RSCN:A2_HLM</v>
      </c>
      <c r="AF9" s="29" t="str">
        <f t="shared" si="5"/>
        <v/>
      </c>
      <c r="AG9" s="27" t="str">
        <f t="shared" si="6"/>
        <v>a2HLM</v>
      </c>
      <c r="AH9" s="27" t="str">
        <f t="shared" si="7"/>
        <v>$(P):RSCN:</v>
      </c>
      <c r="AI9" s="27" t="str">
        <f t="shared" si="8"/>
        <v>$(P):RSCN:ST_TRAJSET</v>
      </c>
      <c r="AJ9" s="27"/>
      <c r="AK9" s="27" t="str">
        <f t="shared" si="9"/>
        <v># non-mapped PV
record(ai, "$(P)$(Q)") {
  field(DESC, "$(DESC)")
  field(PINI, "YES")
  field(EGU, "$(EGU)")
  field(PREC, "$(PREC)")
  field(VAL,"$(DEFAULT)")
  field(SDIS, "$(SetSB) CP MS")
  field(DISV, "0")
  field(DISS, "INVALID")
}
#--------------</v>
      </c>
      <c r="AL9" s="27" t="str">
        <f t="shared" si="10"/>
        <v># non-mapped PV
record(ai, "$(P):RSCN:A2_HLM") {
  field(DESC, "Inc. axis accel. high limit")
  field(PINI, "YES")
  field(EGU, "EGU/s")
  field(PREC, "3")
  field(VAL,"0")
  field(SDIS, "$(P):RSCN:ST_TRAJSET CP MS")
  field(DISV, "0")
  field(DISS, "INVALID")
}
#--------------</v>
      </c>
      <c r="AM9" s="27" t="str">
        <f t="shared" si="20"/>
        <v>&lt;item row="15" column="0"&gt;
         &lt;widget class="QLabel" name="L_a2_HLM"&gt;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&lt;string&gt;a2_HLM&lt;/string&gt;
          &lt;/property&gt;
          &lt;property name="margin"&gt;
           &lt;number&gt;3&lt;/number&gt;
          &lt;/property&gt;
         &lt;/widget&gt;
        &lt;/item&gt;
&lt;item row="15" column="2"&gt;
            &lt;widget class="QELineEdit" name="QLD_a2_HLM"&gt;
             &lt;property name="variable" stdset="0"&gt;
              &lt;string&gt;$(P)$(R):RSCN:A2_HLM&lt;/string&gt;
             &lt;/property&gt;
             &lt;property name="addUnits"&gt;
             &lt;bool&gt;true&lt;/bool&gt;
             &lt;/property&gt;
            &lt;/widget&gt;
           &lt;/item&gt;</v>
      </c>
      <c r="AN9" s="27" t="str">
        <f t="shared" si="21"/>
        <v/>
      </c>
      <c r="AO9" s="27" t="e">
        <f t="shared" si="11"/>
        <v>#N/A</v>
      </c>
      <c r="AP9" s="27" t="str">
        <f t="shared" si="12"/>
        <v xml:space="preserve">SR05ID01FST01:RSCN:A2_HLM = </v>
      </c>
      <c r="AQ9" s="27" t="str">
        <f t="shared" si="22"/>
        <v/>
      </c>
      <c r="AR9" s="27" t="str">
        <f t="shared" si="13"/>
        <v xml:space="preserve">      &lt;channel&gt;
         &lt;name&gt;SR05ID01FST01:RSCN:A2_HLM&lt;/name&gt;
         &lt;period&gt;30&lt;/period&gt;
         &lt;monitor/&gt;
      &lt;/channel&gt;</v>
      </c>
      <c r="AS9" s="12">
        <f t="shared" si="14"/>
        <v>7</v>
      </c>
      <c r="AT9" s="12">
        <f t="shared" si="15"/>
        <v>14</v>
      </c>
      <c r="AU9" s="12">
        <f t="shared" si="16"/>
        <v>4</v>
      </c>
      <c r="AV9" s="12">
        <f t="shared" si="17"/>
        <v>4</v>
      </c>
      <c r="AW9" s="13" t="str">
        <f t="shared" si="18"/>
        <v>none</v>
      </c>
      <c r="AX9" s="23" t="str">
        <f t="shared" si="19"/>
        <v>SR05ID01FST01:RSCN:A2_HLM</v>
      </c>
    </row>
    <row r="10" spans="1:50" ht="15.75" customHeight="1" x14ac:dyDescent="0.25">
      <c r="B10" s="24" t="str">
        <f t="shared" si="0"/>
        <v>.</v>
      </c>
      <c r="C10" s="32" t="str">
        <f t="shared" si="23"/>
        <v>#define</v>
      </c>
      <c r="D10" s="31" t="s">
        <v>482</v>
      </c>
      <c r="E10" s="28" t="s">
        <v>482</v>
      </c>
      <c r="F10" s="10" t="s">
        <v>403</v>
      </c>
      <c r="G10" s="10" t="s">
        <v>86</v>
      </c>
      <c r="H10" s="10"/>
      <c r="I10" s="11" t="s">
        <v>625</v>
      </c>
      <c r="J10" s="10" t="s">
        <v>39</v>
      </c>
      <c r="K10" s="10" t="s">
        <v>565</v>
      </c>
      <c r="L10" s="10">
        <v>-9999999</v>
      </c>
      <c r="M10" s="10">
        <v>9999999</v>
      </c>
      <c r="N10" s="10">
        <v>1</v>
      </c>
      <c r="O10" s="16"/>
      <c r="P10" s="52" t="s">
        <v>39</v>
      </c>
      <c r="Q10" s="52"/>
      <c r="R10" s="52"/>
      <c r="S10" s="52" t="s">
        <v>39</v>
      </c>
      <c r="T10" s="52" t="s">
        <v>563</v>
      </c>
      <c r="U10" s="52"/>
      <c r="V10" s="52"/>
      <c r="W10" s="61"/>
      <c r="X10" s="61">
        <v>3</v>
      </c>
      <c r="Y10" s="33" t="s">
        <v>570</v>
      </c>
      <c r="Z10" s="33" t="s">
        <v>571</v>
      </c>
      <c r="AA10" s="33">
        <v>30</v>
      </c>
      <c r="AB10" s="58" t="str">
        <f t="shared" si="1"/>
        <v>epics</v>
      </c>
      <c r="AC10" s="55" t="str">
        <f t="shared" si="2"/>
        <v>map</v>
      </c>
      <c r="AD10" s="29" t="str">
        <f t="shared" si="3"/>
        <v>:A2_MAX</v>
      </c>
      <c r="AE10" s="27" t="str">
        <f t="shared" si="4"/>
        <v>:RSCN:A2_MAX</v>
      </c>
      <c r="AF10" s="29" t="str">
        <f t="shared" si="5"/>
        <v>a2Max</v>
      </c>
      <c r="AG10" s="27" t="str">
        <f t="shared" si="6"/>
        <v>a2Max</v>
      </c>
      <c r="AH10" s="27" t="str">
        <f t="shared" si="7"/>
        <v>$(P):RSCN:ST_MONITOR</v>
      </c>
      <c r="AI10" s="27" t="str">
        <f t="shared" si="8"/>
        <v>$(P):RSCN:ST_TRAJSET</v>
      </c>
      <c r="AJ10" s="27"/>
      <c r="AK10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0" s="27" t="str">
        <f t="shared" si="10"/>
        <v>_x000D_
# PVs mapping to P2056_x000D_
record(ao, "$(P):RSCN:A2_MAX") {_x000D_
  field(DESC, "Inc. axis trajectory max accel.")_x000D_
  field(OUT, "$(P):RSCN:A2_MAX:SET PP MS")_x000D_
  field(PINI, "NO")_x000D_
  field(EGU, "EGU/s2")_x000D_
  field(PREC, "1")  _x000D_
}_x000D_
record(ai, "$(P):RSCN:A2_MAX:RBV") {_x000D_
  field(DESC, "Inc. axis trajectory max accel. readback")_x000D_
  field(DTYP, "stream")_x000D_
  field(FLNK, "$(P):RSCN:A2_MAX:SYN")_x000D_
  field(INP, "@pmac.proto getVar(P2056) $(PORT)")_x000D_
  field(SDIS, "$(P):RSCN:ST_MONITOR CP MS")_x000D_
  field(DISV, "0")_x000D_
  field(PINI, "NO")_x000D_
  field(DISS, "INVALID")_x000D_
  field(EGU, "EGU/s2")_x000D_
  field(PREC, "1")  _x000D_
}_x000D_
record(ao, "$(P):RSCN:A2_MAX:SET") {_x000D_
  field(DTYP, "stream")_x000D_
  field(SDIS, "$(P):RSCN:A2_MAX:ROL PP MS")_x000D_
  field(OUT, "@pmac.proto setVar(P2056) $(PORT)")_x000D_
  field(PINI, "NO")_x000D_
  field(DISS, "INVALID")_x000D_
}_x000D_
record(calc, "$(P):RSCN:A2_MAX:ROL") {_x000D_
  field(CALC, "(!B) || A")_x000D_
  field(INPA, "$(P):RSCN:A2_MAX:SYN.PACT")_x000D_
  field(INPB, "$(P):RSCN:ST_TRAJSET NPP MS")_x000D_
  field(PINI, "NO")_x000D_
}_x000D_
record(calcout, "$(P):RSCN:A2_MAX:SYN") {_x000D_
  field(INPA, "$(P):RSCN:A2_MAX:RBV PP")_x000D_
  field(INPB, "$(P):RSCN:ST_MONITOR NPP MS")_x000D_
  field(INPC, "$(P):RSCN:ST_TRAJSET NPP MS")_x000D_
  field(CALC, "A")_x000D_
  field(OUT, "$(P):RSCN:A2_MAX PP MS")_x000D_
  field(PINI, "NO")_x000D_
}_x000D_
#--------------------</v>
      </c>
      <c r="AM10" s="27" t="str">
        <f t="shared" si="20"/>
        <v/>
      </c>
      <c r="AN10" s="27" t="str">
        <f t="shared" si="21"/>
        <v xml:space="preserve">&lt;item row="3" column="0"&gt;
         &lt;widget class="QLabel" name="L_a2_Max"&gt;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&lt;string&gt;a2_Max&lt;/string&gt;
          &lt;/property&gt;
          &lt;property name="margin"&gt;
           &lt;number&gt;3&lt;/number&gt;
          &lt;/property&gt;
         &lt;/widget&gt;
        &lt;/item&gt;
&lt;item row="3" column="1"&gt;
         &lt;widget class="QELabel" name="QL_a2_Max"&gt;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&lt;string&gt;$(P)$(R):RSCN:A2_MAX&lt;/string&gt;
          &lt;/property&gt;
         &lt;/widget&gt;
   &lt;/item&gt;
</v>
      </c>
      <c r="AO10" s="27" t="e">
        <f t="shared" si="11"/>
        <v>#N/A</v>
      </c>
      <c r="AP10" s="27" t="str">
        <f t="shared" si="12"/>
        <v xml:space="preserve">SR05ID01FST01:RSCN:A2_MAX = </v>
      </c>
      <c r="AQ10" s="27" t="str">
        <f t="shared" si="22"/>
        <v xml:space="preserve">;Inc. axis trajectory max accel.[EGU/s2]epics(map)
#define	a2Max	P2056	</v>
      </c>
      <c r="AR10" s="27" t="str">
        <f t="shared" si="13"/>
        <v xml:space="preserve">      &lt;channel&gt;
         &lt;name&gt;SR05ID01FST01:RSCN:A2_MAX&lt;/name&gt;
         &lt;period&gt;30&lt;/period&gt;
         &lt;monitor/&gt;
      &lt;/channel&gt;</v>
      </c>
      <c r="AS10" s="12">
        <f t="shared" si="14"/>
        <v>7</v>
      </c>
      <c r="AT10" s="12">
        <f t="shared" si="15"/>
        <v>4</v>
      </c>
      <c r="AU10" s="12">
        <f t="shared" si="16"/>
        <v>4</v>
      </c>
      <c r="AV10" s="12">
        <f t="shared" si="17"/>
        <v>0</v>
      </c>
      <c r="AW10" s="13" t="str">
        <f t="shared" si="18"/>
        <v>P2056</v>
      </c>
      <c r="AX10" s="23" t="str">
        <f t="shared" si="19"/>
        <v>SR05ID01FST01:RSCN:A2_MAX</v>
      </c>
    </row>
    <row r="11" spans="1:50" ht="15.75" customHeight="1" x14ac:dyDescent="0.25">
      <c r="B11" s="24" t="str">
        <f t="shared" si="0"/>
        <v>.</v>
      </c>
      <c r="C11" s="32" t="str">
        <f t="shared" si="23"/>
        <v>#define</v>
      </c>
      <c r="D11" s="30"/>
      <c r="E11" s="25" t="s">
        <v>498</v>
      </c>
      <c r="F11" s="10" t="s">
        <v>409</v>
      </c>
      <c r="G11" s="10" t="s">
        <v>86</v>
      </c>
      <c r="H11" s="10"/>
      <c r="I11" s="11" t="s">
        <v>672</v>
      </c>
      <c r="J11" s="10" t="s">
        <v>39</v>
      </c>
      <c r="K11" s="10" t="s">
        <v>565</v>
      </c>
      <c r="L11" s="10">
        <v>-9999999</v>
      </c>
      <c r="M11" s="10">
        <v>9999999</v>
      </c>
      <c r="N11" s="10">
        <v>1</v>
      </c>
      <c r="O11" s="16"/>
      <c r="P11" s="52" t="s">
        <v>563</v>
      </c>
      <c r="Q11" s="52"/>
      <c r="R11" s="52"/>
      <c r="S11" s="52" t="s">
        <v>39</v>
      </c>
      <c r="T11" s="52"/>
      <c r="U11" s="52"/>
      <c r="V11" s="52"/>
      <c r="W11" s="61"/>
      <c r="X11" s="61">
        <v>4</v>
      </c>
      <c r="Y11" s="33" t="s">
        <v>570</v>
      </c>
      <c r="Z11" s="33" t="s">
        <v>368</v>
      </c>
      <c r="AA11" s="33">
        <v>30</v>
      </c>
      <c r="AB11" s="58" t="str">
        <f t="shared" si="1"/>
        <v>epics</v>
      </c>
      <c r="AC11" s="55" t="str">
        <f t="shared" si="2"/>
        <v>map</v>
      </c>
      <c r="AD11" s="29" t="str">
        <f t="shared" si="3"/>
        <v>:</v>
      </c>
      <c r="AE11" s="27" t="str">
        <f t="shared" si="4"/>
        <v>:RSCN:A2_OUT</v>
      </c>
      <c r="AF11" s="29" t="str">
        <f t="shared" si="5"/>
        <v/>
      </c>
      <c r="AG11" s="27" t="str">
        <f t="shared" si="6"/>
        <v>a2Out</v>
      </c>
      <c r="AH11" s="27" t="str">
        <f t="shared" si="7"/>
        <v>$(P):RSCN:ST_MONITOR</v>
      </c>
      <c r="AI11" s="27" t="str">
        <f t="shared" si="8"/>
        <v>$(P):RSCN:ST_NEVER</v>
      </c>
      <c r="AJ11" s="27"/>
      <c r="AK11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" s="27" t="str">
        <f t="shared" si="10"/>
        <v>_x000D_
# PVs mapping to P2062_x000D_
record(ao, "$(P):RSCN:A2_OUT") {_x000D_
  field(DESC, "Inc. axis trajectory accel. Out")_x000D_
  field(OUT, "$(P):RSCN:A2_OUT:SET PP MS")_x000D_
  field(PINI, "NO")_x000D_
  field(EGU, "EGU/s2")_x000D_
  field(PREC, "1")  _x000D_
}_x000D_
record(ai, "$(P):RSCN:A2_OUT:RBV") {_x000D_
  field(DESC, "Inc. axis trajectory accel. Out readback")_x000D_
  field(DTYP, "stream")_x000D_
  field(FLNK, "$(P):RSCN:A2_OUT:SYN")_x000D_
  field(INP, "@pmac.proto getVar(P2062) $(PORT)")_x000D_
  field(SDIS, "$(P):RSCN:ST_MONITOR CP MS")_x000D_
  field(DISV, "0")_x000D_
  field(PINI, "NO")_x000D_
  field(DISS, "INVALID")_x000D_
  field(EGU, "EGU/s2")_x000D_
  field(PREC, "1")  _x000D_
}_x000D_
record(ao, "$(P):RSCN:A2_OUT:SET") {_x000D_
  field(DTYP, "stream")_x000D_
  field(SDIS, "$(P):RSCN:A2_OUT:ROL PP MS")_x000D_
  field(OUT, "@pmac.proto setVar(P2062) $(PORT)")_x000D_
  field(PINI, "NO")_x000D_
  field(DISS, "INVALID")_x000D_
}_x000D_
record(calc, "$(P):RSCN:A2_OUT:ROL") {_x000D_
  field(CALC, "(!B) || A")_x000D_
  field(INPA, "$(P):RSCN:A2_OUT:SYN.PACT")_x000D_
  field(INPB, "$(P):RSCN:ST_NEVER NPP MS")_x000D_
  field(PINI, "NO")_x000D_
}_x000D_
record(calcout, "$(P):RSCN:A2_OUT:SYN") {_x000D_
  field(INPA, "$(P):RSCN:A2_OUT:RBV PP")_x000D_
  field(INPB, "$(P):RSCN:ST_MONITOR NPP MS")_x000D_
  field(INPC, "$(P):RSCN:ST_NEVER NPP MS")_x000D_
  field(CALC, "A")_x000D_
  field(OUT, "$(P):RSCN:A2_OUT PP MS")_x000D_
  field(PINI, "NO")_x000D_
}_x000D_
#--------------------</v>
      </c>
      <c r="AM11" s="27" t="str">
        <f t="shared" si="20"/>
        <v/>
      </c>
      <c r="AN11" s="27" t="str">
        <f t="shared" si="21"/>
        <v xml:space="preserve">&lt;item row="4" column="0"&gt;
         &lt;widget class="QLabel" name="L_a2_Out"&gt;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&lt;string&gt;a2_Out&lt;/string&gt;
          &lt;/property&gt;
          &lt;property name="margin"&gt;
           &lt;number&gt;3&lt;/number&gt;
          &lt;/property&gt;
         &lt;/widget&gt;
        &lt;/item&gt;
&lt;item row="4" column="1"&gt;
         &lt;widget class="QELabel" name="QL_a2_Out"&gt;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&lt;string&gt;$(P)$(R):RSCN:A2_OUT&lt;/string&gt;
          &lt;/property&gt;
         &lt;/widget&gt;
   &lt;/item&gt;
</v>
      </c>
      <c r="AO11" s="27" t="e">
        <f t="shared" si="11"/>
        <v>#N/A</v>
      </c>
      <c r="AP11" s="27" t="str">
        <f t="shared" si="12"/>
        <v xml:space="preserve">SR05ID01FST01:RSCN:A2_OUT = </v>
      </c>
      <c r="AQ11" s="27" t="str">
        <f t="shared" si="22"/>
        <v xml:space="preserve">;Inc. axis trajectory accel. Out[EGU/s2]epics(map)
#define	a2Out	P2062	</v>
      </c>
      <c r="AR11" s="27" t="str">
        <f t="shared" si="13"/>
        <v xml:space="preserve">      &lt;channel&gt;
         &lt;name&gt;SR05ID01FST01:RSCN:A2_OUT&lt;/name&gt;
         &lt;period&gt;30&lt;/period&gt;
         &lt;monitor/&gt;
      &lt;/channel&gt;</v>
      </c>
      <c r="AS11" s="12">
        <f t="shared" si="14"/>
        <v>7</v>
      </c>
      <c r="AT11" s="12">
        <f t="shared" si="15"/>
        <v>4</v>
      </c>
      <c r="AU11" s="12">
        <f t="shared" si="16"/>
        <v>6</v>
      </c>
      <c r="AV11" s="12">
        <f t="shared" si="17"/>
        <v>0</v>
      </c>
      <c r="AW11" s="13" t="str">
        <f t="shared" si="18"/>
        <v>P2062</v>
      </c>
      <c r="AX11" s="23" t="str">
        <f t="shared" si="19"/>
        <v>SR05ID01FST01:RSCN:A2_OUT</v>
      </c>
    </row>
    <row r="12" spans="1:50" ht="15.75" customHeight="1" x14ac:dyDescent="0.25">
      <c r="A12" s="2">
        <v>1</v>
      </c>
      <c r="B12" s="24" t="str">
        <f t="shared" si="0"/>
        <v>.</v>
      </c>
      <c r="C12" s="32" t="str">
        <f t="shared" si="23"/>
        <v>#define</v>
      </c>
      <c r="D12" s="34" t="s">
        <v>504</v>
      </c>
      <c r="E12" s="35" t="s">
        <v>504</v>
      </c>
      <c r="F12" s="10" t="s">
        <v>423</v>
      </c>
      <c r="G12" s="10" t="s">
        <v>86</v>
      </c>
      <c r="H12" s="10"/>
      <c r="I12" s="11" t="s">
        <v>555</v>
      </c>
      <c r="J12" s="10" t="s">
        <v>561</v>
      </c>
      <c r="K12" s="10"/>
      <c r="L12" s="10">
        <v>4</v>
      </c>
      <c r="M12" s="10">
        <v>6</v>
      </c>
      <c r="N12" s="10">
        <v>0</v>
      </c>
      <c r="O12" s="16"/>
      <c r="P12" s="52"/>
      <c r="Q12" s="52" t="s">
        <v>39</v>
      </c>
      <c r="R12" s="52" t="s">
        <v>563</v>
      </c>
      <c r="S12" s="52"/>
      <c r="T12" s="52"/>
      <c r="U12" s="52"/>
      <c r="V12" s="52"/>
      <c r="W12" s="61">
        <v>1</v>
      </c>
      <c r="X12" s="61"/>
      <c r="Y12" s="33" t="s">
        <v>54</v>
      </c>
      <c r="Z12" s="33" t="s">
        <v>573</v>
      </c>
      <c r="AA12" s="33">
        <v>1</v>
      </c>
      <c r="AB12" s="58" t="str">
        <f t="shared" si="1"/>
        <v>epics</v>
      </c>
      <c r="AC12" s="55" t="str">
        <f t="shared" si="2"/>
        <v>map</v>
      </c>
      <c r="AD12" s="29" t="str">
        <f t="shared" si="3"/>
        <v>:CS_ACTIVE</v>
      </c>
      <c r="AE12" s="27" t="str">
        <f t="shared" si="4"/>
        <v>:RSCN:CS_ACTIVE</v>
      </c>
      <c r="AF12" s="29" t="str">
        <f t="shared" si="5"/>
        <v>csActive</v>
      </c>
      <c r="AG12" s="27" t="str">
        <f t="shared" si="6"/>
        <v>csActive</v>
      </c>
      <c r="AH12" s="27" t="str">
        <f t="shared" si="7"/>
        <v>$(P):RSCN:ST_ALWAYS</v>
      </c>
      <c r="AI12" s="27" t="str">
        <f t="shared" si="8"/>
        <v>$(P):RSCN:ST_CSSETUP</v>
      </c>
      <c r="AJ12" s="27"/>
      <c r="AK12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2" s="27" t="str">
        <f t="shared" si="10"/>
        <v>_x000D_
# PVs mapping to P2090_x000D_
record(ao, "$(P):RSCN:CS_ACTIVE") {_x000D_
  field(DESC, "Active CS number on pmac")_x000D_
  field(OUT, "$(P):RSCN:CS_ACTIVE:SET PP MS")_x000D_
  field(PINI, "NO")_x000D_
  field(EGU, "")_x000D_
  field(PREC, "0")  _x000D_
}_x000D_
record(ai, "$(P):RSCN:CS_ACTIVE:RBV") {_x000D_
  field(DESC, "Active CS number on pmac readback")_x000D_
  field(DTYP, "stream")_x000D_
  field(FLNK, "$(P):RSCN:CS_ACTIVE:SYN")_x000D_
  field(INP, "@pmac.proto getVar(P2090) $(PORT)")_x000D_
  field(SDIS, "$(P):RSCN:ST_ALWAYS CP MS")_x000D_
  field(DISV, "0")_x000D_
  field(PINI, "NO")_x000D_
  field(DISS, "INVALID")_x000D_
  field(EGU, "")_x000D_
  field(PREC, "0")  _x000D_
}_x000D_
record(ao, "$(P):RSCN:CS_ACTIVE:SET") {_x000D_
  field(DTYP, "stream")_x000D_
  field(SDIS, "$(P):RSCN:CS_ACTIVE:ROL PP MS")_x000D_
  field(OUT, "@pmac.proto setVar(P2090) $(PORT)")_x000D_
  field(PINI, "NO")_x000D_
  field(DISS, "INVALID")_x000D_
}_x000D_
record(calc, "$(P):RSCN:CS_ACTIVE:ROL") {_x000D_
  field(CALC, "(!B) || A")_x000D_
  field(INPA, "$(P):RSCN:CS_ACTIVE:SYN.PACT")_x000D_
  field(INPB, "$(P):RSCN:ST_CSSETUP NPP MS")_x000D_
  field(PINI, "NO")_x000D_
}_x000D_
record(calcout, "$(P):RSCN:CS_ACTIVE:SYN") {_x000D_
  field(INPA, "$(P):RSCN:CS_ACTIVE:RBV PP")_x000D_
  field(INPB, "$(P):RSCN:ST_ALWAYS NPP MS")_x000D_
  field(INPC, "$(P):RSCN:ST_CSSETUP NPP MS")_x000D_
  field(CALC, "A")_x000D_
  field(OUT, "$(P):RSCN:CS_ACTIVE PP MS")_x000D_
  field(PINI, "NO")_x000D_
}_x000D_
#--------------------</v>
      </c>
      <c r="AM12" s="27" t="str">
        <f t="shared" si="20"/>
        <v>&lt;item row="1" column="0"&gt;
         &lt;widget class="QLabel" name="L_cs_Active"&gt;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&lt;string&gt;cs_Active&lt;/string&gt;
          &lt;/property&gt;
          &lt;property name="margin"&gt;
           &lt;number&gt;3&lt;/number&gt;
          &lt;/property&gt;
         &lt;/widget&gt;
        &lt;/item&gt;
&lt;item row="1" column="2"&gt;
            &lt;widget class="QELineEdit" name="QLD_cs_Active"&gt;
             &lt;property name="variable" stdset="0"&gt;
              &lt;string&gt;$(P)$(R):RSCN:CS_ACTIVE&lt;/string&gt;
             &lt;/property&gt;
             &lt;property name="addUnits"&gt;
             &lt;bool&gt;true&lt;/bool&gt;
             &lt;/property&gt;
            &lt;/widget&gt;
           &lt;/item&gt;</v>
      </c>
      <c r="AN12" s="27" t="str">
        <f t="shared" si="21"/>
        <v/>
      </c>
      <c r="AO12" s="27" t="e">
        <f t="shared" si="11"/>
        <v>#N/A</v>
      </c>
      <c r="AP12" s="27" t="str">
        <f t="shared" si="12"/>
        <v xml:space="preserve">SR05ID01FST01:RSCN:CS_ACTIVE = </v>
      </c>
      <c r="AQ12" s="27" t="str">
        <f t="shared" si="22"/>
        <v xml:space="preserve">;Active CS number on pmac[]epics(map)
#define	csActive	P2090	</v>
      </c>
      <c r="AR12" s="27" t="str">
        <f t="shared" si="13"/>
        <v xml:space="preserve">      &lt;channel&gt;
         &lt;name&gt;SR05ID01FST01:RSCN:CS_ACTIVE&lt;/name&gt;
         &lt;period&gt;1&lt;/period&gt;
         &lt;monitor/&gt;
      &lt;/channel&gt;</v>
      </c>
      <c r="AS12" s="12">
        <f t="shared" si="14"/>
        <v>4</v>
      </c>
      <c r="AT12" s="12">
        <f t="shared" si="15"/>
        <v>5</v>
      </c>
      <c r="AU12" s="12">
        <f t="shared" si="16"/>
        <v>4</v>
      </c>
      <c r="AV12" s="12">
        <f t="shared" si="17"/>
        <v>7</v>
      </c>
      <c r="AW12" s="13" t="str">
        <f t="shared" si="18"/>
        <v>P2090</v>
      </c>
      <c r="AX12" s="23" t="str">
        <f t="shared" si="19"/>
        <v>SR05ID01FST01:RSCN:CS_ACTIVE</v>
      </c>
    </row>
    <row r="13" spans="1:50" ht="15.75" customHeight="1" x14ac:dyDescent="0.25">
      <c r="B13" s="24" t="str">
        <f t="shared" si="0"/>
        <v>.</v>
      </c>
      <c r="C13" s="32" t="str">
        <f t="shared" si="23"/>
        <v>#define</v>
      </c>
      <c r="D13" s="31" t="s">
        <v>465</v>
      </c>
      <c r="E13" s="25" t="s">
        <v>465</v>
      </c>
      <c r="F13" s="10" t="s">
        <v>386</v>
      </c>
      <c r="G13" s="10" t="s">
        <v>86</v>
      </c>
      <c r="H13" s="10"/>
      <c r="I13" s="11" t="s">
        <v>541</v>
      </c>
      <c r="J13" s="10" t="s">
        <v>561</v>
      </c>
      <c r="K13" s="10" t="s">
        <v>567</v>
      </c>
      <c r="L13" s="10">
        <v>0</v>
      </c>
      <c r="M13" s="10">
        <v>180</v>
      </c>
      <c r="N13" s="10">
        <v>3</v>
      </c>
      <c r="O13" s="16"/>
      <c r="P13" s="52"/>
      <c r="Q13" s="52" t="s">
        <v>39</v>
      </c>
      <c r="R13" s="52" t="s">
        <v>563</v>
      </c>
      <c r="S13" s="52"/>
      <c r="T13" s="52"/>
      <c r="U13" s="52"/>
      <c r="V13" s="52"/>
      <c r="W13" s="61">
        <v>3</v>
      </c>
      <c r="X13" s="61"/>
      <c r="Y13" s="33" t="s">
        <v>54</v>
      </c>
      <c r="Z13" s="33" t="s">
        <v>572</v>
      </c>
      <c r="AA13" s="33">
        <v>30</v>
      </c>
      <c r="AB13" s="58" t="str">
        <f t="shared" si="1"/>
        <v>epics</v>
      </c>
      <c r="AC13" s="55" t="str">
        <f t="shared" si="2"/>
        <v>map</v>
      </c>
      <c r="AD13" s="29" t="str">
        <f t="shared" si="3"/>
        <v>:CS_ANGLEXY</v>
      </c>
      <c r="AE13" s="27" t="str">
        <f t="shared" si="4"/>
        <v>:RSCN:CS_ANGLEXY</v>
      </c>
      <c r="AF13" s="29" t="str">
        <f t="shared" si="5"/>
        <v>csAngleXY</v>
      </c>
      <c r="AG13" s="27" t="str">
        <f t="shared" si="6"/>
        <v>csAngleXY</v>
      </c>
      <c r="AH13" s="27" t="str">
        <f t="shared" si="7"/>
        <v>$(P):RSCN:ST_ALWAYS</v>
      </c>
      <c r="AI13" s="27" t="str">
        <f t="shared" si="8"/>
        <v>$(P):RSCN:ST_GLOBAL</v>
      </c>
      <c r="AJ13" s="27"/>
      <c r="AK13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3" s="27" t="str">
        <f t="shared" si="10"/>
        <v>_x000D_
# PVs mapping to P2017_x000D_
record(ao, "$(P):RSCN:CS_ANGLEXY") {_x000D_
  field(DESC, "X-Y scan angle")_x000D_
  field(OUT, "$(P):RSCN:CS_ANGLEXY:SET PP MS")_x000D_
  field(PINI, "NO")_x000D_
  field(EGU, "deg")_x000D_
  field(PREC, "3")  _x000D_
}_x000D_
record(ai, "$(P):RSCN:CS_ANGLEXY:RBV") {_x000D_
  field(DESC, "X-Y scan angle readback")_x000D_
  field(DTYP, "stream")_x000D_
  field(FLNK, "$(P):RSCN:CS_ANGLEXY:SYN")_x000D_
  field(INP, "@pmac.proto getVar(P2017) $(PORT)")_x000D_
  field(SDIS, "$(P):RSCN:ST_ALWAYS CP MS")_x000D_
  field(DISV, "0")_x000D_
  field(PINI, "NO")_x000D_
  field(DISS, "INVALID")_x000D_
  field(EGU, "deg")_x000D_
  field(PREC, "3")  _x000D_
}_x000D_
record(ao, "$(P):RSCN:CS_ANGLEXY:SET") {_x000D_
  field(DTYP, "stream")_x000D_
  field(SDIS, "$(P):RSCN:CS_ANGLEXY:ROL PP MS")_x000D_
  field(OUT, "@pmac.proto setVar(P2017) $(PORT)")_x000D_
  field(PINI, "NO")_x000D_
  field(DISS, "INVALID")_x000D_
}_x000D_
record(calc, "$(P):RSCN:CS_ANGLEXY:ROL") {_x000D_
  field(CALC, "(!B) || A")_x000D_
  field(INPA, "$(P):RSCN:CS_ANGLEXY:SYN.PACT")_x000D_
  field(INPB, "$(P):RSCN:ST_GLOBAL NPP MS")_x000D_
  field(PINI, "NO")_x000D_
}_x000D_
record(calcout, "$(P):RSCN:CS_ANGLEXY:SYN") {_x000D_
  field(INPA, "$(P):RSCN:CS_ANGLEXY:RBV PP")_x000D_
  field(INPB, "$(P):RSCN:ST_ALWAYS NPP MS")_x000D_
  field(INPC, "$(P):RSCN:ST_GLOBAL NPP MS")_x000D_
  field(CALC, "A")_x000D_
  field(OUT, "$(P):RSCN:CS_ANGLEXY PP MS")_x000D_
  field(PINI, "NO")_x000D_
}_x000D_
#--------------------</v>
      </c>
      <c r="AM13" s="27" t="str">
        <f t="shared" si="20"/>
        <v>&lt;item row="3" column="0"&gt;
         &lt;widget class="QLabel" name="L_cs_AngleXY"&gt;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&lt;string&gt;cs_AngleXY&lt;/string&gt;
          &lt;/property&gt;
          &lt;property name="margin"&gt;
           &lt;number&gt;3&lt;/number&gt;
          &lt;/property&gt;
         &lt;/widget&gt;
        &lt;/item&gt;
&lt;item row="3" column="2"&gt;
            &lt;widget class="QELineEdit" name="QLD_cs_AngleXY"&gt;
             &lt;property name="variable" stdset="0"&gt;
              &lt;string&gt;$(P)$(R):RSCN:CS_ANGLEXY&lt;/string&gt;
             &lt;/property&gt;
             &lt;property name="addUnits"&gt;
             &lt;bool&gt;true&lt;/bool&gt;
             &lt;/property&gt;
            &lt;/widget&gt;
           &lt;/item&gt;</v>
      </c>
      <c r="AN13" s="27" t="str">
        <f t="shared" si="21"/>
        <v/>
      </c>
      <c r="AO13" s="27" t="e">
        <f t="shared" si="11"/>
        <v>#N/A</v>
      </c>
      <c r="AP13" s="27" t="str">
        <f t="shared" si="12"/>
        <v xml:space="preserve">SR05ID01FST01:RSCN:CS_ANGLEXY = </v>
      </c>
      <c r="AQ13" s="27" t="str">
        <f t="shared" si="22"/>
        <v xml:space="preserve">;X-Y scan angle[deg]epics(map)
#define	csAngleXY	P2017	</v>
      </c>
      <c r="AR13" s="27" t="str">
        <f t="shared" si="13"/>
        <v xml:space="preserve">      &lt;channel&gt;
         &lt;name&gt;SR05ID01FST01:RSCN:CS_ANGLEXY&lt;/name&gt;
         &lt;period&gt;30&lt;/period&gt;
         &lt;monitor/&gt;
      &lt;/channel&gt;</v>
      </c>
      <c r="AS13" s="12">
        <f t="shared" si="14"/>
        <v>3</v>
      </c>
      <c r="AT13" s="12">
        <f t="shared" si="15"/>
        <v>5</v>
      </c>
      <c r="AU13" s="12">
        <f t="shared" si="16"/>
        <v>5</v>
      </c>
      <c r="AV13" s="12">
        <f t="shared" si="17"/>
        <v>17</v>
      </c>
      <c r="AW13" s="13" t="str">
        <f t="shared" si="18"/>
        <v>P2017</v>
      </c>
      <c r="AX13" s="23" t="str">
        <f t="shared" si="19"/>
        <v>SR05ID01FST01:RSCN:CS_ANGLEXY</v>
      </c>
    </row>
    <row r="14" spans="1:50" ht="15.75" customHeight="1" x14ac:dyDescent="0.25">
      <c r="B14" s="24" t="str">
        <f t="shared" si="0"/>
        <v>.</v>
      </c>
      <c r="C14" s="32" t="str">
        <f t="shared" si="23"/>
        <v>#define</v>
      </c>
      <c r="D14" s="31" t="s">
        <v>459</v>
      </c>
      <c r="E14" s="25" t="s">
        <v>459</v>
      </c>
      <c r="F14" s="10" t="s">
        <v>380</v>
      </c>
      <c r="G14" s="10" t="s">
        <v>86</v>
      </c>
      <c r="H14" s="10"/>
      <c r="I14" s="11" t="s">
        <v>538</v>
      </c>
      <c r="J14" s="10" t="s">
        <v>561</v>
      </c>
      <c r="K14" s="10" t="s">
        <v>567</v>
      </c>
      <c r="L14" s="10">
        <v>1</v>
      </c>
      <c r="M14" s="10">
        <v>89</v>
      </c>
      <c r="N14" s="10">
        <v>3</v>
      </c>
      <c r="O14" s="16"/>
      <c r="P14" s="52"/>
      <c r="Q14" s="52" t="s">
        <v>39</v>
      </c>
      <c r="R14" s="52" t="s">
        <v>563</v>
      </c>
      <c r="S14" s="52"/>
      <c r="T14" s="52"/>
      <c r="U14" s="52"/>
      <c r="V14" s="52"/>
      <c r="W14" s="61">
        <v>4</v>
      </c>
      <c r="X14" s="61"/>
      <c r="Y14" s="33" t="s">
        <v>54</v>
      </c>
      <c r="Z14" s="33" t="s">
        <v>572</v>
      </c>
      <c r="AA14" s="33">
        <v>30</v>
      </c>
      <c r="AB14" s="58" t="str">
        <f t="shared" si="1"/>
        <v>epics</v>
      </c>
      <c r="AC14" s="55" t="str">
        <f t="shared" si="2"/>
        <v>map</v>
      </c>
      <c r="AD14" s="29" t="str">
        <f t="shared" si="3"/>
        <v>:CS_ANGLEXZ</v>
      </c>
      <c r="AE14" s="27" t="str">
        <f t="shared" si="4"/>
        <v>:RSCN:CS_ANGLEXZ</v>
      </c>
      <c r="AF14" s="29" t="str">
        <f t="shared" si="5"/>
        <v>csAngleXZ</v>
      </c>
      <c r="AG14" s="27" t="str">
        <f t="shared" si="6"/>
        <v>csAngleXZ</v>
      </c>
      <c r="AH14" s="27" t="str">
        <f t="shared" si="7"/>
        <v>$(P):RSCN:ST_ALWAYS</v>
      </c>
      <c r="AI14" s="27" t="str">
        <f t="shared" si="8"/>
        <v>$(P):RSCN:ST_GLOBAL</v>
      </c>
      <c r="AJ14" s="27"/>
      <c r="AK14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4" s="27" t="str">
        <f t="shared" si="10"/>
        <v>_x000D_
# PVs mapping to P2009_x000D_
record(ao, "$(P):RSCN:CS_ANGLEXZ") {_x000D_
  field(DESC, "X-Z scan angle")_x000D_
  field(OUT, "$(P):RSCN:CS_ANGLEXZ:SET PP MS")_x000D_
  field(PINI, "NO")_x000D_
  field(EGU, "deg")_x000D_
  field(PREC, "3")  _x000D_
}_x000D_
record(ai, "$(P):RSCN:CS_ANGLEXZ:RBV") {_x000D_
  field(DESC, "X-Z scan angle readback")_x000D_
  field(DTYP, "stream")_x000D_
  field(FLNK, "$(P):RSCN:CS_ANGLEXZ:SYN")_x000D_
  field(INP, "@pmac.proto getVar(P2009) $(PORT)")_x000D_
  field(SDIS, "$(P):RSCN:ST_ALWAYS CP MS")_x000D_
  field(DISV, "0")_x000D_
  field(PINI, "NO")_x000D_
  field(DISS, "INVALID")_x000D_
  field(EGU, "deg")_x000D_
  field(PREC, "3")  _x000D_
}_x000D_
record(ao, "$(P):RSCN:CS_ANGLEXZ:SET") {_x000D_
  field(DTYP, "stream")_x000D_
  field(SDIS, "$(P):RSCN:CS_ANGLEXZ:ROL PP MS")_x000D_
  field(OUT, "@pmac.proto setVar(P2009) $(PORT)")_x000D_
  field(PINI, "NO")_x000D_
  field(DISS, "INVALID")_x000D_
}_x000D_
record(calc, "$(P):RSCN:CS_ANGLEXZ:ROL") {_x000D_
  field(CALC, "(!B) || A")_x000D_
  field(INPA, "$(P):RSCN:CS_ANGLEXZ:SYN.PACT")_x000D_
  field(INPB, "$(P):RSCN:ST_GLOBAL NPP MS")_x000D_
  field(PINI, "NO")_x000D_
}_x000D_
record(calcout, "$(P):RSCN:CS_ANGLEXZ:SYN") {_x000D_
  field(INPA, "$(P):RSCN:CS_ANGLEXZ:RBV PP")_x000D_
  field(INPB, "$(P):RSCN:ST_ALWAYS NPP MS")_x000D_
  field(INPC, "$(P):RSCN:ST_GLOBAL NPP MS")_x000D_
  field(CALC, "A")_x000D_
  field(OUT, "$(P):RSCN:CS_ANGLEXZ PP MS")_x000D_
  field(PINI, "NO")_x000D_
}_x000D_
#--------------------</v>
      </c>
      <c r="AM14" s="27" t="str">
        <f t="shared" si="20"/>
        <v>&lt;item row="4" column="0"&gt;
         &lt;widget class="QLabel" name="L_cs_AngleXZ"&gt;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&lt;string&gt;cs_AngleXZ&lt;/string&gt;
          &lt;/property&gt;
          &lt;property name="margin"&gt;
           &lt;number&gt;3&lt;/number&gt;
          &lt;/property&gt;
         &lt;/widget&gt;
        &lt;/item&gt;
&lt;item row="4" column="2"&gt;
            &lt;widget class="QELineEdit" name="QLD_cs_AngleXZ"&gt;
             &lt;property name="variable" stdset="0"&gt;
              &lt;string&gt;$(P)$(R):RSCN:CS_ANGLEXZ&lt;/string&gt;
             &lt;/property&gt;
             &lt;property name="addUnits"&gt;
             &lt;bool&gt;true&lt;/bool&gt;
             &lt;/property&gt;
            &lt;/widget&gt;
           &lt;/item&gt;</v>
      </c>
      <c r="AN14" s="27" t="str">
        <f t="shared" si="21"/>
        <v/>
      </c>
      <c r="AO14" s="27" t="e">
        <f t="shared" si="11"/>
        <v>#N/A</v>
      </c>
      <c r="AP14" s="27" t="str">
        <f t="shared" si="12"/>
        <v xml:space="preserve">SR05ID01FST01:RSCN:CS_ANGLEXZ = </v>
      </c>
      <c r="AQ14" s="27" t="str">
        <f t="shared" si="22"/>
        <v xml:space="preserve">;X-Z scan angle[deg]epics(map)
#define	csAngleXZ	P2009	</v>
      </c>
      <c r="AR14" s="27" t="str">
        <f t="shared" si="13"/>
        <v xml:space="preserve">      &lt;channel&gt;
         &lt;name&gt;SR05ID01FST01:RSCN:CS_ANGLEXZ&lt;/name&gt;
         &lt;period&gt;30&lt;/period&gt;
         &lt;monitor/&gt;
      &lt;/channel&gt;</v>
      </c>
      <c r="AS14" s="12">
        <f t="shared" si="14"/>
        <v>3</v>
      </c>
      <c r="AT14" s="12">
        <f t="shared" si="15"/>
        <v>5</v>
      </c>
      <c r="AU14" s="12">
        <f t="shared" si="16"/>
        <v>5</v>
      </c>
      <c r="AV14" s="12">
        <f t="shared" si="17"/>
        <v>17</v>
      </c>
      <c r="AW14" s="13" t="str">
        <f t="shared" si="18"/>
        <v>P2009</v>
      </c>
      <c r="AX14" s="23" t="str">
        <f t="shared" si="19"/>
        <v>SR05ID01FST01:RSCN:CS_ANGLEXZ</v>
      </c>
    </row>
    <row r="15" spans="1:50" ht="15.75" customHeight="1" x14ac:dyDescent="0.25">
      <c r="B15" s="24" t="str">
        <f t="shared" si="0"/>
        <v>.</v>
      </c>
      <c r="C15" s="32" t="str">
        <f t="shared" si="23"/>
        <v>#define</v>
      </c>
      <c r="D15" s="31" t="s">
        <v>460</v>
      </c>
      <c r="E15" s="25" t="s">
        <v>460</v>
      </c>
      <c r="F15" s="10" t="s">
        <v>381</v>
      </c>
      <c r="G15" s="10" t="s">
        <v>86</v>
      </c>
      <c r="H15" s="10"/>
      <c r="I15" s="11" t="s">
        <v>539</v>
      </c>
      <c r="J15" s="10" t="s">
        <v>561</v>
      </c>
      <c r="K15" s="10" t="s">
        <v>568</v>
      </c>
      <c r="L15" s="10">
        <v>1</v>
      </c>
      <c r="M15" s="19">
        <v>360000000000000</v>
      </c>
      <c r="N15" s="10">
        <v>3</v>
      </c>
      <c r="O15" s="16"/>
      <c r="P15" s="52"/>
      <c r="Q15" s="52" t="s">
        <v>39</v>
      </c>
      <c r="R15" s="52" t="s">
        <v>563</v>
      </c>
      <c r="S15" s="52"/>
      <c r="T15" s="52"/>
      <c r="U15" s="52"/>
      <c r="V15" s="52"/>
      <c r="W15" s="61">
        <v>5</v>
      </c>
      <c r="X15" s="61"/>
      <c r="Y15" s="33" t="s">
        <v>54</v>
      </c>
      <c r="Z15" s="33" t="s">
        <v>572</v>
      </c>
      <c r="AA15" s="33">
        <v>30</v>
      </c>
      <c r="AB15" s="58" t="str">
        <f t="shared" si="1"/>
        <v>epics</v>
      </c>
      <c r="AC15" s="55" t="str">
        <f t="shared" si="2"/>
        <v>map</v>
      </c>
      <c r="AD15" s="29" t="str">
        <f t="shared" si="3"/>
        <v>:CS_GEARTX</v>
      </c>
      <c r="AE15" s="27" t="str">
        <f t="shared" si="4"/>
        <v>:RSCN:CS_GEARTX</v>
      </c>
      <c r="AF15" s="29" t="str">
        <f t="shared" si="5"/>
        <v>csGearTX</v>
      </c>
      <c r="AG15" s="27" t="str">
        <f t="shared" si="6"/>
        <v>csGearTX</v>
      </c>
      <c r="AH15" s="27" t="str">
        <f t="shared" si="7"/>
        <v>$(P):RSCN:ST_ALWAYS</v>
      </c>
      <c r="AI15" s="27" t="str">
        <f t="shared" si="8"/>
        <v>$(P):RSCN:ST_GLOBAL</v>
      </c>
      <c r="AJ15" s="27"/>
      <c r="AK15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5" s="27" t="str">
        <f t="shared" si="10"/>
        <v>_x000D_
# PVs mapping to P2010_x000D_
record(ao, "$(P):RSCN:CS_GEARTX") {_x000D_
  field(DESC, "Tomo-X scan gear ratio")_x000D_
  field(OUT, "$(P):RSCN:CS_GEARTX:SET PP MS")_x000D_
  field(PINI, "NO")_x000D_
  field(EGU, "deg/mm")_x000D_
  field(PREC, "3")  _x000D_
}_x000D_
record(ai, "$(P):RSCN:CS_GEARTX:RBV") {_x000D_
  field(DESC, "Tomo-X scan gear ratio readback")_x000D_
  field(DTYP, "stream")_x000D_
  field(FLNK, "$(P):RSCN:CS_GEARTX:SYN")_x000D_
  field(INP, "@pmac.proto getVar(P2010) $(PORT)")_x000D_
  field(SDIS, "$(P):RSCN:ST_ALWAYS CP MS")_x000D_
  field(DISV, "0")_x000D_
  field(PINI, "NO")_x000D_
  field(DISS, "INVALID")_x000D_
  field(EGU, "deg/mm")_x000D_
  field(PREC, "3")  _x000D_
}_x000D_
record(ao, "$(P):RSCN:CS_GEARTX:SET") {_x000D_
  field(DTYP, "stream")_x000D_
  field(SDIS, "$(P):RSCN:CS_GEARTX:ROL PP MS")_x000D_
  field(OUT, "@pmac.proto setVar(P2010) $(PORT)")_x000D_
  field(PINI, "NO")_x000D_
  field(DISS, "INVALID")_x000D_
}_x000D_
record(calc, "$(P):RSCN:CS_GEARTX:ROL") {_x000D_
  field(CALC, "(!B) || A")_x000D_
  field(INPA, "$(P):RSCN:CS_GEARTX:SYN.PACT")_x000D_
  field(INPB, "$(P):RSCN:ST_GLOBAL NPP MS")_x000D_
  field(PINI, "NO")_x000D_
}_x000D_
record(calcout, "$(P):RSCN:CS_GEARTX:SYN") {_x000D_
  field(INPA, "$(P):RSCN:CS_GEARTX:RBV PP")_x000D_
  field(INPB, "$(P):RSCN:ST_ALWAYS NPP MS")_x000D_
  field(INPC, "$(P):RSCN:ST_GLOBAL NPP MS")_x000D_
  field(CALC, "A")_x000D_
  field(OUT, "$(P):RSCN:CS_GEARTX PP MS")_x000D_
  field(PINI, "NO")_x000D_
}_x000D_
#--------------------</v>
      </c>
      <c r="AM15" s="27" t="str">
        <f t="shared" si="20"/>
        <v>&lt;item row="5" column="0"&gt;
         &lt;widget class="QLabel" name="L_cs_GearTX"&gt;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&lt;string&gt;cs_GearTX&lt;/string&gt;
          &lt;/property&gt;
          &lt;property name="margin"&gt;
           &lt;number&gt;3&lt;/number&gt;
          &lt;/property&gt;
         &lt;/widget&gt;
        &lt;/item&gt;
&lt;item row="5" column="2"&gt;
            &lt;widget class="QELineEdit" name="QLD_cs_GearTX"&gt;
             &lt;property name="variable" stdset="0"&gt;
              &lt;string&gt;$(P)$(R):RSCN:CS_GEARTX&lt;/string&gt;
             &lt;/property&gt;
             &lt;property name="addUnits"&gt;
             &lt;bool&gt;true&lt;/bool&gt;
             &lt;/property&gt;
            &lt;/widget&gt;
           &lt;/item&gt;</v>
      </c>
      <c r="AN15" s="27" t="str">
        <f t="shared" si="21"/>
        <v/>
      </c>
      <c r="AO15" s="27" t="e">
        <f t="shared" si="11"/>
        <v>#N/A</v>
      </c>
      <c r="AP15" s="27" t="str">
        <f t="shared" si="12"/>
        <v xml:space="preserve">SR05ID01FST01:RSCN:CS_GEARTX = </v>
      </c>
      <c r="AQ15" s="27" t="str">
        <f t="shared" si="22"/>
        <v xml:space="preserve">;Tomo-X scan gear ratio[deg/mm]epics(map)
#define	csGearTX	P2010	</v>
      </c>
      <c r="AR15" s="27" t="str">
        <f t="shared" si="13"/>
        <v xml:space="preserve">      &lt;channel&gt;
         &lt;name&gt;SR05ID01FST01:RSCN:CS_GEARTX&lt;/name&gt;
         &lt;period&gt;30&lt;/period&gt;
         &lt;monitor/&gt;
      &lt;/channel&gt;</v>
      </c>
      <c r="AS15" s="12">
        <f t="shared" si="14"/>
        <v>4</v>
      </c>
      <c r="AT15" s="12">
        <f t="shared" si="15"/>
        <v>5</v>
      </c>
      <c r="AU15" s="12">
        <f t="shared" si="16"/>
        <v>5</v>
      </c>
      <c r="AV15" s="12">
        <f t="shared" si="17"/>
        <v>9</v>
      </c>
      <c r="AW15" s="13" t="str">
        <f t="shared" si="18"/>
        <v>P2010</v>
      </c>
      <c r="AX15" s="23" t="str">
        <f t="shared" si="19"/>
        <v>SR05ID01FST01:RSCN:CS_GEARTX</v>
      </c>
    </row>
    <row r="16" spans="1:50" ht="15.75" customHeight="1" x14ac:dyDescent="0.25">
      <c r="B16" s="24" t="str">
        <f t="shared" si="0"/>
        <v>.</v>
      </c>
      <c r="C16" s="32" t="str">
        <f t="shared" si="23"/>
        <v>#define</v>
      </c>
      <c r="D16" s="30" t="s">
        <v>505</v>
      </c>
      <c r="E16" s="23" t="s">
        <v>505</v>
      </c>
      <c r="F16" s="10" t="s">
        <v>424</v>
      </c>
      <c r="G16" s="10" t="s">
        <v>86</v>
      </c>
      <c r="H16" s="10"/>
      <c r="I16" s="11" t="s">
        <v>669</v>
      </c>
      <c r="J16" s="10" t="s">
        <v>598</v>
      </c>
      <c r="K16" s="10"/>
      <c r="L16" s="10">
        <v>0</v>
      </c>
      <c r="M16" s="10">
        <v>0</v>
      </c>
      <c r="N16" s="10">
        <v>0</v>
      </c>
      <c r="O16" s="16"/>
      <c r="P16" s="52"/>
      <c r="Q16" s="52" t="s">
        <v>563</v>
      </c>
      <c r="R16" s="52" t="s">
        <v>39</v>
      </c>
      <c r="S16" s="52"/>
      <c r="T16" s="52"/>
      <c r="U16" s="52"/>
      <c r="V16" s="52" t="s">
        <v>39</v>
      </c>
      <c r="W16" s="61">
        <v>2</v>
      </c>
      <c r="X16" s="61"/>
      <c r="AA16" s="33">
        <v>1</v>
      </c>
      <c r="AB16" s="58" t="str">
        <f t="shared" si="1"/>
        <v>epics</v>
      </c>
      <c r="AC16" s="55" t="str">
        <f t="shared" si="2"/>
        <v>base</v>
      </c>
      <c r="AD16" s="29" t="str">
        <f t="shared" si="3"/>
        <v>:CS_STATUS</v>
      </c>
      <c r="AE16" s="27" t="str">
        <f t="shared" si="4"/>
        <v>:RSCN:CS_STATUS</v>
      </c>
      <c r="AF16" s="29" t="str">
        <f t="shared" si="5"/>
        <v>csStatus</v>
      </c>
      <c r="AG16" s="27" t="str">
        <f t="shared" si="6"/>
        <v>csStatus</v>
      </c>
      <c r="AH16" s="27" t="str">
        <f t="shared" si="7"/>
        <v>$(P):RSCN:</v>
      </c>
      <c r="AI16" s="27" t="str">
        <f t="shared" si="8"/>
        <v>$(P):RSCN:</v>
      </c>
      <c r="AJ16" s="27"/>
      <c r="AK16" s="27" t="str">
        <f t="shared" si="9"/>
        <v/>
      </c>
      <c r="AL16" s="27" t="str">
        <f t="shared" si="10"/>
        <v/>
      </c>
      <c r="AM16" s="27" t="str">
        <f t="shared" si="20"/>
        <v xml:space="preserve">&lt;item row="2" column="0"&gt;
         &lt;widget class="QLabel" name="L_cs_Status"&gt;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&lt;string&gt;cs_Status&lt;/string&gt;
          &lt;/property&gt;
          &lt;property name="margin"&gt;
           &lt;number&gt;3&lt;/number&gt;
          &lt;/property&gt;
         &lt;/widget&gt;
        &lt;/item&gt;
&lt;item row="2" column="1"&gt;
         &lt;widget class="QELabel" name="QL_cs_Status"&gt;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&lt;string&gt;$(P)$(R):RSCN:CS_STATUS&lt;/string&gt;
          &lt;/property&gt;
         &lt;/widget&gt;
   &lt;/item&gt;
</v>
      </c>
      <c r="AN16" s="27" t="str">
        <f t="shared" si="21"/>
        <v/>
      </c>
      <c r="AO16" s="27" t="e">
        <f t="shared" si="11"/>
        <v>#N/A</v>
      </c>
      <c r="AP16" s="27" t="str">
        <f t="shared" si="12"/>
        <v xml:space="preserve">SR05ID01FST01:RSCN:CS_STATUS = </v>
      </c>
      <c r="AQ16" s="27" t="str">
        <f t="shared" si="22"/>
        <v xml:space="preserve">;Active CS status (CSSTRS)[]epics(base)
#define	csStatus	P2091	</v>
      </c>
      <c r="AR16" s="27" t="str">
        <f t="shared" si="13"/>
        <v/>
      </c>
      <c r="AS16" s="12">
        <f t="shared" si="14"/>
        <v>4</v>
      </c>
      <c r="AT16" s="12">
        <f t="shared" si="15"/>
        <v>14</v>
      </c>
      <c r="AU16" s="12">
        <f t="shared" si="16"/>
        <v>14</v>
      </c>
      <c r="AV16" s="12">
        <f t="shared" si="17"/>
        <v>6</v>
      </c>
      <c r="AW16" s="13" t="str">
        <f t="shared" si="18"/>
        <v>P2091</v>
      </c>
      <c r="AX16" s="23" t="str">
        <f t="shared" si="19"/>
        <v>SR05ID01FST01:RSCN:CS_STATUS</v>
      </c>
    </row>
    <row r="17" spans="2:50" ht="15.75" customHeight="1" x14ac:dyDescent="0.25">
      <c r="B17" s="24" t="str">
        <f t="shared" si="0"/>
        <v>.</v>
      </c>
      <c r="C17" s="32" t="str">
        <f t="shared" si="23"/>
        <v>#define</v>
      </c>
      <c r="D17" s="31" t="s">
        <v>462</v>
      </c>
      <c r="E17" s="25" t="s">
        <v>462</v>
      </c>
      <c r="F17" s="10" t="s">
        <v>384</v>
      </c>
      <c r="G17" s="10" t="s">
        <v>86</v>
      </c>
      <c r="H17" s="10"/>
      <c r="I17" s="11" t="s">
        <v>540</v>
      </c>
      <c r="J17" s="10" t="s">
        <v>561</v>
      </c>
      <c r="K17" s="10" t="s">
        <v>564</v>
      </c>
      <c r="L17" s="10">
        <v>-9999999</v>
      </c>
      <c r="M17" s="10">
        <v>9999999</v>
      </c>
      <c r="N17" s="10">
        <v>5</v>
      </c>
      <c r="O17" s="16"/>
      <c r="P17" s="52" t="s">
        <v>39</v>
      </c>
      <c r="Q17" s="52"/>
      <c r="R17" s="52" t="s">
        <v>563</v>
      </c>
      <c r="S17" s="52"/>
      <c r="T17" s="52"/>
      <c r="U17" s="52"/>
      <c r="V17" s="52"/>
      <c r="W17" s="61">
        <v>18</v>
      </c>
      <c r="X17" s="61"/>
      <c r="Y17" s="33" t="s">
        <v>570</v>
      </c>
      <c r="Z17" s="33" t="s">
        <v>571</v>
      </c>
      <c r="AA17" s="33">
        <v>30</v>
      </c>
      <c r="AB17" s="58" t="str">
        <f t="shared" si="1"/>
        <v>epics</v>
      </c>
      <c r="AC17" s="55" t="str">
        <f t="shared" si="2"/>
        <v>map</v>
      </c>
      <c r="AD17" s="29" t="str">
        <f t="shared" si="3"/>
        <v>:D1_CENTRE</v>
      </c>
      <c r="AE17" s="27" t="str">
        <f t="shared" si="4"/>
        <v>:RSCN:D1_CENTRE</v>
      </c>
      <c r="AF17" s="29" t="str">
        <f t="shared" si="5"/>
        <v>d1Centre</v>
      </c>
      <c r="AG17" s="27" t="str">
        <f t="shared" si="6"/>
        <v>d1Centre</v>
      </c>
      <c r="AH17" s="27" t="str">
        <f t="shared" si="7"/>
        <v>$(P):RSCN:ST_MONITOR</v>
      </c>
      <c r="AI17" s="27" t="str">
        <f t="shared" si="8"/>
        <v>$(P):RSCN:ST_TRAJSET</v>
      </c>
      <c r="AJ17" s="27"/>
      <c r="AK17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7" s="27" t="str">
        <f t="shared" si="10"/>
        <v>_x000D_
# PVs mapping to P2013_x000D_
record(ao, "$(P):RSCN:D1_CENTRE") {_x000D_
  field(DESC, "Fly axis scan starting position")_x000D_
  field(OUT, "$(P):RSCN:D1_CENTRE:SET PP MS")_x000D_
  field(PINI, "NO")_x000D_
  field(EGU, "EGU")_x000D_
  field(PREC, "5")  _x000D_
}_x000D_
record(ai, "$(P):RSCN:D1_CENTRE:RBV") {_x000D_
  field(DESC, "Fly axis scan starting position readback")_x000D_
  field(DTYP, "stream")_x000D_
  field(FLNK, "$(P):RSCN:D1_CENTRE:SYN")_x000D_
  field(INP, "@pmac.proto getVar(P2013) $(PORT)")_x000D_
  field(SDIS, "$(P):RSCN:ST_MONITOR CP MS")_x000D_
  field(DISV, "0")_x000D_
  field(PINI, "NO")_x000D_
  field(DISS, "INVALID")_x000D_
  field(EGU, "EGU")_x000D_
  field(PREC, "5")  _x000D_
}_x000D_
record(ao, "$(P):RSCN:D1_CENTRE:SET") {_x000D_
  field(DTYP, "stream")_x000D_
  field(SDIS, "$(P):RSCN:D1_CENTRE:ROL PP MS")_x000D_
  field(OUT, "@pmac.proto setVar(P2013) $(PORT)")_x000D_
  field(PINI, "NO")_x000D_
  field(DISS, "INVALID")_x000D_
}_x000D_
record(calc, "$(P):RSCN:D1_CENTRE:ROL") {_x000D_
  field(CALC, "(!B) || A")_x000D_
  field(INPA, "$(P):RSCN:D1_CENTRE:SYN.PACT")_x000D_
  field(INPB, "$(P):RSCN:ST_TRAJSET NPP MS")_x000D_
  field(PINI, "NO")_x000D_
}_x000D_
record(calcout, "$(P):RSCN:D1_CENTRE:SYN") {_x000D_
  field(INPA, "$(P):RSCN:D1_CENTRE:RBV PP")_x000D_
  field(INPB, "$(P):RSCN:ST_MONITOR NPP MS")_x000D_
  field(INPC, "$(P):RSCN:ST_TRAJSET NPP MS")_x000D_
  field(CALC, "A")_x000D_
  field(OUT, "$(P):RSCN:D1_CENTRE PP MS")_x000D_
  field(PINI, "NO")_x000D_
}_x000D_
#--------------------</v>
      </c>
      <c r="AM17" s="27" t="str">
        <f t="shared" si="20"/>
        <v>&lt;item row="18" column="0"&gt;
         &lt;widget class="QLabel" name="L_d1_Centre"&gt;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&lt;string&gt;d1_Centre&lt;/string&gt;
          &lt;/property&gt;
          &lt;property name="margin"&gt;
           &lt;number&gt;3&lt;/number&gt;
          &lt;/property&gt;
         &lt;/widget&gt;
        &lt;/item&gt;
&lt;item row="18" column="2"&gt;
            &lt;widget class="QELineEdit" name="QLD_d1_Centre"&gt;
             &lt;property name="variable" stdset="0"&gt;
              &lt;string&gt;$(P)$(R):RSCN:D1_CENTRE&lt;/string&gt;
             &lt;/property&gt;
             &lt;property name="addUnits"&gt;
             &lt;bool&gt;true&lt;/bool&gt;
             &lt;/property&gt;
            &lt;/widget&gt;
           &lt;/item&gt;</v>
      </c>
      <c r="AN17" s="27" t="str">
        <f t="shared" si="21"/>
        <v/>
      </c>
      <c r="AO17" s="27" t="e">
        <f t="shared" si="11"/>
        <v>#N/A</v>
      </c>
      <c r="AP17" s="27" t="str">
        <f t="shared" si="12"/>
        <v xml:space="preserve">SR05ID01FST01:RSCN:D1_CENTRE = </v>
      </c>
      <c r="AQ17" s="27" t="str">
        <f t="shared" si="22"/>
        <v xml:space="preserve">;Fly axis scan starting position[EGU]epics(map)
#define	d1Centre	P2013	</v>
      </c>
      <c r="AR17" s="27" t="str">
        <f t="shared" si="13"/>
        <v xml:space="preserve">      &lt;channel&gt;
         &lt;name&gt;SR05ID01FST01:RSCN:D1_CENTRE&lt;/name&gt;
         &lt;period&gt;30&lt;/period&gt;
         &lt;monitor/&gt;
      &lt;/channel&gt;</v>
      </c>
      <c r="AS17" s="12">
        <f t="shared" si="14"/>
        <v>4</v>
      </c>
      <c r="AT17" s="12">
        <f t="shared" si="15"/>
        <v>4</v>
      </c>
      <c r="AU17" s="12">
        <f t="shared" si="16"/>
        <v>4</v>
      </c>
      <c r="AV17" s="12">
        <f t="shared" si="17"/>
        <v>0</v>
      </c>
      <c r="AW17" s="13" t="str">
        <f t="shared" si="18"/>
        <v>P2013</v>
      </c>
      <c r="AX17" s="23" t="str">
        <f t="shared" si="19"/>
        <v>SR05ID01FST01:RSCN:D1_CENTRE</v>
      </c>
    </row>
    <row r="18" spans="2:50" ht="15.75" customHeight="1" x14ac:dyDescent="0.25">
      <c r="B18" s="24" t="str">
        <f t="shared" si="0"/>
        <v>.</v>
      </c>
      <c r="C18" s="32" t="str">
        <f t="shared" si="23"/>
        <v>#define</v>
      </c>
      <c r="D18" s="30" t="s">
        <v>478</v>
      </c>
      <c r="E18" s="23" t="s">
        <v>478</v>
      </c>
      <c r="F18" s="10" t="s">
        <v>399</v>
      </c>
      <c r="G18" s="10" t="s">
        <v>86</v>
      </c>
      <c r="H18" s="10"/>
      <c r="I18" s="11" t="s">
        <v>635</v>
      </c>
      <c r="J18" s="10" t="s">
        <v>39</v>
      </c>
      <c r="K18" s="10" t="s">
        <v>564</v>
      </c>
      <c r="L18" s="10">
        <v>-9999999</v>
      </c>
      <c r="M18" s="10">
        <v>9999999</v>
      </c>
      <c r="N18" s="10">
        <v>5</v>
      </c>
      <c r="O18" s="16"/>
      <c r="P18" s="52" t="s">
        <v>563</v>
      </c>
      <c r="Q18" s="52"/>
      <c r="R18" s="52" t="s">
        <v>39</v>
      </c>
      <c r="S18" s="52"/>
      <c r="T18" s="52"/>
      <c r="U18" s="52"/>
      <c r="V18" s="52"/>
      <c r="W18" s="61">
        <v>19</v>
      </c>
      <c r="X18" s="61"/>
      <c r="Y18" s="33" t="s">
        <v>570</v>
      </c>
      <c r="Z18" s="33" t="s">
        <v>368</v>
      </c>
      <c r="AA18" s="33">
        <v>30</v>
      </c>
      <c r="AB18" s="58" t="str">
        <f t="shared" si="1"/>
        <v>epics</v>
      </c>
      <c r="AC18" s="55" t="str">
        <f t="shared" si="2"/>
        <v>map</v>
      </c>
      <c r="AD18" s="29" t="str">
        <f t="shared" si="3"/>
        <v>:D1_IN</v>
      </c>
      <c r="AE18" s="27" t="str">
        <f t="shared" si="4"/>
        <v>:RSCN:D1_IN</v>
      </c>
      <c r="AF18" s="29" t="str">
        <f t="shared" si="5"/>
        <v>d1In</v>
      </c>
      <c r="AG18" s="27" t="str">
        <f t="shared" si="6"/>
        <v>d1In</v>
      </c>
      <c r="AH18" s="27" t="str">
        <f t="shared" si="7"/>
        <v>$(P):RSCN:ST_MONITOR</v>
      </c>
      <c r="AI18" s="27" t="str">
        <f t="shared" si="8"/>
        <v>$(P):RSCN:ST_NEVER</v>
      </c>
      <c r="AJ18" s="27"/>
      <c r="AK18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8" s="27" t="str">
        <f t="shared" si="10"/>
        <v>_x000D_
# PVs mapping to P2052_x000D_
record(ao, "$(P):RSCN:D1_IN") {_x000D_
  field(DESC, "Fly axis inner-skip distance")_x000D_
  field(OUT, "$(P):RSCN:D1_IN:SET PP MS")_x000D_
  field(PINI, "NO")_x000D_
  field(EGU, "EGU")_x000D_
  field(PREC, "5")  _x000D_
}_x000D_
record(ai, "$(P):RSCN:D1_IN:RBV") {_x000D_
  field(DESC, "Fly axis inner-skip distance readback")_x000D_
  field(DTYP, "stream")_x000D_
  field(FLNK, "$(P):RSCN:D1_IN:SYN")_x000D_
  field(INP, "@pmac.proto getVar(P2052) $(PORT)")_x000D_
  field(SDIS, "$(P):RSCN:ST_MONITOR CP MS")_x000D_
  field(DISV, "0")_x000D_
  field(PINI, "NO")_x000D_
  field(DISS, "INVALID")_x000D_
  field(EGU, "EGU")_x000D_
  field(PREC, "5")  _x000D_
}_x000D_
record(ao, "$(P):RSCN:D1_IN:SET") {_x000D_
  field(DTYP, "stream")_x000D_
  field(SDIS, "$(P):RSCN:D1_IN:ROL PP MS")_x000D_
  field(OUT, "@pmac.proto setVar(P2052) $(PORT)")_x000D_
  field(PINI, "NO")_x000D_
  field(DISS, "INVALID")_x000D_
}_x000D_
record(calc, "$(P):RSCN:D1_IN:ROL") {_x000D_
  field(CALC, "(!B) || A")_x000D_
  field(INPA, "$(P):RSCN:D1_IN:SYN.PACT")_x000D_
  field(INPB, "$(P):RSCN:ST_NEVER NPP MS")_x000D_
  field(PINI, "NO")_x000D_
}_x000D_
record(calcout, "$(P):RSCN:D1_IN:SYN") {_x000D_
  field(INPA, "$(P):RSCN:D1_IN:RBV PP")_x000D_
  field(INPB, "$(P):RSCN:ST_MONITOR NPP MS")_x000D_
  field(INPC, "$(P):RSCN:ST_NEVER NPP MS")_x000D_
  field(CALC, "A")_x000D_
  field(OUT, "$(P):RSCN:D1_IN PP MS")_x000D_
  field(PINI, "NO")_x000D_
}_x000D_
#--------------------</v>
      </c>
      <c r="AM18" s="27" t="str">
        <f t="shared" si="20"/>
        <v xml:space="preserve">&lt;item row="19" column="0"&gt;
         &lt;widget class="QLabel" name="L_d1_In"&gt;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&lt;string&gt;d1_In&lt;/string&gt;
          &lt;/property&gt;
          &lt;property name="margin"&gt;
           &lt;number&gt;3&lt;/number&gt;
          &lt;/property&gt;
         &lt;/widget&gt;
        &lt;/item&gt;
&lt;item row="19" column="1"&gt;
         &lt;widget class="QELabel" name="QL_d1_In"&gt;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&lt;string&gt;$(P)$(R):RSCN:D1_IN&lt;/string&gt;
          &lt;/property&gt;
         &lt;/widget&gt;
   &lt;/item&gt;
</v>
      </c>
      <c r="AN18" s="27" t="str">
        <f t="shared" si="21"/>
        <v/>
      </c>
      <c r="AO18" s="27" t="e">
        <f t="shared" si="11"/>
        <v>#N/A</v>
      </c>
      <c r="AP18" s="27" t="str">
        <f t="shared" si="12"/>
        <v xml:space="preserve">SR05ID01FST01:RSCN:D1_IN = </v>
      </c>
      <c r="AQ18" s="27" t="str">
        <f t="shared" si="22"/>
        <v xml:space="preserve">;Fly axis inner-skip distance[EGU]epics(map)
#define	d1In	P2052	</v>
      </c>
      <c r="AR18" s="27" t="str">
        <f t="shared" si="13"/>
        <v xml:space="preserve">      &lt;channel&gt;
         &lt;name&gt;SR05ID01FST01:RSCN:D1_IN&lt;/name&gt;
         &lt;period&gt;30&lt;/period&gt;
         &lt;monitor/&gt;
      &lt;/channel&gt;</v>
      </c>
      <c r="AS18" s="12">
        <f t="shared" si="14"/>
        <v>8</v>
      </c>
      <c r="AT18" s="12">
        <f t="shared" si="15"/>
        <v>4</v>
      </c>
      <c r="AU18" s="12">
        <f t="shared" si="16"/>
        <v>6</v>
      </c>
      <c r="AV18" s="12">
        <f t="shared" si="17"/>
        <v>3</v>
      </c>
      <c r="AW18" s="13" t="str">
        <f t="shared" si="18"/>
        <v>P2052</v>
      </c>
      <c r="AX18" s="23" t="str">
        <f t="shared" si="19"/>
        <v>SR05ID01FST01:RSCN:D1_IN</v>
      </c>
    </row>
    <row r="19" spans="2:50" ht="15.75" customHeight="1" x14ac:dyDescent="0.25">
      <c r="B19" s="24" t="str">
        <f t="shared" si="0"/>
        <v>.</v>
      </c>
      <c r="C19" s="32" t="str">
        <f t="shared" si="23"/>
        <v>;</v>
      </c>
      <c r="D19" s="30"/>
      <c r="E19" s="23" t="s">
        <v>497</v>
      </c>
      <c r="F19" s="10" t="s">
        <v>45</v>
      </c>
      <c r="G19" s="10" t="s">
        <v>86</v>
      </c>
      <c r="H19" s="10"/>
      <c r="I19" s="11" t="s">
        <v>631</v>
      </c>
      <c r="J19" s="10" t="s">
        <v>562</v>
      </c>
      <c r="K19" s="10" t="s">
        <v>564</v>
      </c>
      <c r="L19" s="10">
        <v>-9999999</v>
      </c>
      <c r="M19" s="10">
        <v>9999999</v>
      </c>
      <c r="N19" s="10">
        <v>5</v>
      </c>
      <c r="O19" s="16"/>
      <c r="P19" s="52"/>
      <c r="Q19" s="52"/>
      <c r="R19" s="52" t="s">
        <v>563</v>
      </c>
      <c r="S19" s="52"/>
      <c r="T19" s="52" t="s">
        <v>39</v>
      </c>
      <c r="U19" s="52"/>
      <c r="V19" s="52"/>
      <c r="W19" s="61">
        <v>20</v>
      </c>
      <c r="X19" s="61"/>
      <c r="Z19" s="33" t="s">
        <v>571</v>
      </c>
      <c r="AA19" s="33">
        <v>30</v>
      </c>
      <c r="AB19" s="58" t="str">
        <f t="shared" si="1"/>
        <v>epics</v>
      </c>
      <c r="AC19" s="55" t="str">
        <f t="shared" si="2"/>
        <v>nmp</v>
      </c>
      <c r="AD19" s="29" t="str">
        <f t="shared" si="3"/>
        <v>:</v>
      </c>
      <c r="AE19" s="27" t="str">
        <f t="shared" si="4"/>
        <v>:RSCN:D1_IN_HLM</v>
      </c>
      <c r="AF19" s="29" t="str">
        <f t="shared" si="5"/>
        <v/>
      </c>
      <c r="AG19" s="27" t="str">
        <f t="shared" si="6"/>
        <v>d1InHLM</v>
      </c>
      <c r="AH19" s="27" t="str">
        <f t="shared" si="7"/>
        <v>$(P):RSCN:</v>
      </c>
      <c r="AI19" s="27" t="str">
        <f t="shared" si="8"/>
        <v>$(P):RSCN:ST_TRAJSET</v>
      </c>
      <c r="AJ19" s="27"/>
      <c r="AK19" s="27" t="str">
        <f t="shared" si="9"/>
        <v># non-mapped PV
record(ai, "$(P)$(Q)") {
  field(DESC, "$(DESC)")
  field(PINI, "YES")
  field(EGU, "$(EGU)")
  field(PREC, "$(PREC)")
  field(VAL,"$(DEFAULT)")
  field(SDIS, "$(SetSB) CP MS")
  field(DISV, "0")
  field(DISS, "INVALID")
}
#--------------</v>
      </c>
      <c r="AL19" s="27" t="str">
        <f t="shared" si="10"/>
        <v># non-mapped PV
record(ai, "$(P):RSCN:D1_IN_HLM") {
  field(DESC, "Fly axis inner-skip high limit")
  field(PINI, "YES")
  field(EGU, "EGU")
  field(PREC, "5")
  field(VAL,"")
  field(SDIS, "$(P):RSCN:ST_TRAJSET CP MS")
  field(DISV, "0")
  field(DISS, "INVALID")
}
#--------------</v>
      </c>
      <c r="AM19" s="27" t="str">
        <f t="shared" si="20"/>
        <v>&lt;item row="20" column="0"&gt;
         &lt;widget class="QLabel" name="L_d1_In_HLM"&gt;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&lt;string&gt;d1_In_HLM&lt;/string&gt;
          &lt;/property&gt;
          &lt;property name="margin"&gt;
           &lt;number&gt;3&lt;/number&gt;
          &lt;/property&gt;
         &lt;/widget&gt;
        &lt;/item&gt;
&lt;item row="20" column="2"&gt;
            &lt;widget class="QELineEdit" name="QLD_d1_In_HLM"&gt;
             &lt;property name="variable" stdset="0"&gt;
              &lt;string&gt;$(P)$(R):RSCN:D1_IN_HLM&lt;/string&gt;
             &lt;/property&gt;
             &lt;property name="addUnits"&gt;
             &lt;bool&gt;true&lt;/bool&gt;
             &lt;/property&gt;
            &lt;/widget&gt;
           &lt;/item&gt;</v>
      </c>
      <c r="AN19" s="27" t="str">
        <f t="shared" si="21"/>
        <v/>
      </c>
      <c r="AO19" s="27" t="e">
        <f t="shared" si="11"/>
        <v>#N/A</v>
      </c>
      <c r="AP19" s="27" t="str">
        <f t="shared" si="12"/>
        <v xml:space="preserve">SR05ID01FST01:RSCN:D1_IN_HLM = </v>
      </c>
      <c r="AQ19" s="27" t="str">
        <f t="shared" si="22"/>
        <v/>
      </c>
      <c r="AR19" s="27" t="str">
        <f t="shared" si="13"/>
        <v xml:space="preserve">      &lt;channel&gt;
         &lt;name&gt;SR05ID01FST01:RSCN:D1_IN_HLM&lt;/name&gt;
         &lt;period&gt;30&lt;/period&gt;
         &lt;monitor/&gt;
      &lt;/channel&gt;</v>
      </c>
      <c r="AS19" s="12">
        <f t="shared" si="14"/>
        <v>4</v>
      </c>
      <c r="AT19" s="12">
        <f t="shared" si="15"/>
        <v>14</v>
      </c>
      <c r="AU19" s="12">
        <f t="shared" si="16"/>
        <v>4</v>
      </c>
      <c r="AV19" s="12">
        <f t="shared" si="17"/>
        <v>1</v>
      </c>
      <c r="AW19" s="13" t="str">
        <f t="shared" si="18"/>
        <v>none</v>
      </c>
      <c r="AX19" s="23" t="str">
        <f t="shared" si="19"/>
        <v>SR05ID01FST01:RSCN:D1_IN_HLM</v>
      </c>
    </row>
    <row r="20" spans="2:50" ht="15.75" customHeight="1" x14ac:dyDescent="0.25">
      <c r="B20" s="24" t="str">
        <f t="shared" si="0"/>
        <v>.</v>
      </c>
      <c r="C20" s="32" t="str">
        <f t="shared" si="23"/>
        <v>#define</v>
      </c>
      <c r="D20" s="31"/>
      <c r="E20" s="25" t="s">
        <v>449</v>
      </c>
      <c r="F20" s="10" t="s">
        <v>397</v>
      </c>
      <c r="G20" s="10" t="s">
        <v>86</v>
      </c>
      <c r="H20" s="10"/>
      <c r="I20" s="11" t="s">
        <v>645</v>
      </c>
      <c r="J20" s="10" t="s">
        <v>39</v>
      </c>
      <c r="K20" s="10" t="s">
        <v>564</v>
      </c>
      <c r="L20" s="10">
        <v>0</v>
      </c>
      <c r="M20" s="10">
        <v>10</v>
      </c>
      <c r="N20" s="10"/>
      <c r="O20" s="16"/>
      <c r="P20" s="52" t="s">
        <v>563</v>
      </c>
      <c r="Q20" s="52"/>
      <c r="R20" s="52"/>
      <c r="S20" s="52" t="s">
        <v>39</v>
      </c>
      <c r="T20" s="52"/>
      <c r="U20" s="52" t="s">
        <v>39</v>
      </c>
      <c r="V20" s="52"/>
      <c r="W20" s="61"/>
      <c r="X20" s="61">
        <v>5</v>
      </c>
      <c r="Y20" s="33" t="s">
        <v>569</v>
      </c>
      <c r="Z20" s="33" t="s">
        <v>368</v>
      </c>
      <c r="AA20" s="33">
        <v>5</v>
      </c>
      <c r="AB20" s="58" t="str">
        <f t="shared" si="1"/>
        <v>epics</v>
      </c>
      <c r="AC20" s="55" t="str">
        <f t="shared" si="2"/>
        <v>map</v>
      </c>
      <c r="AD20" s="29" t="str">
        <f t="shared" si="3"/>
        <v>:</v>
      </c>
      <c r="AE20" s="27" t="str">
        <f t="shared" si="4"/>
        <v>:RSCN:D1_IND_HLM</v>
      </c>
      <c r="AF20" s="29" t="str">
        <f t="shared" si="5"/>
        <v/>
      </c>
      <c r="AG20" s="27" t="str">
        <f t="shared" si="6"/>
        <v>d1IndHLM</v>
      </c>
      <c r="AH20" s="27" t="str">
        <f t="shared" si="7"/>
        <v>$(P):RSCN:ST_INPROG</v>
      </c>
      <c r="AI20" s="27" t="str">
        <f t="shared" si="8"/>
        <v>$(P):RSCN:ST_NEVER</v>
      </c>
      <c r="AJ20" s="27"/>
      <c r="AK20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0" s="27" t="str">
        <f t="shared" si="10"/>
        <v>_x000D_
# PVs mapping to P2050_x000D_
record(ao, "$(P):RSCN:D1_IND_HLM") {_x000D_
  field(DESC, "Fly axis total indent HLM")_x000D_
  field(OUT, "$(P):RSCN:D1_IND_HLM:SET PP MS")_x000D_
  field(PINI, "NO")_x000D_
  field(EGU, "EGU")_x000D_
  field(PREC, "")  _x000D_
}_x000D_
record(ai, "$(P):RSCN:D1_IND_HLM:RBV") {_x000D_
  field(DESC, "Fly axis total indent HLM readback")_x000D_
  field(DTYP, "stream")_x000D_
  field(FLNK, "$(P):RSCN:D1_IND_HLM:SYN")_x000D_
  field(INP, "@pmac.proto getVar(P2050) $(PORT)")_x000D_
  field(SDIS, "$(P):RSCN:ST_INPROG CP MS")_x000D_
  field(DISV, "0")_x000D_
  field(PINI, "NO")_x000D_
  field(DISS, "INVALID")_x000D_
  field(EGU, "EGU")_x000D_
  field(PREC, "")  _x000D_
}_x000D_
record(ao, "$(P):RSCN:D1_IND_HLM:SET") {_x000D_
  field(DTYP, "stream")_x000D_
  field(SDIS, "$(P):RSCN:D1_IND_HLM:ROL PP MS")_x000D_
  field(OUT, "@pmac.proto setVar(P2050) $(PORT)")_x000D_
  field(PINI, "NO")_x000D_
  field(DISS, "INVALID")_x000D_
}_x000D_
record(calc, "$(P):RSCN:D1_IND_HLM:ROL") {_x000D_
  field(CALC, "(!B) || A")_x000D_
  field(INPA, "$(P):RSCN:D1_IND_HLM:SYN.PACT")_x000D_
  field(INPB, "$(P):RSCN:ST_NEVER NPP MS")_x000D_
  field(PINI, "NO")_x000D_
}_x000D_
record(calcout, "$(P):RSCN:D1_IND_HLM:SYN") {_x000D_
  field(INPA, "$(P):RSCN:D1_IND_HLM:RBV PP")_x000D_
  field(INPB, "$(P):RSCN:ST_INPROG NPP MS")_x000D_
  field(INPC, "$(P):RSCN:ST_NEVER NPP MS")_x000D_
  field(CALC, "A")_x000D_
  field(OUT, "$(P):RSCN:D1_IND_HLM PP MS")_x000D_
  field(PINI, "NO")_x000D_
}_x000D_
#--------------------</v>
      </c>
      <c r="AM20" s="27" t="str">
        <f t="shared" si="20"/>
        <v/>
      </c>
      <c r="AN20" s="27" t="str">
        <f t="shared" si="21"/>
        <v xml:space="preserve">&lt;item row="5" column="0"&gt;
         &lt;widget class="QLabel" name="L_d1_Ind_HLM"&gt;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&lt;string&gt;d1_Ind_HLM&lt;/string&gt;
          &lt;/property&gt;
          &lt;property name="margin"&gt;
           &lt;number&gt;3&lt;/number&gt;
          &lt;/property&gt;
         &lt;/widget&gt;
        &lt;/item&gt;
&lt;item row="5" column="1"&gt;
         &lt;widget class="QELabel" name="QL_d1_Ind_HLM"&gt;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&lt;string&gt;$(P)$(R):RSCN:D1_IND_HLM&lt;/string&gt;
          &lt;/property&gt;
         &lt;/widget&gt;
   &lt;/item&gt;
</v>
      </c>
      <c r="AO20" s="27" t="e">
        <f t="shared" si="11"/>
        <v>#N/A</v>
      </c>
      <c r="AP20" s="27" t="str">
        <f t="shared" si="12"/>
        <v xml:space="preserve">SR05ID01FST01:RSCN:D1_IND_HLM = </v>
      </c>
      <c r="AQ20" s="27" t="str">
        <f t="shared" si="22"/>
        <v xml:space="preserve">;Fly axis total indent HLM[EGU]epics(map)
#define	d1IndHLM	P2050	</v>
      </c>
      <c r="AR20" s="27" t="str">
        <f t="shared" si="13"/>
        <v xml:space="preserve">      &lt;channel&gt;
         &lt;name&gt;SR05ID01FST01:RSCN:D1_IND_HLM&lt;/name&gt;
         &lt;period&gt;5&lt;/period&gt;
         &lt;monitor/&gt;
      &lt;/channel&gt;</v>
      </c>
      <c r="AS20" s="12">
        <f t="shared" si="14"/>
        <v>3</v>
      </c>
      <c r="AT20" s="12">
        <f t="shared" si="15"/>
        <v>5</v>
      </c>
      <c r="AU20" s="12">
        <f t="shared" si="16"/>
        <v>6</v>
      </c>
      <c r="AV20" s="12">
        <f t="shared" si="17"/>
        <v>6</v>
      </c>
      <c r="AW20" s="13" t="str">
        <f t="shared" si="18"/>
        <v>P2050</v>
      </c>
      <c r="AX20" s="23" t="str">
        <f t="shared" si="19"/>
        <v>SR05ID01FST01:RSCN:D1_IND_HLM</v>
      </c>
    </row>
    <row r="21" spans="2:50" ht="15.75" customHeight="1" x14ac:dyDescent="0.25">
      <c r="B21" s="24" t="str">
        <f t="shared" si="0"/>
        <v>&lt;FIND TYPE=ASC&gt;:T_EDGEOLD&lt;/FIND&gt;&lt;REPLACE TYPE=ASC&gt;:RSCN:D1_INDL&lt;/REPLACE&gt;
&lt;FIND TYPE=ASC&gt;tEdgeOld&lt;/FIND&gt;&lt;REPLACE TYPE=ASC&gt;d1IndL&lt;/REPLACE&gt;
&lt;FIND TYPE=ASC&gt;t_EdgeOld&lt;/FIND&gt;&lt;REPLACE TYPE=ASC&gt;d1_IndL&lt;/REPLACE&gt;</v>
      </c>
      <c r="C21" s="32" t="str">
        <f t="shared" si="23"/>
        <v>#define</v>
      </c>
      <c r="D21" s="30" t="s">
        <v>499</v>
      </c>
      <c r="E21" s="23" t="s">
        <v>500</v>
      </c>
      <c r="F21" s="10" t="s">
        <v>419</v>
      </c>
      <c r="G21" s="10" t="s">
        <v>86</v>
      </c>
      <c r="H21" s="10"/>
      <c r="I21" s="11" t="s">
        <v>553</v>
      </c>
      <c r="J21" s="10" t="s">
        <v>39</v>
      </c>
      <c r="K21" s="10" t="s">
        <v>564</v>
      </c>
      <c r="L21" s="10">
        <v>-9999999</v>
      </c>
      <c r="M21" s="10">
        <v>9999999</v>
      </c>
      <c r="N21" s="10">
        <v>5</v>
      </c>
      <c r="O21" s="16"/>
      <c r="P21" s="52" t="s">
        <v>563</v>
      </c>
      <c r="Q21" s="52"/>
      <c r="R21" s="52" t="s">
        <v>39</v>
      </c>
      <c r="S21" s="52"/>
      <c r="T21" s="52"/>
      <c r="U21" s="52"/>
      <c r="V21" s="52"/>
      <c r="W21" s="61">
        <v>21</v>
      </c>
      <c r="X21" s="61"/>
      <c r="Y21" s="33" t="s">
        <v>569</v>
      </c>
      <c r="Z21" s="33" t="s">
        <v>368</v>
      </c>
      <c r="AA21" s="33">
        <v>0.5</v>
      </c>
      <c r="AB21" s="58" t="str">
        <f t="shared" si="1"/>
        <v>epics</v>
      </c>
      <c r="AC21" s="55" t="str">
        <f t="shared" si="2"/>
        <v>map</v>
      </c>
      <c r="AD21" s="29" t="str">
        <f t="shared" si="3"/>
        <v>:T_EDGEOLD</v>
      </c>
      <c r="AE21" s="27" t="str">
        <f t="shared" si="4"/>
        <v>:RSCN:D1_INDL</v>
      </c>
      <c r="AF21" s="29" t="str">
        <f t="shared" si="5"/>
        <v>tEdgeOld</v>
      </c>
      <c r="AG21" s="27" t="str">
        <f t="shared" si="6"/>
        <v>d1IndL</v>
      </c>
      <c r="AH21" s="27" t="str">
        <f t="shared" si="7"/>
        <v>$(P):RSCN:ST_INPROG</v>
      </c>
      <c r="AI21" s="27" t="str">
        <f t="shared" si="8"/>
        <v>$(P):RSCN:ST_NEVER</v>
      </c>
      <c r="AJ21" s="27"/>
      <c r="AK21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1" s="27" t="str">
        <f t="shared" si="10"/>
        <v>_x000D_
# PVs mapping to P2079_x000D_
record(ao, "$(P):RSCN:D1_INDL") {_x000D_
  field(DESC, "Fly axis indent from Left")_x000D_
  field(OUT, "$(P):RSCN:D1_INDL:SET PP MS")_x000D_
  field(PINI, "NO")_x000D_
  field(EGU, "EGU")_x000D_
  field(PREC, "5")  _x000D_
}_x000D_
record(ai, "$(P):RSCN:D1_INDL:RBV") {_x000D_
  field(DESC, "Fly axis indent from Left readback")_x000D_
  field(DTYP, "stream")_x000D_
  field(FLNK, "$(P):RSCN:D1_INDL:SYN")_x000D_
  field(INP, "@pmac.proto getVar(P2079) $(PORT)")_x000D_
  field(SDIS, "$(P):RSCN:ST_INPROG CP MS")_x000D_
  field(DISV, "0")_x000D_
  field(PINI, "NO")_x000D_
  field(DISS, "INVALID")_x000D_
  field(EGU, "EGU")_x000D_
  field(PREC, "5")  _x000D_
}_x000D_
record(ao, "$(P):RSCN:D1_INDL:SET") {_x000D_
  field(DTYP, "stream")_x000D_
  field(SDIS, "$(P):RSCN:D1_INDL:ROL PP MS")_x000D_
  field(OUT, "@pmac.proto setVar(P2079) $(PORT)")_x000D_
  field(PINI, "NO")_x000D_
  field(DISS, "INVALID")_x000D_
}_x000D_
record(calc, "$(P):RSCN:D1_INDL:ROL") {_x000D_
  field(CALC, "(!B) || A")_x000D_
  field(INPA, "$(P):RSCN:D1_INDL:SYN.PACT")_x000D_
  field(INPB, "$(P):RSCN:ST_NEVER NPP MS")_x000D_
  field(PINI, "NO")_x000D_
}_x000D_
record(calcout, "$(P):RSCN:D1_INDL:SYN") {_x000D_
  field(INPA, "$(P):RSCN:D1_INDL:RBV PP")_x000D_
  field(INPB, "$(P):RSCN:ST_INPROG NPP MS")_x000D_
  field(INPC, "$(P):RSCN:ST_NEVER NPP MS")_x000D_
  field(CALC, "A")_x000D_
  field(OUT, "$(P):RSCN:D1_INDL PP MS")_x000D_
  field(PINI, "NO")_x000D_
}_x000D_
#--------------------</v>
      </c>
      <c r="AM21" s="27" t="str">
        <f t="shared" si="20"/>
        <v xml:space="preserve">&lt;item row="21" column="0"&gt;
         &lt;widget class="QLabel" name="L_d1_IndL"&gt;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&lt;string&gt;d1_IndL&lt;/string&gt;
          &lt;/property&gt;
          &lt;property name="margin"&gt;
           &lt;number&gt;3&lt;/number&gt;
          &lt;/property&gt;
         &lt;/widget&gt;
        &lt;/item&gt;
&lt;item row="21" column="1"&gt;
         &lt;widget class="QELabel" name="QL_d1_IndL"&gt;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&lt;string&gt;$(P)$(R):RSCN:D1_INDL&lt;/string&gt;
          &lt;/property&gt;
         &lt;/widget&gt;
   &lt;/item&gt;
</v>
      </c>
      <c r="AN21" s="27" t="str">
        <f t="shared" si="21"/>
        <v/>
      </c>
      <c r="AO21" s="27" t="e">
        <f t="shared" si="11"/>
        <v>#N/A</v>
      </c>
      <c r="AP21" s="27" t="str">
        <f t="shared" si="12"/>
        <v xml:space="preserve">SR05ID01FST01:RSCN:D1_INDL = </v>
      </c>
      <c r="AQ21" s="27" t="str">
        <f t="shared" si="22"/>
        <v xml:space="preserve">;Fly axis indent from Left[EGU]epics(map)
#define	d1IndL	P2079	</v>
      </c>
      <c r="AR21" s="27" t="str">
        <f t="shared" si="13"/>
        <v xml:space="preserve">      &lt;channel&gt;
         &lt;name&gt;SR05ID01FST01:RSCN:D1_INDL&lt;/name&gt;
         &lt;period&gt;0.5&lt;/period&gt;
         &lt;monitor/&gt;
      &lt;/channel&gt;</v>
      </c>
      <c r="AS21" s="12">
        <f t="shared" si="14"/>
        <v>6</v>
      </c>
      <c r="AT21" s="12">
        <f t="shared" si="15"/>
        <v>5</v>
      </c>
      <c r="AU21" s="12">
        <f t="shared" si="16"/>
        <v>6</v>
      </c>
      <c r="AV21" s="12">
        <f t="shared" si="17"/>
        <v>6</v>
      </c>
      <c r="AW21" s="13" t="str">
        <f t="shared" si="18"/>
        <v>P2079</v>
      </c>
      <c r="AX21" s="23" t="str">
        <f t="shared" si="19"/>
        <v>SR05ID01FST01:RSCN:D1_INDL</v>
      </c>
    </row>
    <row r="22" spans="2:50" ht="15.75" customHeight="1" x14ac:dyDescent="0.25">
      <c r="B22" s="24" t="str">
        <f t="shared" si="0"/>
        <v>.</v>
      </c>
      <c r="C22" s="32" t="str">
        <f t="shared" si="23"/>
        <v>#define</v>
      </c>
      <c r="D22" s="31"/>
      <c r="E22" s="25" t="s">
        <v>450</v>
      </c>
      <c r="F22" s="10" t="s">
        <v>605</v>
      </c>
      <c r="G22" s="10" t="s">
        <v>86</v>
      </c>
      <c r="H22" s="10"/>
      <c r="I22" s="11" t="s">
        <v>643</v>
      </c>
      <c r="J22" s="10" t="s">
        <v>561</v>
      </c>
      <c r="K22" s="10" t="s">
        <v>564</v>
      </c>
      <c r="L22" s="10">
        <v>-9999999</v>
      </c>
      <c r="M22" s="10">
        <v>9999999</v>
      </c>
      <c r="N22" s="10">
        <v>5</v>
      </c>
      <c r="O22" s="16"/>
      <c r="P22" s="52" t="s">
        <v>39</v>
      </c>
      <c r="Q22" s="52"/>
      <c r="R22" s="52"/>
      <c r="S22" s="52" t="s">
        <v>39</v>
      </c>
      <c r="T22" s="52"/>
      <c r="U22" s="52" t="s">
        <v>563</v>
      </c>
      <c r="V22" s="52"/>
      <c r="W22" s="61"/>
      <c r="X22" s="61">
        <v>6</v>
      </c>
      <c r="Y22" s="33" t="s">
        <v>569</v>
      </c>
      <c r="Z22" s="33" t="s">
        <v>569</v>
      </c>
      <c r="AA22" s="33">
        <v>0.5</v>
      </c>
      <c r="AB22" s="58" t="str">
        <f t="shared" si="1"/>
        <v>epics</v>
      </c>
      <c r="AC22" s="55" t="str">
        <f t="shared" si="2"/>
        <v>map</v>
      </c>
      <c r="AD22" s="29" t="str">
        <f t="shared" si="3"/>
        <v>:</v>
      </c>
      <c r="AE22" s="27" t="str">
        <f t="shared" si="4"/>
        <v>:RSCN:D1_INDL_REQ</v>
      </c>
      <c r="AF22" s="29" t="str">
        <f t="shared" si="5"/>
        <v/>
      </c>
      <c r="AG22" s="27" t="str">
        <f t="shared" si="6"/>
        <v>d1IndLReq</v>
      </c>
      <c r="AH22" s="27" t="str">
        <f t="shared" si="7"/>
        <v>$(P):RSCN:ST_INPROG</v>
      </c>
      <c r="AI22" s="27" t="str">
        <f t="shared" si="8"/>
        <v>$(P):RSCN:ST_INPROG</v>
      </c>
      <c r="AJ22" s="27"/>
      <c r="AK22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2" s="27" t="str">
        <f t="shared" si="10"/>
        <v>_x000D_
# PVs mapping to P2018_x000D_
record(ao, "$(P):RSCN:D1_INDL_REQ") {_x000D_
  field(DESC, "Fly axis Left indent request")_x000D_
  field(OUT, "$(P):RSCN:D1_INDL_REQ:SET PP MS")_x000D_
  field(PINI, "NO")_x000D_
  field(EGU, "EGU")_x000D_
  field(PREC, "5")  _x000D_
}_x000D_
record(ai, "$(P):RSCN:D1_INDL_REQ:RBV") {_x000D_
  field(DESC, "Fly axis Left indent request readback")_x000D_
  field(DTYP, "stream")_x000D_
  field(FLNK, "$(P):RSCN:D1_INDL_REQ:SYN")_x000D_
  field(INP, "@pmac.proto getVar(P2018) $(PORT)")_x000D_
  field(SDIS, "$(P):RSCN:ST_INPROG CP MS")_x000D_
  field(DISV, "0")_x000D_
  field(PINI, "NO")_x000D_
  field(DISS, "INVALID")_x000D_
  field(EGU, "EGU")_x000D_
  field(PREC, "5")  _x000D_
}_x000D_
record(ao, "$(P):RSCN:D1_INDL_REQ:SET") {_x000D_
  field(DTYP, "stream")_x000D_
  field(SDIS, "$(P):RSCN:D1_INDL_REQ:ROL PP MS")_x000D_
  field(OUT, "@pmac.proto setVar(P2018) $(PORT)")_x000D_
  field(PINI, "NO")_x000D_
  field(DISS, "INVALID")_x000D_
}_x000D_
record(calc, "$(P):RSCN:D1_INDL_REQ:ROL") {_x000D_
  field(CALC, "(!B) || A")_x000D_
  field(INPA, "$(P):RSCN:D1_INDL_REQ:SYN.PACT")_x000D_
  field(INPB, "$(P):RSCN:ST_INPROG NPP MS")_x000D_
  field(PINI, "NO")_x000D_
}_x000D_
record(calcout, "$(P):RSCN:D1_INDL_REQ:SYN") {_x000D_
  field(INPA, "$(P):RSCN:D1_INDL_REQ:RBV PP")_x000D_
  field(INPB, "$(P):RSCN:ST_INPROG NPP MS")_x000D_
  field(INPC, "$(P):RSCN:ST_INPROG NPP MS")_x000D_
  field(CALC, "A")_x000D_
  field(OUT, "$(P):RSCN:D1_INDL_REQ PP MS")_x000D_
  field(PINI, "NO")_x000D_
}_x000D_
#--------------------</v>
      </c>
      <c r="AM22" s="27" t="str">
        <f t="shared" si="20"/>
        <v/>
      </c>
      <c r="AN22" s="27" t="str">
        <f t="shared" si="21"/>
        <v xml:space="preserve">&lt;item row="6" column="0"&gt;
         &lt;widget class="QLabel" name="L_d1_IndL_Req"&gt;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&lt;string&gt;d1_IndL_Req&lt;/string&gt;
          &lt;/property&gt;
          &lt;property name="margin"&gt;
           &lt;number&gt;3&lt;/number&gt;
          &lt;/property&gt;
         &lt;/widget&gt;
        &lt;/item&gt;
&lt;item row="6" column="1"&gt;
         &lt;widget class="QELabel" name="QL_d1_IndL_Req"&gt;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&lt;string&gt;$(P)$(R):RSCN:D1_INDL_REQ&lt;/string&gt;
          &lt;/property&gt;
         &lt;/widget&gt;
   &lt;/item&gt;
</v>
      </c>
      <c r="AO22" s="27" t="e">
        <f t="shared" si="11"/>
        <v>#N/A</v>
      </c>
      <c r="AP22" s="27" t="str">
        <f t="shared" si="12"/>
        <v xml:space="preserve">SR05ID01FST01:RSCN:D1_INDL_REQ = </v>
      </c>
      <c r="AQ22" s="27" t="str">
        <f t="shared" si="22"/>
        <v xml:space="preserve">;Fly axis Left indent request[EGU]epics(map)
#define	d1IndLReq	P2018	</v>
      </c>
      <c r="AR22" s="27" t="str">
        <f t="shared" si="13"/>
        <v xml:space="preserve">      &lt;channel&gt;
         &lt;name&gt;SR05ID01FST01:RSCN:D1_INDL_REQ&lt;/name&gt;
         &lt;period&gt;0.5&lt;/period&gt;
         &lt;monitor/&gt;
      &lt;/channel&gt;</v>
      </c>
      <c r="AS22" s="12">
        <f t="shared" si="14"/>
        <v>2</v>
      </c>
      <c r="AT22" s="12">
        <f t="shared" si="15"/>
        <v>5</v>
      </c>
      <c r="AU22" s="12">
        <f t="shared" si="16"/>
        <v>5</v>
      </c>
      <c r="AV22" s="12">
        <f t="shared" si="17"/>
        <v>3</v>
      </c>
      <c r="AW22" s="13" t="str">
        <f t="shared" si="18"/>
        <v>P2018</v>
      </c>
      <c r="AX22" s="23" t="str">
        <f t="shared" si="19"/>
        <v>SR05ID01FST01:RSCN:D1_INDL_REQ</v>
      </c>
    </row>
    <row r="23" spans="2:50" s="23" customFormat="1" ht="14.25" customHeight="1" x14ac:dyDescent="0.25">
      <c r="B23" s="24" t="str">
        <f t="shared" si="0"/>
        <v>&lt;FIND TYPE=ASC&gt;:D2_INOLD&lt;/FIND&gt;&lt;REPLACE TYPE=ASC&gt;:RSCN:D1_INDR&lt;/REPLACE&gt;
&lt;FIND TYPE=ASC&gt;d2InOld&lt;/FIND&gt;&lt;REPLACE TYPE=ASC&gt;d1IndR&lt;/REPLACE&gt;
&lt;FIND TYPE=ASC&gt;d2_InOld&lt;/FIND&gt;&lt;REPLACE TYPE=ASC&gt;d1_IndR&lt;/REPLACE&gt;</v>
      </c>
      <c r="C23" s="32" t="str">
        <f t="shared" si="23"/>
        <v>#define</v>
      </c>
      <c r="D23" s="30" t="s">
        <v>501</v>
      </c>
      <c r="E23" s="23" t="s">
        <v>502</v>
      </c>
      <c r="F23" s="10" t="s">
        <v>420</v>
      </c>
      <c r="G23" s="10" t="s">
        <v>86</v>
      </c>
      <c r="H23" s="10"/>
      <c r="I23" s="11" t="s">
        <v>554</v>
      </c>
      <c r="J23" s="10" t="s">
        <v>39</v>
      </c>
      <c r="K23" s="10" t="s">
        <v>564</v>
      </c>
      <c r="L23" s="10">
        <v>-9999999</v>
      </c>
      <c r="M23" s="10">
        <v>9999999</v>
      </c>
      <c r="N23" s="10">
        <v>5</v>
      </c>
      <c r="O23" s="16"/>
      <c r="P23" s="52" t="s">
        <v>563</v>
      </c>
      <c r="Q23" s="52"/>
      <c r="R23" s="52" t="s">
        <v>39</v>
      </c>
      <c r="S23" s="52"/>
      <c r="T23" s="52"/>
      <c r="U23" s="52"/>
      <c r="V23" s="52"/>
      <c r="W23" s="61">
        <v>22</v>
      </c>
      <c r="X23" s="61"/>
      <c r="Y23" s="33" t="s">
        <v>569</v>
      </c>
      <c r="Z23" s="33" t="s">
        <v>368</v>
      </c>
      <c r="AA23" s="33">
        <v>0.5</v>
      </c>
      <c r="AB23" s="58" t="str">
        <f t="shared" si="1"/>
        <v>epics</v>
      </c>
      <c r="AC23" s="55" t="str">
        <f t="shared" si="2"/>
        <v>map</v>
      </c>
      <c r="AD23" s="29" t="str">
        <f t="shared" si="3"/>
        <v>:D2_INOLD</v>
      </c>
      <c r="AE23" s="27" t="str">
        <f t="shared" si="4"/>
        <v>:RSCN:D1_INDR</v>
      </c>
      <c r="AF23" s="29" t="str">
        <f t="shared" si="5"/>
        <v>d2InOld</v>
      </c>
      <c r="AG23" s="27" t="str">
        <f t="shared" si="6"/>
        <v>d1IndR</v>
      </c>
      <c r="AH23" s="27" t="str">
        <f t="shared" si="7"/>
        <v>$(P):RSCN:ST_INPROG</v>
      </c>
      <c r="AI23" s="27" t="str">
        <f t="shared" si="8"/>
        <v>$(P):RSCN:ST_NEVER</v>
      </c>
      <c r="AJ23" s="27"/>
      <c r="AK23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3" s="27" t="str">
        <f t="shared" si="10"/>
        <v>_x000D_
# PVs mapping to P2080_x000D_
record(ao, "$(P):RSCN:D1_INDR") {_x000D_
  field(DESC, "Fly axis indent from Right")_x000D_
  field(OUT, "$(P):RSCN:D1_INDR:SET PP MS")_x000D_
  field(PINI, "NO")_x000D_
  field(EGU, "EGU")_x000D_
  field(PREC, "5")  _x000D_
}_x000D_
record(ai, "$(P):RSCN:D1_INDR:RBV") {_x000D_
  field(DESC, "Fly axis indent from Right readback")_x000D_
  field(DTYP, "stream")_x000D_
  field(FLNK, "$(P):RSCN:D1_INDR:SYN")_x000D_
  field(INP, "@pmac.proto getVar(P2080) $(PORT)")_x000D_
  field(SDIS, "$(P):RSCN:ST_INPROG CP MS")_x000D_
  field(DISV, "0")_x000D_
  field(PINI, "NO")_x000D_
  field(DISS, "INVALID")_x000D_
  field(EGU, "EGU")_x000D_
  field(PREC, "5")  _x000D_
}_x000D_
record(ao, "$(P):RSCN:D1_INDR:SET") {_x000D_
  field(DTYP, "stream")_x000D_
  field(SDIS, "$(P):RSCN:D1_INDR:ROL PP MS")_x000D_
  field(OUT, "@pmac.proto setVar(P2080) $(PORT)")_x000D_
  field(PINI, "NO")_x000D_
  field(DISS, "INVALID")_x000D_
}_x000D_
record(calc, "$(P):RSCN:D1_INDR:ROL") {_x000D_
  field(CALC, "(!B) || A")_x000D_
  field(INPA, "$(P):RSCN:D1_INDR:SYN.PACT")_x000D_
  field(INPB, "$(P):RSCN:ST_NEVER NPP MS")_x000D_
  field(PINI, "NO")_x000D_
}_x000D_
record(calcout, "$(P):RSCN:D1_INDR:SYN") {_x000D_
  field(INPA, "$(P):RSCN:D1_INDR:RBV PP")_x000D_
  field(INPB, "$(P):RSCN:ST_INPROG NPP MS")_x000D_
  field(INPC, "$(P):RSCN:ST_NEVER NPP MS")_x000D_
  field(CALC, "A")_x000D_
  field(OUT, "$(P):RSCN:D1_INDR PP MS")_x000D_
  field(PINI, "NO")_x000D_
}_x000D_
#--------------------</v>
      </c>
      <c r="AM23" s="27" t="str">
        <f t="shared" si="20"/>
        <v xml:space="preserve">&lt;item row="22" column="0"&gt;
         &lt;widget class="QLabel" name="L_d1_IndR"&gt;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&lt;string&gt;d1_IndR&lt;/string&gt;
          &lt;/property&gt;
          &lt;property name="margin"&gt;
           &lt;number&gt;3&lt;/number&gt;
          &lt;/property&gt;
         &lt;/widget&gt;
        &lt;/item&gt;
&lt;item row="22" column="1"&gt;
         &lt;widget class="QELabel" name="QL_d1_IndR"&gt;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&lt;string&gt;$(P)$(R):RSCN:D1_INDR&lt;/string&gt;
          &lt;/property&gt;
         &lt;/widget&gt;
   &lt;/item&gt;
</v>
      </c>
      <c r="AN23" s="27" t="str">
        <f t="shared" si="21"/>
        <v/>
      </c>
      <c r="AO23" s="27" t="e">
        <f t="shared" si="11"/>
        <v>#N/A</v>
      </c>
      <c r="AP23" s="27" t="str">
        <f t="shared" si="12"/>
        <v xml:space="preserve">SR05ID01FST01:RSCN:D1_INDR = </v>
      </c>
      <c r="AQ23" s="27" t="str">
        <f t="shared" si="22"/>
        <v xml:space="preserve">;Fly axis indent from Right[EGU]epics(map)
#define	d1IndR	P2080	</v>
      </c>
      <c r="AR23" s="27" t="str">
        <f t="shared" si="13"/>
        <v xml:space="preserve">      &lt;channel&gt;
         &lt;name&gt;SR05ID01FST01:RSCN:D1_INDR&lt;/name&gt;
         &lt;period&gt;0.5&lt;/period&gt;
         &lt;monitor/&gt;
      &lt;/channel&gt;</v>
      </c>
      <c r="AS23" s="12">
        <f t="shared" si="14"/>
        <v>6</v>
      </c>
      <c r="AT23" s="12">
        <f t="shared" si="15"/>
        <v>5</v>
      </c>
      <c r="AU23" s="12">
        <f t="shared" si="16"/>
        <v>6</v>
      </c>
      <c r="AV23" s="12">
        <f t="shared" si="17"/>
        <v>5</v>
      </c>
      <c r="AW23" s="13" t="str">
        <f t="shared" si="18"/>
        <v>P2080</v>
      </c>
      <c r="AX23" s="23" t="str">
        <f t="shared" si="19"/>
        <v>SR05ID01FST01:RSCN:D1_INDR</v>
      </c>
    </row>
    <row r="24" spans="2:50" s="23" customFormat="1" ht="14.25" customHeight="1" x14ac:dyDescent="0.25">
      <c r="B24" s="24" t="str">
        <f t="shared" si="0"/>
        <v>.</v>
      </c>
      <c r="C24" s="32" t="str">
        <f t="shared" si="23"/>
        <v>#define</v>
      </c>
      <c r="D24" s="31"/>
      <c r="E24" s="25" t="s">
        <v>451</v>
      </c>
      <c r="F24" s="10" t="s">
        <v>606</v>
      </c>
      <c r="G24" s="10" t="s">
        <v>86</v>
      </c>
      <c r="H24" s="10"/>
      <c r="I24" s="11" t="s">
        <v>641</v>
      </c>
      <c r="J24" s="10" t="s">
        <v>561</v>
      </c>
      <c r="K24" s="10" t="s">
        <v>564</v>
      </c>
      <c r="L24" s="10">
        <v>-9999999</v>
      </c>
      <c r="M24" s="10">
        <v>9999999</v>
      </c>
      <c r="N24" s="10">
        <v>5</v>
      </c>
      <c r="O24" s="16"/>
      <c r="P24" s="52" t="s">
        <v>39</v>
      </c>
      <c r="Q24" s="52"/>
      <c r="R24" s="52"/>
      <c r="S24" s="52" t="s">
        <v>39</v>
      </c>
      <c r="T24" s="52"/>
      <c r="U24" s="52" t="s">
        <v>563</v>
      </c>
      <c r="V24" s="52"/>
      <c r="W24" s="61"/>
      <c r="X24" s="61">
        <v>7</v>
      </c>
      <c r="Y24" s="33" t="s">
        <v>569</v>
      </c>
      <c r="Z24" s="33" t="s">
        <v>569</v>
      </c>
      <c r="AA24" s="33">
        <v>0.5</v>
      </c>
      <c r="AB24" s="58" t="str">
        <f t="shared" si="1"/>
        <v>epics</v>
      </c>
      <c r="AC24" s="55" t="str">
        <f t="shared" si="2"/>
        <v>map</v>
      </c>
      <c r="AD24" s="29" t="str">
        <f t="shared" si="3"/>
        <v>:</v>
      </c>
      <c r="AE24" s="27" t="str">
        <f t="shared" si="4"/>
        <v>:RSCN:D1_INDR_REQ</v>
      </c>
      <c r="AF24" s="29" t="str">
        <f t="shared" si="5"/>
        <v/>
      </c>
      <c r="AG24" s="27" t="str">
        <f t="shared" si="6"/>
        <v>d1IndRReq</v>
      </c>
      <c r="AH24" s="27" t="str">
        <f t="shared" si="7"/>
        <v>$(P):RSCN:ST_INPROG</v>
      </c>
      <c r="AI24" s="27" t="str">
        <f t="shared" si="8"/>
        <v>$(P):RSCN:ST_INPROG</v>
      </c>
      <c r="AJ24" s="27"/>
      <c r="AK24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4" s="27" t="str">
        <f t="shared" si="10"/>
        <v>_x000D_
# PVs mapping to P2019_x000D_
record(ao, "$(P):RSCN:D1_INDR_REQ") {_x000D_
  field(DESC, "Fly axis Right indent request")_x000D_
  field(OUT, "$(P):RSCN:D1_INDR_REQ:SET PP MS")_x000D_
  field(PINI, "NO")_x000D_
  field(EGU, "EGU")_x000D_
  field(PREC, "5")  _x000D_
}_x000D_
record(ai, "$(P):RSCN:D1_INDR_REQ:RBV") {_x000D_
  field(DESC, "Fly axis Right indent request readback")_x000D_
  field(DTYP, "stream")_x000D_
  field(FLNK, "$(P):RSCN:D1_INDR_REQ:SYN")_x000D_
  field(INP, "@pmac.proto getVar(P2019) $(PORT)")_x000D_
  field(SDIS, "$(P):RSCN:ST_INPROG CP MS")_x000D_
  field(DISV, "0")_x000D_
  field(PINI, "NO")_x000D_
  field(DISS, "INVALID")_x000D_
  field(EGU, "EGU")_x000D_
  field(PREC, "5")  _x000D_
}_x000D_
record(ao, "$(P):RSCN:D1_INDR_REQ:SET") {_x000D_
  field(DTYP, "stream")_x000D_
  field(SDIS, "$(P):RSCN:D1_INDR_REQ:ROL PP MS")_x000D_
  field(OUT, "@pmac.proto setVar(P2019) $(PORT)")_x000D_
  field(PINI, "NO")_x000D_
  field(DISS, "INVALID")_x000D_
}_x000D_
record(calc, "$(P):RSCN:D1_INDR_REQ:ROL") {_x000D_
  field(CALC, "(!B) || A")_x000D_
  field(INPA, "$(P):RSCN:D1_INDR_REQ:SYN.PACT")_x000D_
  field(INPB, "$(P):RSCN:ST_INPROG NPP MS")_x000D_
  field(PINI, "NO")_x000D_
}_x000D_
record(calcout, "$(P):RSCN:D1_INDR_REQ:SYN") {_x000D_
  field(INPA, "$(P):RSCN:D1_INDR_REQ:RBV PP")_x000D_
  field(INPB, "$(P):RSCN:ST_INPROG NPP MS")_x000D_
  field(INPC, "$(P):RSCN:ST_INPROG NPP MS")_x000D_
  field(CALC, "A")_x000D_
  field(OUT, "$(P):RSCN:D1_INDR_REQ PP MS")_x000D_
  field(PINI, "NO")_x000D_
}_x000D_
#--------------------</v>
      </c>
      <c r="AM24" s="27" t="str">
        <f t="shared" si="20"/>
        <v/>
      </c>
      <c r="AN24" s="27" t="str">
        <f t="shared" si="21"/>
        <v xml:space="preserve">&lt;item row="7" column="0"&gt;
         &lt;widget class="QLabel" name="L_d1_IndR_Req"&gt;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&lt;string&gt;d1_IndR_Req&lt;/string&gt;
          &lt;/property&gt;
          &lt;property name="margin"&gt;
           &lt;number&gt;3&lt;/number&gt;
          &lt;/property&gt;
         &lt;/widget&gt;
        &lt;/item&gt;
&lt;item row="7" column="1"&gt;
         &lt;widget class="QELabel" name="QL_d1_IndR_Req"&gt;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&lt;string&gt;$(P)$(R):RSCN:D1_INDR_REQ&lt;/string&gt;
          &lt;/property&gt;
         &lt;/widget&gt;
   &lt;/item&gt;
</v>
      </c>
      <c r="AO24" s="27" t="e">
        <f t="shared" si="11"/>
        <v>#N/A</v>
      </c>
      <c r="AP24" s="27" t="str">
        <f t="shared" si="12"/>
        <v xml:space="preserve">SR05ID01FST01:RSCN:D1_INDR_REQ = </v>
      </c>
      <c r="AQ24" s="27" t="str">
        <f t="shared" si="22"/>
        <v xml:space="preserve">;Fly axis Right indent request[EGU]epics(map)
#define	d1IndRReq	P2019	</v>
      </c>
      <c r="AR24" s="27" t="str">
        <f t="shared" si="13"/>
        <v xml:space="preserve">      &lt;channel&gt;
         &lt;name&gt;SR05ID01FST01:RSCN:D1_INDR_REQ&lt;/name&gt;
         &lt;period&gt;0.5&lt;/period&gt;
         &lt;monitor/&gt;
      &lt;/channel&gt;</v>
      </c>
      <c r="AS24" s="12">
        <f t="shared" si="14"/>
        <v>2</v>
      </c>
      <c r="AT24" s="12">
        <f t="shared" si="15"/>
        <v>5</v>
      </c>
      <c r="AU24" s="12">
        <f t="shared" si="16"/>
        <v>5</v>
      </c>
      <c r="AV24" s="12">
        <f t="shared" si="17"/>
        <v>2</v>
      </c>
      <c r="AW24" s="13" t="str">
        <f t="shared" si="18"/>
        <v>P2019</v>
      </c>
      <c r="AX24" s="23" t="str">
        <f t="shared" si="19"/>
        <v>SR05ID01FST01:RSCN:D1_INDR_REQ</v>
      </c>
    </row>
    <row r="25" spans="2:50" ht="14.25" customHeight="1" x14ac:dyDescent="0.25">
      <c r="B25" s="24" t="str">
        <f t="shared" si="0"/>
        <v>.</v>
      </c>
      <c r="C25" s="32" t="str">
        <f t="shared" si="23"/>
        <v>#define</v>
      </c>
      <c r="D25" s="31"/>
      <c r="E25" s="25" t="s">
        <v>579</v>
      </c>
      <c r="F25" s="10" t="s">
        <v>604</v>
      </c>
      <c r="G25" s="10" t="s">
        <v>86</v>
      </c>
      <c r="H25" s="10"/>
      <c r="I25" s="11" t="s">
        <v>534</v>
      </c>
      <c r="J25" s="10" t="s">
        <v>37</v>
      </c>
      <c r="K25" s="10"/>
      <c r="L25" s="10">
        <v>0</v>
      </c>
      <c r="M25" s="10">
        <v>10</v>
      </c>
      <c r="N25" s="10"/>
      <c r="O25" s="16"/>
      <c r="P25" s="52" t="s">
        <v>37</v>
      </c>
      <c r="Q25" s="52"/>
      <c r="R25" s="52"/>
      <c r="S25" s="52" t="s">
        <v>39</v>
      </c>
      <c r="T25" s="52"/>
      <c r="U25" s="52" t="s">
        <v>37</v>
      </c>
      <c r="V25" s="52"/>
      <c r="W25" s="61"/>
      <c r="X25" s="61">
        <v>8</v>
      </c>
      <c r="Y25" s="33" t="s">
        <v>569</v>
      </c>
      <c r="Z25" s="33" t="s">
        <v>569</v>
      </c>
      <c r="AB25" s="58" t="str">
        <f t="shared" si="1"/>
        <v>epics</v>
      </c>
      <c r="AC25" s="55" t="str">
        <f t="shared" si="2"/>
        <v>map</v>
      </c>
      <c r="AD25" s="29" t="str">
        <f t="shared" si="3"/>
        <v>:</v>
      </c>
      <c r="AE25" s="27" t="str">
        <f t="shared" si="4"/>
        <v>:RSCN:D1_INDST</v>
      </c>
      <c r="AF25" s="29" t="str">
        <f t="shared" si="5"/>
        <v/>
      </c>
      <c r="AG25" s="27" t="str">
        <f t="shared" si="6"/>
        <v>d1IndSt</v>
      </c>
      <c r="AH25" s="27" t="str">
        <f t="shared" si="7"/>
        <v>$(P):RSCN:ST_INPROG</v>
      </c>
      <c r="AI25" s="27" t="str">
        <f t="shared" si="8"/>
        <v>$(P):RSCN:ST_INPROG</v>
      </c>
      <c r="AJ25" s="27"/>
      <c r="AK25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5" s="27" t="str">
        <f t="shared" si="10"/>
        <v>_x000D_
# PVs mapping to P2016_x000D_
record(ao, "$(P):RSCN:D1_INDST") {_x000D_
  field(DESC, "Device indentation live switch")_x000D_
  field(OUT, "$(P):RSCN:D1_INDST:SET PP MS")_x000D_
  field(PINI, "NO")_x000D_
  field(EGU, "")_x000D_
  field(PREC, "")  _x000D_
}_x000D_
record(ai, "$(P):RSCN:D1_INDST:RBV") {_x000D_
  field(DESC, "Device indentation live switch readback")_x000D_
  field(DTYP, "stream")_x000D_
  field(FLNK, "$(P):RSCN:D1_INDST:SYN")_x000D_
  field(INP, "@pmac.proto getVar(P2016) $(PORT)")_x000D_
  field(SDIS, "$(P):RSCN:ST_INPROG CP MS")_x000D_
  field(DISV, "0")_x000D_
  field(PINI, "NO")_x000D_
  field(DISS, "INVALID")_x000D_
  field(EGU, "")_x000D_
  field(PREC, "")  _x000D_
}_x000D_
record(ao, "$(P):RSCN:D1_INDST:SET") {_x000D_
  field(DTYP, "stream")_x000D_
  field(SDIS, "$(P):RSCN:D1_INDST:ROL PP MS")_x000D_
  field(OUT, "@pmac.proto setVar(P2016) $(PORT)")_x000D_
  field(PINI, "NO")_x000D_
  field(DISS, "INVALID")_x000D_
}_x000D_
record(calc, "$(P):RSCN:D1_INDST:ROL") {_x000D_
  field(CALC, "(!B) || A")_x000D_
  field(INPA, "$(P):RSCN:D1_INDST:SYN.PACT")_x000D_
  field(INPB, "$(P):RSCN:ST_INPROG NPP MS")_x000D_
  field(PINI, "NO")_x000D_
}_x000D_
record(calcout, "$(P):RSCN:D1_INDST:SYN") {_x000D_
  field(INPA, "$(P):RSCN:D1_INDST:RBV PP")_x000D_
  field(INPB, "$(P):RSCN:ST_INPROG NPP MS")_x000D_
  field(INPC, "$(P):RSCN:ST_INPROG NPP MS")_x000D_
  field(CALC, "A")_x000D_
  field(OUT, "$(P):RSCN:D1_INDST PP MS")_x000D_
  field(PINI, "NO")_x000D_
}_x000D_
#--------------------</v>
      </c>
      <c r="AM25" s="27" t="str">
        <f t="shared" si="20"/>
        <v/>
      </c>
      <c r="AN25" s="27" t="str">
        <f t="shared" si="21"/>
        <v xml:space="preserve">&lt;item row="8" column="0"&gt;
         &lt;widget class="QLabel" name="L_d1_IndSt"&gt;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&lt;string&gt;d1_IndSt&lt;/string&gt;
          &lt;/property&gt;
          &lt;property name="margin"&gt;
           &lt;number&gt;3&lt;/number&gt;
          &lt;/property&gt;
         &lt;/widget&gt;
        &lt;/item&gt;
&lt;item row="8" column="1"&gt;
         &lt;widget class="QELabel" name="QL_d1_IndSt"&gt;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&lt;string&gt;$(P)$(R):RSCN:D1_INDST&lt;/string&gt;
          &lt;/property&gt;
         &lt;/widget&gt;
   &lt;/item&gt;
</v>
      </c>
      <c r="AO25" s="27" t="e">
        <f t="shared" si="11"/>
        <v>#N/A</v>
      </c>
      <c r="AP25" s="27" t="str">
        <f t="shared" si="12"/>
        <v xml:space="preserve">SR05ID01FST01:RSCN:D1_INDST = </v>
      </c>
      <c r="AQ25" s="27" t="str">
        <f t="shared" si="22"/>
        <v xml:space="preserve">;Device indentation live switch[]epics(map)
#define	d1IndSt	P2016	</v>
      </c>
      <c r="AR25" s="27" t="str">
        <f t="shared" si="13"/>
        <v/>
      </c>
      <c r="AS25" s="12">
        <f t="shared" si="14"/>
        <v>5</v>
      </c>
      <c r="AT25" s="12">
        <f t="shared" si="15"/>
        <v>5</v>
      </c>
      <c r="AU25" s="12">
        <f t="shared" si="16"/>
        <v>5</v>
      </c>
      <c r="AV25" s="12">
        <f t="shared" si="17"/>
        <v>1</v>
      </c>
      <c r="AW25" s="13" t="str">
        <f t="shared" si="18"/>
        <v>P2016</v>
      </c>
      <c r="AX25" s="23" t="str">
        <f t="shared" si="19"/>
        <v>SR05ID01FST01:RSCN:D1_INDST</v>
      </c>
    </row>
    <row r="26" spans="2:50" ht="15.75" customHeight="1" x14ac:dyDescent="0.25">
      <c r="B26" s="24" t="str">
        <f t="shared" si="0"/>
        <v>.</v>
      </c>
      <c r="C26" s="32" t="str">
        <f t="shared" si="23"/>
        <v>#define</v>
      </c>
      <c r="D26" s="31" t="s">
        <v>471</v>
      </c>
      <c r="E26" s="25" t="s">
        <v>471</v>
      </c>
      <c r="F26" s="10" t="s">
        <v>392</v>
      </c>
      <c r="G26" s="10" t="s">
        <v>86</v>
      </c>
      <c r="H26" s="10"/>
      <c r="I26" s="11" t="s">
        <v>546</v>
      </c>
      <c r="J26" s="10" t="s">
        <v>39</v>
      </c>
      <c r="K26" s="10" t="s">
        <v>564</v>
      </c>
      <c r="L26" s="10">
        <v>-9999999</v>
      </c>
      <c r="M26" s="10">
        <v>9999999</v>
      </c>
      <c r="N26" s="10">
        <v>5</v>
      </c>
      <c r="O26" s="16"/>
      <c r="P26" s="52" t="s">
        <v>563</v>
      </c>
      <c r="Q26" s="52"/>
      <c r="R26" s="52" t="s">
        <v>39</v>
      </c>
      <c r="S26" s="52"/>
      <c r="T26" s="52"/>
      <c r="U26" s="52"/>
      <c r="V26" s="52"/>
      <c r="W26" s="61">
        <v>23</v>
      </c>
      <c r="X26" s="61"/>
      <c r="Y26" s="33" t="s">
        <v>570</v>
      </c>
      <c r="Z26" s="33" t="s">
        <v>368</v>
      </c>
      <c r="AA26" s="33">
        <v>30</v>
      </c>
      <c r="AB26" s="58" t="str">
        <f t="shared" si="1"/>
        <v>epics</v>
      </c>
      <c r="AC26" s="55" t="str">
        <f t="shared" si="2"/>
        <v>map</v>
      </c>
      <c r="AD26" s="29" t="str">
        <f t="shared" si="3"/>
        <v>:D1_OUT</v>
      </c>
      <c r="AE26" s="27" t="str">
        <f t="shared" si="4"/>
        <v>:RSCN:D1_OUT</v>
      </c>
      <c r="AF26" s="29" t="str">
        <f t="shared" si="5"/>
        <v>d1Out</v>
      </c>
      <c r="AG26" s="27" t="str">
        <f t="shared" si="6"/>
        <v>d1Out</v>
      </c>
      <c r="AH26" s="27" t="str">
        <f t="shared" si="7"/>
        <v>$(P):RSCN:ST_MONITOR</v>
      </c>
      <c r="AI26" s="27" t="str">
        <f t="shared" si="8"/>
        <v>$(P):RSCN:ST_NEVER</v>
      </c>
      <c r="AJ26" s="27"/>
      <c r="AK26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6" s="27" t="str">
        <f t="shared" si="10"/>
        <v>_x000D_
# PVs mapping to P2045_x000D_
record(ao, "$(P):RSCN:D1_OUT") {_x000D_
  field(DESC, "Fly axis outer-skip band")_x000D_
  field(OUT, "$(P):RSCN:D1_OUT:SET PP MS")_x000D_
  field(PINI, "NO")_x000D_
  field(EGU, "EGU")_x000D_
  field(PREC, "5")  _x000D_
}_x000D_
record(ai, "$(P):RSCN:D1_OUT:RBV") {_x000D_
  field(DESC, "Fly axis outer-skip band readback")_x000D_
  field(DTYP, "stream")_x000D_
  field(FLNK, "$(P):RSCN:D1_OUT:SYN")_x000D_
  field(INP, "@pmac.proto getVar(P2045) $(PORT)")_x000D_
  field(SDIS, "$(P):RSCN:ST_MONITOR CP MS")_x000D_
  field(DISV, "0")_x000D_
  field(PINI, "NO")_x000D_
  field(DISS, "INVALID")_x000D_
  field(EGU, "EGU")_x000D_
  field(PREC, "5")  _x000D_
}_x000D_
record(ao, "$(P):RSCN:D1_OUT:SET") {_x000D_
  field(DTYP, "stream")_x000D_
  field(SDIS, "$(P):RSCN:D1_OUT:ROL PP MS")_x000D_
  field(OUT, "@pmac.proto setVar(P2045) $(PORT)")_x000D_
  field(PINI, "NO")_x000D_
  field(DISS, "INVALID")_x000D_
}_x000D_
record(calc, "$(P):RSCN:D1_OUT:ROL") {_x000D_
  field(CALC, "(!B) || A")_x000D_
  field(INPA, "$(P):RSCN:D1_OUT:SYN.PACT")_x000D_
  field(INPB, "$(P):RSCN:ST_NEVER NPP MS")_x000D_
  field(PINI, "NO")_x000D_
}_x000D_
record(calcout, "$(P):RSCN:D1_OUT:SYN") {_x000D_
  field(INPA, "$(P):RSCN:D1_OUT:RBV PP")_x000D_
  field(INPB, "$(P):RSCN:ST_MONITOR NPP MS")_x000D_
  field(INPC, "$(P):RSCN:ST_NEVER NPP MS")_x000D_
  field(CALC, "A")_x000D_
  field(OUT, "$(P):RSCN:D1_OUT PP MS")_x000D_
  field(PINI, "NO")_x000D_
}_x000D_
#--------------------</v>
      </c>
      <c r="AM26" s="27" t="str">
        <f t="shared" si="20"/>
        <v xml:space="preserve">&lt;item row="23" column="0"&gt;
         &lt;widget class="QLabel" name="L_d1_Out"&gt;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&lt;string&gt;d1_Out&lt;/string&gt;
          &lt;/property&gt;
          &lt;property name="margin"&gt;
           &lt;number&gt;3&lt;/number&gt;
          &lt;/property&gt;
         &lt;/widget&gt;
        &lt;/item&gt;
&lt;item row="23" column="1"&gt;
         &lt;widget class="QELabel" name="QL_d1_Out"&gt;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&lt;string&gt;$(P)$(R):RSCN:D1_OUT&lt;/string&gt;
          &lt;/property&gt;
         &lt;/widget&gt;
   &lt;/item&gt;
</v>
      </c>
      <c r="AN26" s="27" t="str">
        <f t="shared" si="21"/>
        <v/>
      </c>
      <c r="AO26" s="27" t="e">
        <f t="shared" si="11"/>
        <v>#N/A</v>
      </c>
      <c r="AP26" s="27" t="str">
        <f t="shared" si="12"/>
        <v xml:space="preserve">SR05ID01FST01:RSCN:D1_OUT = </v>
      </c>
      <c r="AQ26" s="27" t="str">
        <f t="shared" si="22"/>
        <v xml:space="preserve">;Fly axis outer-skip band[EGU]epics(map)
#define	d1Out	P2045	</v>
      </c>
      <c r="AR26" s="27" t="str">
        <f t="shared" si="13"/>
        <v xml:space="preserve">      &lt;channel&gt;
         &lt;name&gt;SR05ID01FST01:RSCN:D1_OUT&lt;/name&gt;
         &lt;period&gt;30&lt;/period&gt;
         &lt;monitor/&gt;
      &lt;/channel&gt;</v>
      </c>
      <c r="AS26" s="12">
        <f t="shared" si="14"/>
        <v>7</v>
      </c>
      <c r="AT26" s="12">
        <f t="shared" si="15"/>
        <v>4</v>
      </c>
      <c r="AU26" s="12">
        <f t="shared" si="16"/>
        <v>6</v>
      </c>
      <c r="AV26" s="12">
        <f t="shared" si="17"/>
        <v>7</v>
      </c>
      <c r="AW26" s="13" t="str">
        <f t="shared" si="18"/>
        <v>P2045</v>
      </c>
      <c r="AX26" s="23" t="str">
        <f t="shared" si="19"/>
        <v>SR05ID01FST01:RSCN:D1_OUT</v>
      </c>
    </row>
    <row r="27" spans="2:50" ht="15.75" customHeight="1" x14ac:dyDescent="0.25">
      <c r="B27" s="24" t="str">
        <f t="shared" si="0"/>
        <v>.</v>
      </c>
      <c r="C27" s="32" t="str">
        <f t="shared" si="23"/>
        <v>#define</v>
      </c>
      <c r="D27" s="31" t="s">
        <v>453</v>
      </c>
      <c r="E27" s="25" t="s">
        <v>453</v>
      </c>
      <c r="F27" s="10" t="s">
        <v>374</v>
      </c>
      <c r="G27" s="10" t="s">
        <v>86</v>
      </c>
      <c r="H27" s="10"/>
      <c r="I27" s="11" t="s">
        <v>536</v>
      </c>
      <c r="J27" s="10" t="s">
        <v>561</v>
      </c>
      <c r="K27" s="10" t="s">
        <v>564</v>
      </c>
      <c r="L27" s="10">
        <v>-9999999</v>
      </c>
      <c r="M27" s="10">
        <v>9999999</v>
      </c>
      <c r="N27" s="10">
        <v>5</v>
      </c>
      <c r="O27" s="16"/>
      <c r="P27" s="52" t="s">
        <v>39</v>
      </c>
      <c r="Q27" s="52"/>
      <c r="R27" s="52" t="s">
        <v>563</v>
      </c>
      <c r="S27" s="52"/>
      <c r="T27" s="52"/>
      <c r="U27" s="52"/>
      <c r="V27" s="52"/>
      <c r="W27" s="61">
        <v>24</v>
      </c>
      <c r="X27" s="61"/>
      <c r="Y27" s="33" t="s">
        <v>570</v>
      </c>
      <c r="Z27" s="33" t="s">
        <v>571</v>
      </c>
      <c r="AA27" s="33">
        <v>30</v>
      </c>
      <c r="AB27" s="58" t="str">
        <f t="shared" si="1"/>
        <v>epics</v>
      </c>
      <c r="AC27" s="55" t="str">
        <f t="shared" si="2"/>
        <v>map</v>
      </c>
      <c r="AD27" s="29" t="str">
        <f t="shared" si="3"/>
        <v>:D1_SPAN</v>
      </c>
      <c r="AE27" s="27" t="str">
        <f t="shared" si="4"/>
        <v>:RSCN:D1_SPAN</v>
      </c>
      <c r="AF27" s="29" t="str">
        <f t="shared" si="5"/>
        <v>d1Span</v>
      </c>
      <c r="AG27" s="27" t="str">
        <f t="shared" si="6"/>
        <v>d1Span</v>
      </c>
      <c r="AH27" s="27" t="str">
        <f t="shared" si="7"/>
        <v>$(P):RSCN:ST_MONITOR</v>
      </c>
      <c r="AI27" s="27" t="str">
        <f t="shared" si="8"/>
        <v>$(P):RSCN:ST_TRAJSET</v>
      </c>
      <c r="AJ27" s="27"/>
      <c r="AK27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7" s="27" t="str">
        <f t="shared" si="10"/>
        <v>_x000D_
# PVs mapping to P2001_x000D_
record(ao, "$(P):RSCN:D1_SPAN") {_x000D_
  field(DESC, "Fly axis span (span)")_x000D_
  field(OUT, "$(P):RSCN:D1_SPAN:SET PP MS")_x000D_
  field(PINI, "NO")_x000D_
  field(EGU, "EGU")_x000D_
  field(PREC, "5")  _x000D_
}_x000D_
record(ai, "$(P):RSCN:D1_SPAN:RBV") {_x000D_
  field(DESC, "Fly axis span (span) readback")_x000D_
  field(DTYP, "stream")_x000D_
  field(FLNK, "$(P):RSCN:D1_SPAN:SYN")_x000D_
  field(INP, "@pmac.proto getVar(P2001) $(PORT)")_x000D_
  field(SDIS, "$(P):RSCN:ST_MONITOR CP MS")_x000D_
  field(DISV, "0")_x000D_
  field(PINI, "NO")_x000D_
  field(DISS, "INVALID")_x000D_
  field(EGU, "EGU")_x000D_
  field(PREC, "5")  _x000D_
}_x000D_
record(ao, "$(P):RSCN:D1_SPAN:SET") {_x000D_
  field(DTYP, "stream")_x000D_
  field(SDIS, "$(P):RSCN:D1_SPAN:ROL PP MS")_x000D_
  field(OUT, "@pmac.proto setVar(P2001) $(PORT)")_x000D_
  field(PINI, "NO")_x000D_
  field(DISS, "INVALID")_x000D_
}_x000D_
record(calc, "$(P):RSCN:D1_SPAN:ROL") {_x000D_
  field(CALC, "(!B) || A")_x000D_
  field(INPA, "$(P):RSCN:D1_SPAN:SYN.PACT")_x000D_
  field(INPB, "$(P):RSCN:ST_TRAJSET NPP MS")_x000D_
  field(PINI, "NO")_x000D_
}_x000D_
record(calcout, "$(P):RSCN:D1_SPAN:SYN") {_x000D_
  field(INPA, "$(P):RSCN:D1_SPAN:RBV PP")_x000D_
  field(INPB, "$(P):RSCN:ST_MONITOR NPP MS")_x000D_
  field(INPC, "$(P):RSCN:ST_TRAJSET NPP MS")_x000D_
  field(CALC, "A")_x000D_
  field(OUT, "$(P):RSCN:D1_SPAN PP MS")_x000D_
  field(PINI, "NO")_x000D_
}_x000D_
#--------------------</v>
      </c>
      <c r="AM27" s="27" t="str">
        <f t="shared" si="20"/>
        <v>&lt;item row="24" column="0"&gt;
         &lt;widget class="QLabel" name="L_d1_Span"&gt;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&lt;string&gt;d1_Span&lt;/string&gt;
          &lt;/property&gt;
          &lt;property name="margin"&gt;
           &lt;number&gt;3&lt;/number&gt;
          &lt;/property&gt;
         &lt;/widget&gt;
        &lt;/item&gt;
&lt;item row="24" column="2"&gt;
            &lt;widget class="QELineEdit" name="QLD_d1_Span"&gt;
             &lt;property name="variable" stdset="0"&gt;
              &lt;string&gt;$(P)$(R):RSCN:D1_SPAN&lt;/string&gt;
             &lt;/property&gt;
             &lt;property name="addUnits"&gt;
             &lt;bool&gt;true&lt;/bool&gt;
             &lt;/property&gt;
            &lt;/widget&gt;
           &lt;/item&gt;</v>
      </c>
      <c r="AN27" s="27" t="str">
        <f t="shared" si="21"/>
        <v/>
      </c>
      <c r="AO27" s="27" t="e">
        <f t="shared" si="11"/>
        <v>#N/A</v>
      </c>
      <c r="AP27" s="27" t="str">
        <f t="shared" si="12"/>
        <v xml:space="preserve">SR05ID01FST01:RSCN:D1_SPAN = </v>
      </c>
      <c r="AQ27" s="27" t="str">
        <f t="shared" si="22"/>
        <v xml:space="preserve">;Fly axis span (span)[EGU]epics(map)
#define	d1Span	P2001	</v>
      </c>
      <c r="AR27" s="27" t="str">
        <f t="shared" si="13"/>
        <v xml:space="preserve">      &lt;channel&gt;
         &lt;name&gt;SR05ID01FST01:RSCN:D1_SPAN&lt;/name&gt;
         &lt;period&gt;30&lt;/period&gt;
         &lt;monitor/&gt;
      &lt;/channel&gt;</v>
      </c>
      <c r="AS27" s="12">
        <f t="shared" si="14"/>
        <v>6</v>
      </c>
      <c r="AT27" s="12">
        <f t="shared" si="15"/>
        <v>4</v>
      </c>
      <c r="AU27" s="12">
        <f t="shared" si="16"/>
        <v>4</v>
      </c>
      <c r="AV27" s="12">
        <f t="shared" si="17"/>
        <v>11</v>
      </c>
      <c r="AW27" s="13" t="str">
        <f t="shared" si="18"/>
        <v>P2001</v>
      </c>
      <c r="AX27" s="23" t="str">
        <f t="shared" si="19"/>
        <v>SR05ID01FST01:RSCN:D1_SPAN</v>
      </c>
    </row>
    <row r="28" spans="2:50" ht="15.75" customHeight="1" x14ac:dyDescent="0.25">
      <c r="B28" s="24" t="str">
        <f t="shared" si="0"/>
        <v>.</v>
      </c>
      <c r="C28" s="32" t="str">
        <f t="shared" si="23"/>
        <v>#define</v>
      </c>
      <c r="D28" s="30" t="s">
        <v>490</v>
      </c>
      <c r="E28" s="23" t="s">
        <v>490</v>
      </c>
      <c r="F28" s="10" t="s">
        <v>412</v>
      </c>
      <c r="G28" s="10" t="s">
        <v>86</v>
      </c>
      <c r="H28" s="10"/>
      <c r="I28" s="11" t="s">
        <v>627</v>
      </c>
      <c r="J28" s="10" t="s">
        <v>39</v>
      </c>
      <c r="K28" s="10" t="s">
        <v>564</v>
      </c>
      <c r="L28" s="10">
        <v>-9999999</v>
      </c>
      <c r="M28" s="10">
        <v>9999999</v>
      </c>
      <c r="N28" s="10">
        <v>5</v>
      </c>
      <c r="O28" s="16"/>
      <c r="P28" s="52" t="s">
        <v>563</v>
      </c>
      <c r="Q28" s="52"/>
      <c r="R28" s="52"/>
      <c r="S28" s="52" t="s">
        <v>39</v>
      </c>
      <c r="T28" s="52"/>
      <c r="U28" s="52"/>
      <c r="V28" s="52"/>
      <c r="W28" s="61"/>
      <c r="X28" s="61">
        <v>9</v>
      </c>
      <c r="Y28" s="33" t="s">
        <v>570</v>
      </c>
      <c r="Z28" s="33" t="s">
        <v>368</v>
      </c>
      <c r="AA28" s="33">
        <v>30</v>
      </c>
      <c r="AB28" s="58" t="str">
        <f t="shared" si="1"/>
        <v>epics</v>
      </c>
      <c r="AC28" s="55" t="str">
        <f t="shared" si="2"/>
        <v>map</v>
      </c>
      <c r="AD28" s="29" t="str">
        <f t="shared" si="3"/>
        <v>:D2_EDGE</v>
      </c>
      <c r="AE28" s="27" t="str">
        <f t="shared" si="4"/>
        <v>:RSCN:D2_EDGE</v>
      </c>
      <c r="AF28" s="29" t="str">
        <f t="shared" si="5"/>
        <v>d2Edge</v>
      </c>
      <c r="AG28" s="27" t="str">
        <f t="shared" si="6"/>
        <v>d2Edge</v>
      </c>
      <c r="AH28" s="27" t="str">
        <f t="shared" si="7"/>
        <v>$(P):RSCN:ST_MONITOR</v>
      </c>
      <c r="AI28" s="27" t="str">
        <f t="shared" si="8"/>
        <v>$(P):RSCN:ST_NEVER</v>
      </c>
      <c r="AJ28" s="27"/>
      <c r="AK28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8" s="27" t="str">
        <f t="shared" si="10"/>
        <v>_x000D_
# PVs mapping to P2065_x000D_
record(ao, "$(P):RSCN:D2_EDGE") {_x000D_
  field(DESC, "Inc. axis Edge-skip distance")_x000D_
  field(OUT, "$(P):RSCN:D2_EDGE:SET PP MS")_x000D_
  field(PINI, "NO")_x000D_
  field(EGU, "EGU")_x000D_
  field(PREC, "5")  _x000D_
}_x000D_
record(ai, "$(P):RSCN:D2_EDGE:RBV") {_x000D_
  field(DESC, "Inc. axis Edge-skip distance readback")_x000D_
  field(DTYP, "stream")_x000D_
  field(FLNK, "$(P):RSCN:D2_EDGE:SYN")_x000D_
  field(INP, "@pmac.proto getVar(P2065) $(PORT)")_x000D_
  field(SDIS, "$(P):RSCN:ST_MONITOR CP MS")_x000D_
  field(DISV, "0")_x000D_
  field(PINI, "NO")_x000D_
  field(DISS, "INVALID")_x000D_
  field(EGU, "EGU")_x000D_
  field(PREC, "5")  _x000D_
}_x000D_
record(ao, "$(P):RSCN:D2_EDGE:SET") {_x000D_
  field(DTYP, "stream")_x000D_
  field(SDIS, "$(P):RSCN:D2_EDGE:ROL PP MS")_x000D_
  field(OUT, "@pmac.proto setVar(P2065) $(PORT)")_x000D_
  field(PINI, "NO")_x000D_
  field(DISS, "INVALID")_x000D_
}_x000D_
record(calc, "$(P):RSCN:D2_EDGE:ROL") {_x000D_
  field(CALC, "(!B) || A")_x000D_
  field(INPA, "$(P):RSCN:D2_EDGE:SYN.PACT")_x000D_
  field(INPB, "$(P):RSCN:ST_NEVER NPP MS")_x000D_
  field(PINI, "NO")_x000D_
}_x000D_
record(calcout, "$(P):RSCN:D2_EDGE:SYN") {_x000D_
  field(INPA, "$(P):RSCN:D2_EDGE:RBV PP")_x000D_
  field(INPB, "$(P):RSCN:ST_MONITOR NPP MS")_x000D_
  field(INPC, "$(P):RSCN:ST_NEVER NPP MS")_x000D_
  field(CALC, "A")_x000D_
  field(OUT, "$(P):RSCN:D2_EDGE PP MS")_x000D_
  field(PINI, "NO")_x000D_
}_x000D_
#--------------------</v>
      </c>
      <c r="AM28" s="27" t="str">
        <f t="shared" si="20"/>
        <v/>
      </c>
      <c r="AN28" s="27" t="str">
        <f t="shared" si="21"/>
        <v xml:space="preserve">&lt;item row="9" column="0"&gt;
         &lt;widget class="QLabel" name="L_d2_Edge"&gt;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&lt;string&gt;d2_Edge&lt;/string&gt;
          &lt;/property&gt;
          &lt;property name="margin"&gt;
           &lt;number&gt;3&lt;/number&gt;
          &lt;/property&gt;
         &lt;/widget&gt;
        &lt;/item&gt;
&lt;item row="9" column="1"&gt;
         &lt;widget class="QELabel" name="QL_d2_Edge"&gt;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&lt;string&gt;$(P)$(R):RSCN:D2_EDGE&lt;/string&gt;
          &lt;/property&gt;
         &lt;/widget&gt;
   &lt;/item&gt;
</v>
      </c>
      <c r="AO28" s="27" t="e">
        <f t="shared" si="11"/>
        <v>#N/A</v>
      </c>
      <c r="AP28" s="27" t="str">
        <f t="shared" si="12"/>
        <v xml:space="preserve">SR05ID01FST01:RSCN:D2_EDGE = </v>
      </c>
      <c r="AQ28" s="27" t="str">
        <f t="shared" si="22"/>
        <v xml:space="preserve">;Inc. axis Edge-skip distance[EGU]epics(map)
#define	d2Edge	P2065	</v>
      </c>
      <c r="AR28" s="27" t="str">
        <f t="shared" si="13"/>
        <v xml:space="preserve">      &lt;channel&gt;
         &lt;name&gt;SR05ID01FST01:RSCN:D2_EDGE&lt;/name&gt;
         &lt;period&gt;30&lt;/period&gt;
         &lt;monitor/&gt;
      &lt;/channel&gt;</v>
      </c>
      <c r="AS28" s="12">
        <f t="shared" si="14"/>
        <v>6</v>
      </c>
      <c r="AT28" s="12">
        <f t="shared" si="15"/>
        <v>4</v>
      </c>
      <c r="AU28" s="12">
        <f t="shared" si="16"/>
        <v>6</v>
      </c>
      <c r="AV28" s="12">
        <f t="shared" si="17"/>
        <v>3</v>
      </c>
      <c r="AW28" s="13" t="str">
        <f t="shared" si="18"/>
        <v>P2065</v>
      </c>
      <c r="AX28" s="23" t="str">
        <f t="shared" si="19"/>
        <v>SR05ID01FST01:RSCN:D2_EDGE</v>
      </c>
    </row>
    <row r="29" spans="2:50" ht="15.75" customHeight="1" x14ac:dyDescent="0.25">
      <c r="B29" s="24" t="str">
        <f t="shared" si="0"/>
        <v>.</v>
      </c>
      <c r="C29" s="32" t="str">
        <f t="shared" si="23"/>
        <v>#define</v>
      </c>
      <c r="D29" s="30" t="s">
        <v>479</v>
      </c>
      <c r="E29" s="23" t="s">
        <v>479</v>
      </c>
      <c r="F29" s="10" t="s">
        <v>400</v>
      </c>
      <c r="G29" s="10" t="s">
        <v>86</v>
      </c>
      <c r="H29" s="10"/>
      <c r="I29" s="11" t="s">
        <v>642</v>
      </c>
      <c r="J29" s="10" t="s">
        <v>39</v>
      </c>
      <c r="K29" s="10" t="s">
        <v>564</v>
      </c>
      <c r="L29" s="10">
        <v>-9999999</v>
      </c>
      <c r="M29" s="10">
        <v>9999999</v>
      </c>
      <c r="N29" s="10">
        <v>5</v>
      </c>
      <c r="O29" s="16"/>
      <c r="P29" s="52" t="s">
        <v>563</v>
      </c>
      <c r="Q29" s="52"/>
      <c r="R29" s="52"/>
      <c r="S29" s="52" t="s">
        <v>39</v>
      </c>
      <c r="T29" s="52"/>
      <c r="U29" s="52"/>
      <c r="V29" s="52"/>
      <c r="W29" s="61"/>
      <c r="X29" s="61">
        <v>10</v>
      </c>
      <c r="Y29" s="33" t="s">
        <v>570</v>
      </c>
      <c r="Z29" s="33" t="s">
        <v>368</v>
      </c>
      <c r="AA29" s="33">
        <v>30</v>
      </c>
      <c r="AB29" s="58" t="str">
        <f t="shared" si="1"/>
        <v>epics</v>
      </c>
      <c r="AC29" s="55" t="str">
        <f t="shared" si="2"/>
        <v>map</v>
      </c>
      <c r="AD29" s="29" t="str">
        <f t="shared" si="3"/>
        <v>:D2_IN</v>
      </c>
      <c r="AE29" s="27" t="str">
        <f t="shared" si="4"/>
        <v>:RSCN:D2_IN</v>
      </c>
      <c r="AF29" s="29" t="str">
        <f t="shared" si="5"/>
        <v>d2In</v>
      </c>
      <c r="AG29" s="27" t="str">
        <f t="shared" si="6"/>
        <v>d2In</v>
      </c>
      <c r="AH29" s="27" t="str">
        <f t="shared" si="7"/>
        <v>$(P):RSCN:ST_MONITOR</v>
      </c>
      <c r="AI29" s="27" t="str">
        <f t="shared" si="8"/>
        <v>$(P):RSCN:ST_NEVER</v>
      </c>
      <c r="AJ29" s="27"/>
      <c r="AK29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29" s="27" t="str">
        <f t="shared" si="10"/>
        <v>_x000D_
# PVs mapping to P2053_x000D_
record(ao, "$(P):RSCN:D2_IN") {_x000D_
  field(DESC, "Inc. axis inner-skip distance")_x000D_
  field(OUT, "$(P):RSCN:D2_IN:SET PP MS")_x000D_
  field(PINI, "NO")_x000D_
  field(EGU, "EGU")_x000D_
  field(PREC, "5")  _x000D_
}_x000D_
record(ai, "$(P):RSCN:D2_IN:RBV") {_x000D_
  field(DESC, "Inc. axis inner-skip distance readback")_x000D_
  field(DTYP, "stream")_x000D_
  field(FLNK, "$(P):RSCN:D2_IN:SYN")_x000D_
  field(INP, "@pmac.proto getVar(P2053) $(PORT)")_x000D_
  field(SDIS, "$(P):RSCN:ST_MONITOR CP MS")_x000D_
  field(DISV, "0")_x000D_
  field(PINI, "NO")_x000D_
  field(DISS, "INVALID")_x000D_
  field(EGU, "EGU")_x000D_
  field(PREC, "5")  _x000D_
}_x000D_
record(ao, "$(P):RSCN:D2_IN:SET") {_x000D_
  field(DTYP, "stream")_x000D_
  field(SDIS, "$(P):RSCN:D2_IN:ROL PP MS")_x000D_
  field(OUT, "@pmac.proto setVar(P2053) $(PORT)")_x000D_
  field(PINI, "NO")_x000D_
  field(DISS, "INVALID")_x000D_
}_x000D_
record(calc, "$(P):RSCN:D2_IN:ROL") {_x000D_
  field(CALC, "(!B) || A")_x000D_
  field(INPA, "$(P):RSCN:D2_IN:SYN.PACT")_x000D_
  field(INPB, "$(P):RSCN:ST_NEVER NPP MS")_x000D_
  field(PINI, "NO")_x000D_
}_x000D_
record(calcout, "$(P):RSCN:D2_IN:SYN") {_x000D_
  field(INPA, "$(P):RSCN:D2_IN:RBV PP")_x000D_
  field(INPB, "$(P):RSCN:ST_MONITOR NPP MS")_x000D_
  field(INPC, "$(P):RSCN:ST_NEVER NPP MS")_x000D_
  field(CALC, "A")_x000D_
  field(OUT, "$(P):RSCN:D2_IN PP MS")_x000D_
  field(PINI, "NO")_x000D_
}_x000D_
#--------------------</v>
      </c>
      <c r="AM29" s="27" t="str">
        <f t="shared" si="20"/>
        <v/>
      </c>
      <c r="AN29" s="27" t="str">
        <f t="shared" si="21"/>
        <v xml:space="preserve">&lt;item row="10" column="0"&gt;
         &lt;widget class="QLabel" name="L_d2_In"&gt;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&lt;string&gt;d2_In&lt;/string&gt;
          &lt;/property&gt;
          &lt;property name="margin"&gt;
           &lt;number&gt;3&lt;/number&gt;
          &lt;/property&gt;
         &lt;/widget&gt;
        &lt;/item&gt;
&lt;item row="10" column="1"&gt;
         &lt;widget class="QELabel" name="QL_d2_In"&gt;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&lt;string&gt;$(P)$(R):RSCN:D2_IN&lt;/string&gt;
          &lt;/property&gt;
         &lt;/widget&gt;
   &lt;/item&gt;
</v>
      </c>
      <c r="AO29" s="27" t="e">
        <f t="shared" si="11"/>
        <v>#N/A</v>
      </c>
      <c r="AP29" s="27" t="str">
        <f t="shared" si="12"/>
        <v xml:space="preserve">SR05ID01FST01:RSCN:D2_IN = </v>
      </c>
      <c r="AQ29" s="27" t="str">
        <f t="shared" si="22"/>
        <v xml:space="preserve">;Inc. axis inner-skip distance[EGU]epics(map)
#define	d2In	P2053	</v>
      </c>
      <c r="AR29" s="27" t="str">
        <f t="shared" si="13"/>
        <v xml:space="preserve">      &lt;channel&gt;
         &lt;name&gt;SR05ID01FST01:RSCN:D2_IN&lt;/name&gt;
         &lt;period&gt;30&lt;/period&gt;
         &lt;monitor/&gt;
      &lt;/channel&gt;</v>
      </c>
      <c r="AS29" s="12">
        <f t="shared" si="14"/>
        <v>8</v>
      </c>
      <c r="AT29" s="12">
        <f t="shared" si="15"/>
        <v>4</v>
      </c>
      <c r="AU29" s="12">
        <f t="shared" si="16"/>
        <v>6</v>
      </c>
      <c r="AV29" s="12">
        <f t="shared" si="17"/>
        <v>2</v>
      </c>
      <c r="AW29" s="13" t="str">
        <f t="shared" si="18"/>
        <v>P2053</v>
      </c>
      <c r="AX29" s="23" t="str">
        <f t="shared" si="19"/>
        <v>SR05ID01FST01:RSCN:D2_IN</v>
      </c>
    </row>
    <row r="30" spans="2:50" ht="15.75" customHeight="1" x14ac:dyDescent="0.25">
      <c r="B30" s="24" t="str">
        <f t="shared" si="0"/>
        <v>.</v>
      </c>
      <c r="C30" s="32" t="str">
        <f t="shared" si="23"/>
        <v>#define</v>
      </c>
      <c r="D30" s="31" t="s">
        <v>480</v>
      </c>
      <c r="E30" s="25" t="s">
        <v>480</v>
      </c>
      <c r="F30" s="10" t="s">
        <v>401</v>
      </c>
      <c r="G30" s="10" t="s">
        <v>86</v>
      </c>
      <c r="H30" s="10"/>
      <c r="I30" s="11" t="s">
        <v>628</v>
      </c>
      <c r="J30" s="10" t="s">
        <v>39</v>
      </c>
      <c r="K30" s="10" t="s">
        <v>564</v>
      </c>
      <c r="L30" s="10">
        <v>-9999999</v>
      </c>
      <c r="M30" s="10">
        <v>9999999</v>
      </c>
      <c r="N30" s="10">
        <v>5</v>
      </c>
      <c r="O30" s="16"/>
      <c r="P30" s="52" t="s">
        <v>563</v>
      </c>
      <c r="Q30" s="52"/>
      <c r="R30" s="52"/>
      <c r="S30" s="52" t="s">
        <v>39</v>
      </c>
      <c r="T30" s="52"/>
      <c r="U30" s="52"/>
      <c r="V30" s="52"/>
      <c r="W30" s="61"/>
      <c r="X30" s="61">
        <v>11</v>
      </c>
      <c r="Y30" s="33" t="s">
        <v>570</v>
      </c>
      <c r="Z30" s="33" t="s">
        <v>368</v>
      </c>
      <c r="AA30" s="33">
        <v>30</v>
      </c>
      <c r="AB30" s="58" t="str">
        <f t="shared" si="1"/>
        <v>epics</v>
      </c>
      <c r="AC30" s="55" t="str">
        <f t="shared" si="2"/>
        <v>map</v>
      </c>
      <c r="AD30" s="29" t="str">
        <f t="shared" si="3"/>
        <v>:D2_OUT</v>
      </c>
      <c r="AE30" s="27" t="str">
        <f t="shared" si="4"/>
        <v>:RSCN:D2_OUT</v>
      </c>
      <c r="AF30" s="29" t="str">
        <f t="shared" si="5"/>
        <v>d2Out</v>
      </c>
      <c r="AG30" s="27" t="str">
        <f t="shared" si="6"/>
        <v>d2Out</v>
      </c>
      <c r="AH30" s="27" t="str">
        <f t="shared" si="7"/>
        <v>$(P):RSCN:ST_MONITOR</v>
      </c>
      <c r="AI30" s="27" t="str">
        <f t="shared" si="8"/>
        <v>$(P):RSCN:ST_NEVER</v>
      </c>
      <c r="AJ30" s="27"/>
      <c r="AK30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30" s="27" t="str">
        <f t="shared" si="10"/>
        <v>_x000D_
# PVs mapping to P2054_x000D_
record(ao, "$(P):RSCN:D2_OUT") {_x000D_
  field(DESC, "Inc. axis skip distance")_x000D_
  field(OUT, "$(P):RSCN:D2_OUT:SET PP MS")_x000D_
  field(PINI, "NO")_x000D_
  field(EGU, "EGU")_x000D_
  field(PREC, "5")  _x000D_
}_x000D_
record(ai, "$(P):RSCN:D2_OUT:RBV") {_x000D_
  field(DESC, "Inc. axis skip distance readback")_x000D_
  field(DTYP, "stream")_x000D_
  field(FLNK, "$(P):RSCN:D2_OUT:SYN")_x000D_
  field(INP, "@pmac.proto getVar(P2054) $(PORT)")_x000D_
  field(SDIS, "$(P):RSCN:ST_MONITOR CP MS")_x000D_
  field(DISV, "0")_x000D_
  field(PINI, "NO")_x000D_
  field(DISS, "INVALID")_x000D_
  field(EGU, "EGU")_x000D_
  field(PREC, "5")  _x000D_
}_x000D_
record(ao, "$(P):RSCN:D2_OUT:SET") {_x000D_
  field(DTYP, "stream")_x000D_
  field(SDIS, "$(P):RSCN:D2_OUT:ROL PP MS")_x000D_
  field(OUT, "@pmac.proto setVar(P2054) $(PORT)")_x000D_
  field(PINI, "NO")_x000D_
  field(DISS, "INVALID")_x000D_
}_x000D_
record(calc, "$(P):RSCN:D2_OUT:ROL") {_x000D_
  field(CALC, "(!B) || A")_x000D_
  field(INPA, "$(P):RSCN:D2_OUT:SYN.PACT")_x000D_
  field(INPB, "$(P):RSCN:ST_NEVER NPP MS")_x000D_
  field(PINI, "NO")_x000D_
}_x000D_
record(calcout, "$(P):RSCN:D2_OUT:SYN") {_x000D_
  field(INPA, "$(P):RSCN:D2_OUT:RBV PP")_x000D_
  field(INPB, "$(P):RSCN:ST_MONITOR NPP MS")_x000D_
  field(INPC, "$(P):RSCN:ST_NEVER NPP MS")_x000D_
  field(CALC, "A")_x000D_
  field(OUT, "$(P):RSCN:D2_OUT PP MS")_x000D_
  field(PINI, "NO")_x000D_
}_x000D_
#--------------------</v>
      </c>
      <c r="AM30" s="27" t="str">
        <f t="shared" si="20"/>
        <v/>
      </c>
      <c r="AN30" s="27" t="str">
        <f t="shared" si="21"/>
        <v xml:space="preserve">&lt;item row="11" column="0"&gt;
         &lt;widget class="QLabel" name="L_d2_Out"&gt;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&lt;string&gt;d2_Out&lt;/string&gt;
          &lt;/property&gt;
          &lt;property name="margin"&gt;
           &lt;number&gt;3&lt;/number&gt;
          &lt;/property&gt;
         &lt;/widget&gt;
        &lt;/item&gt;
&lt;item row="11" column="1"&gt;
         &lt;widget class="QELabel" name="QL_d2_Out"&gt;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&lt;string&gt;$(P)$(R):RSCN:D2_OUT&lt;/string&gt;
          &lt;/property&gt;
         &lt;/widget&gt;
   &lt;/item&gt;
</v>
      </c>
      <c r="AO30" s="27" t="e">
        <f t="shared" si="11"/>
        <v>#N/A</v>
      </c>
      <c r="AP30" s="27" t="str">
        <f t="shared" si="12"/>
        <v xml:space="preserve">SR05ID01FST01:RSCN:D2_OUT = </v>
      </c>
      <c r="AQ30" s="27" t="str">
        <f t="shared" si="22"/>
        <v xml:space="preserve">;Inc. axis skip distance[EGU]epics(map)
#define	d2Out	P2054	</v>
      </c>
      <c r="AR30" s="27" t="str">
        <f t="shared" si="13"/>
        <v xml:space="preserve">      &lt;channel&gt;
         &lt;name&gt;SR05ID01FST01:RSCN:D2_OUT&lt;/name&gt;
         &lt;period&gt;30&lt;/period&gt;
         &lt;monitor/&gt;
      &lt;/channel&gt;</v>
      </c>
      <c r="AS30" s="12">
        <f t="shared" si="14"/>
        <v>7</v>
      </c>
      <c r="AT30" s="12">
        <f t="shared" si="15"/>
        <v>4</v>
      </c>
      <c r="AU30" s="12">
        <f t="shared" si="16"/>
        <v>6</v>
      </c>
      <c r="AV30" s="12">
        <f t="shared" si="17"/>
        <v>8</v>
      </c>
      <c r="AW30" s="13" t="str">
        <f t="shared" si="18"/>
        <v>P2054</v>
      </c>
      <c r="AX30" s="23" t="str">
        <f t="shared" si="19"/>
        <v>SR05ID01FST01:RSCN:D2_OUT</v>
      </c>
    </row>
    <row r="31" spans="2:50" ht="15.75" customHeight="1" x14ac:dyDescent="0.25">
      <c r="B31" s="24" t="str">
        <f t="shared" si="0"/>
        <v>.</v>
      </c>
      <c r="C31" s="32" t="str">
        <f t="shared" si="23"/>
        <v>#define</v>
      </c>
      <c r="D31" s="31" t="s">
        <v>474</v>
      </c>
      <c r="E31" s="28" t="s">
        <v>474</v>
      </c>
      <c r="F31" s="10" t="s">
        <v>395</v>
      </c>
      <c r="G31" s="10" t="s">
        <v>86</v>
      </c>
      <c r="H31" s="10"/>
      <c r="I31" s="11" t="s">
        <v>629</v>
      </c>
      <c r="J31" s="10" t="s">
        <v>39</v>
      </c>
      <c r="K31" s="10" t="s">
        <v>564</v>
      </c>
      <c r="L31" s="10">
        <v>-9999999</v>
      </c>
      <c r="M31" s="10">
        <v>9999999</v>
      </c>
      <c r="N31" s="10">
        <v>5</v>
      </c>
      <c r="O31" s="16"/>
      <c r="P31" s="52" t="s">
        <v>563</v>
      </c>
      <c r="Q31" s="52"/>
      <c r="R31" s="52"/>
      <c r="S31" s="52" t="s">
        <v>39</v>
      </c>
      <c r="T31" s="52"/>
      <c r="U31" s="52"/>
      <c r="V31" s="52"/>
      <c r="W31" s="61"/>
      <c r="X31" s="61">
        <v>12</v>
      </c>
      <c r="Y31" s="33" t="s">
        <v>570</v>
      </c>
      <c r="Z31" s="33" t="s">
        <v>368</v>
      </c>
      <c r="AA31" s="33">
        <v>30</v>
      </c>
      <c r="AB31" s="58" t="str">
        <f t="shared" si="1"/>
        <v>epics</v>
      </c>
      <c r="AC31" s="55" t="str">
        <f t="shared" si="2"/>
        <v>map</v>
      </c>
      <c r="AD31" s="29" t="str">
        <f t="shared" si="3"/>
        <v>:D2_SPAN</v>
      </c>
      <c r="AE31" s="27" t="str">
        <f t="shared" si="4"/>
        <v>:RSCN:D2_SPAN</v>
      </c>
      <c r="AF31" s="29" t="str">
        <f t="shared" si="5"/>
        <v>d2Span</v>
      </c>
      <c r="AG31" s="27" t="str">
        <f t="shared" si="6"/>
        <v>d2Span</v>
      </c>
      <c r="AH31" s="27" t="str">
        <f t="shared" si="7"/>
        <v>$(P):RSCN:ST_MONITOR</v>
      </c>
      <c r="AI31" s="27" t="str">
        <f t="shared" si="8"/>
        <v>$(P):RSCN:ST_NEVER</v>
      </c>
      <c r="AJ31" s="27"/>
      <c r="AK31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31" s="27" t="str">
        <f t="shared" si="10"/>
        <v>_x000D_
# PVs mapping to P2048_x000D_
record(ao, "$(P):RSCN:D2_SPAN") {_x000D_
  field(DESC, "Inc. axis scan span (span)")_x000D_
  field(OUT, "$(P):RSCN:D2_SPAN:SET PP MS")_x000D_
  field(PINI, "NO")_x000D_
  field(EGU, "EGU")_x000D_
  field(PREC, "5")  _x000D_
}_x000D_
record(ai, "$(P):RSCN:D2_SPAN:RBV") {_x000D_
  field(DESC, "Inc. axis scan span (span) readback")_x000D_
  field(DTYP, "stream")_x000D_
  field(FLNK, "$(P):RSCN:D2_SPAN:SYN")_x000D_
  field(INP, "@pmac.proto getVar(P2048) $(PORT)")_x000D_
  field(SDIS, "$(P):RSCN:ST_MONITOR CP MS")_x000D_
  field(DISV, "0")_x000D_
  field(PINI, "NO")_x000D_
  field(DISS, "INVALID")_x000D_
  field(EGU, "EGU")_x000D_
  field(PREC, "5")  _x000D_
}_x000D_
record(ao, "$(P):RSCN:D2_SPAN:SET") {_x000D_
  field(DTYP, "stream")_x000D_
  field(SDIS, "$(P):RSCN:D2_SPAN:ROL PP MS")_x000D_
  field(OUT, "@pmac.proto setVar(P2048) $(PORT)")_x000D_
  field(PINI, "NO")_x000D_
  field(DISS, "INVALID")_x000D_
}_x000D_
record(calc, "$(P):RSCN:D2_SPAN:ROL") {_x000D_
  field(CALC, "(!B) || A")_x000D_
  field(INPA, "$(P):RSCN:D2_SPAN:SYN.PACT")_x000D_
  field(INPB, "$(P):RSCN:ST_NEVER NPP MS")_x000D_
  field(PINI, "NO")_x000D_
}_x000D_
record(calcout, "$(P):RSCN:D2_SPAN:SYN") {_x000D_
  field(INPA, "$(P):RSCN:D2_SPAN:RBV PP")_x000D_
  field(INPB, "$(P):RSCN:ST_MONITOR NPP MS")_x000D_
  field(INPC, "$(P):RSCN:ST_NEVER NPP MS")_x000D_
  field(CALC, "A")_x000D_
  field(OUT, "$(P):RSCN:D2_SPAN PP MS")_x000D_
  field(PINI, "NO")_x000D_
}_x000D_
#--------------------</v>
      </c>
      <c r="AM31" s="27" t="str">
        <f t="shared" si="20"/>
        <v/>
      </c>
      <c r="AN31" s="27" t="str">
        <f t="shared" si="21"/>
        <v xml:space="preserve">&lt;item row="12" column="0"&gt;
         &lt;widget class="QLabel" name="L_d2_Span"&gt;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&lt;string&gt;d2_Span&lt;/string&gt;
          &lt;/property&gt;
          &lt;property name="margin"&gt;
           &lt;number&gt;3&lt;/number&gt;
          &lt;/property&gt;
         &lt;/widget&gt;
        &lt;/item&gt;
&lt;item row="12" column="1"&gt;
         &lt;widget class="QELabel" name="QL_d2_Span"&gt;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&lt;string&gt;$(P)$(R):RSCN:D2_SPAN&lt;/string&gt;
          &lt;/property&gt;
         &lt;/widget&gt;
   &lt;/item&gt;
</v>
      </c>
      <c r="AO31" s="27" t="e">
        <f t="shared" si="11"/>
        <v>#N/A</v>
      </c>
      <c r="AP31" s="27" t="str">
        <f t="shared" si="12"/>
        <v xml:space="preserve">SR05ID01FST01:RSCN:D2_SPAN = </v>
      </c>
      <c r="AQ31" s="27" t="str">
        <f t="shared" si="22"/>
        <v xml:space="preserve">;Inc. axis scan span (span)[EGU]epics(map)
#define	d2Span	P2048	</v>
      </c>
      <c r="AR31" s="27" t="str">
        <f t="shared" si="13"/>
        <v xml:space="preserve">      &lt;channel&gt;
         &lt;name&gt;SR05ID01FST01:RSCN:D2_SPAN&lt;/name&gt;
         &lt;period&gt;30&lt;/period&gt;
         &lt;monitor/&gt;
      &lt;/channel&gt;</v>
      </c>
      <c r="AS31" s="12">
        <f t="shared" si="14"/>
        <v>6</v>
      </c>
      <c r="AT31" s="12">
        <f t="shared" si="15"/>
        <v>4</v>
      </c>
      <c r="AU31" s="12">
        <f t="shared" si="16"/>
        <v>6</v>
      </c>
      <c r="AV31" s="12">
        <f t="shared" si="17"/>
        <v>5</v>
      </c>
      <c r="AW31" s="13" t="str">
        <f t="shared" si="18"/>
        <v>P2048</v>
      </c>
      <c r="AX31" s="23" t="str">
        <f t="shared" si="19"/>
        <v>SR05ID01FST01:RSCN:D2_SPAN</v>
      </c>
    </row>
    <row r="32" spans="2:50" ht="15.75" customHeight="1" x14ac:dyDescent="0.25">
      <c r="B32" s="24" t="str">
        <f t="shared" si="0"/>
        <v>.</v>
      </c>
      <c r="C32" s="32" t="str">
        <f t="shared" si="23"/>
        <v>#define</v>
      </c>
      <c r="D32" s="31" t="s">
        <v>463</v>
      </c>
      <c r="E32" s="25" t="s">
        <v>463</v>
      </c>
      <c r="F32" s="10" t="s">
        <v>385</v>
      </c>
      <c r="G32" s="10" t="s">
        <v>86</v>
      </c>
      <c r="H32" s="10"/>
      <c r="I32" s="11" t="s">
        <v>646</v>
      </c>
      <c r="J32" s="10" t="s">
        <v>561</v>
      </c>
      <c r="K32" s="10" t="s">
        <v>564</v>
      </c>
      <c r="L32" s="10">
        <v>-9999999</v>
      </c>
      <c r="M32" s="10">
        <v>9999999</v>
      </c>
      <c r="N32" s="10">
        <v>5</v>
      </c>
      <c r="O32" s="16"/>
      <c r="P32" s="52" t="s">
        <v>39</v>
      </c>
      <c r="Q32" s="52"/>
      <c r="R32" s="52" t="s">
        <v>563</v>
      </c>
      <c r="S32" s="52"/>
      <c r="T32" s="52"/>
      <c r="U32" s="52"/>
      <c r="V32" s="52"/>
      <c r="W32" s="61">
        <v>25</v>
      </c>
      <c r="X32" s="61"/>
      <c r="Y32" s="33" t="s">
        <v>570</v>
      </c>
      <c r="Z32" s="33" t="s">
        <v>571</v>
      </c>
      <c r="AA32" s="33">
        <v>30</v>
      </c>
      <c r="AB32" s="58" t="str">
        <f t="shared" si="1"/>
        <v>epics</v>
      </c>
      <c r="AC32" s="55" t="str">
        <f t="shared" si="2"/>
        <v>map</v>
      </c>
      <c r="AD32" s="29" t="str">
        <f t="shared" si="3"/>
        <v>:D2_START</v>
      </c>
      <c r="AE32" s="27" t="str">
        <f t="shared" si="4"/>
        <v>:RSCN:D2_START</v>
      </c>
      <c r="AF32" s="29" t="str">
        <f t="shared" si="5"/>
        <v>d2Start</v>
      </c>
      <c r="AG32" s="27" t="str">
        <f t="shared" si="6"/>
        <v>d2Start</v>
      </c>
      <c r="AH32" s="27" t="str">
        <f t="shared" si="7"/>
        <v>$(P):RSCN:ST_MONITOR</v>
      </c>
      <c r="AI32" s="27" t="str">
        <f t="shared" si="8"/>
        <v>$(P):RSCN:ST_TRAJSET</v>
      </c>
      <c r="AJ32" s="27"/>
      <c r="AK32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32" s="27" t="str">
        <f t="shared" si="10"/>
        <v>_x000D_
# PVs mapping to P2014_x000D_
record(ao, "$(P):RSCN:D2_START") {_x000D_
  field(DESC, "Inc. axis scan start position")_x000D_
  field(OUT, "$(P):RSCN:D2_START:SET PP MS")_x000D_
  field(PINI, "NO")_x000D_
  field(EGU, "EGU")_x000D_
  field(PREC, "5")  _x000D_
}_x000D_
record(ai, "$(P):RSCN:D2_START:RBV") {_x000D_
  field(DESC, "Inc. axis scan start position readback")_x000D_
  field(DTYP, "stream")_x000D_
  field(FLNK, "$(P):RSCN:D2_START:SYN")_x000D_
  field(INP, "@pmac.proto getVar(P2014) $(PORT)")_x000D_
  field(SDIS, "$(P):RSCN:ST_MONITOR CP MS")_x000D_
  field(DISV, "0")_x000D_
  field(PINI, "NO")_x000D_
  field(DISS, "INVALID")_x000D_
  field(EGU, "EGU")_x000D_
  field(PREC, "5")  _x000D_
}_x000D_
record(ao, "$(P):RSCN:D2_START:SET") {_x000D_
  field(DTYP, "stream")_x000D_
  field(SDIS, "$(P):RSCN:D2_START:ROL PP MS")_x000D_
  field(OUT, "@pmac.proto setVar(P2014) $(PORT)")_x000D_
  field(PINI, "NO")_x000D_
  field(DISS, "INVALID")_x000D_
}_x000D_
record(calc, "$(P):RSCN:D2_START:ROL") {_x000D_
  field(CALC, "(!B) || A")_x000D_
  field(INPA, "$(P):RSCN:D2_START:SYN.PACT")_x000D_
  field(INPB, "$(P):RSCN:ST_TRAJSET NPP MS")_x000D_
  field(PINI, "NO")_x000D_
}_x000D_
record(calcout, "$(P):RSCN:D2_START:SYN") {_x000D_
  field(INPA, "$(P):RSCN:D2_START:RBV PP")_x000D_
  field(INPB, "$(P):RSCN:ST_MONITOR NPP MS")_x000D_
  field(INPC, "$(P):RSCN:ST_TRAJSET NPP MS")_x000D_
  field(CALC, "A")_x000D_
  field(OUT, "$(P):RSCN:D2_START PP MS")_x000D_
  field(PINI, "NO")_x000D_
}_x000D_
#--------------------</v>
      </c>
      <c r="AM32" s="27" t="str">
        <f t="shared" si="20"/>
        <v>&lt;item row="25" column="0"&gt;
         &lt;widget class="QLabel" name="L_d2_Start"&gt;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&lt;string&gt;d2_Start&lt;/string&gt;
          &lt;/property&gt;
          &lt;property name="margin"&gt;
           &lt;number&gt;3&lt;/number&gt;
          &lt;/property&gt;
         &lt;/widget&gt;
        &lt;/item&gt;
&lt;item row="25" column="2"&gt;
            &lt;widget class="QELineEdit" name="QLD_d2_Start"&gt;
             &lt;property name="variable" stdset="0"&gt;
              &lt;string&gt;$(P)$(R):RSCN:D2_START&lt;/string&gt;
             &lt;/property&gt;
             &lt;property name="addUnits"&gt;
             &lt;bool&gt;true&lt;/bool&gt;
             &lt;/property&gt;
            &lt;/widget&gt;
           &lt;/item&gt;</v>
      </c>
      <c r="AN32" s="27" t="str">
        <f t="shared" si="21"/>
        <v/>
      </c>
      <c r="AO32" s="27" t="e">
        <f t="shared" si="11"/>
        <v>#N/A</v>
      </c>
      <c r="AP32" s="27" t="str">
        <f t="shared" si="12"/>
        <v xml:space="preserve">SR05ID01FST01:RSCN:D2_START = </v>
      </c>
      <c r="AQ32" s="27" t="str">
        <f t="shared" si="22"/>
        <v xml:space="preserve">;Inc. axis scan start position[EGU]epics(map)
#define	d2Start	P2014	</v>
      </c>
      <c r="AR32" s="27" t="str">
        <f t="shared" si="13"/>
        <v xml:space="preserve">      &lt;channel&gt;
         &lt;name&gt;SR05ID01FST01:RSCN:D2_START&lt;/name&gt;
         &lt;period&gt;30&lt;/period&gt;
         &lt;monitor/&gt;
      &lt;/channel&gt;</v>
      </c>
      <c r="AS32" s="12">
        <f t="shared" si="14"/>
        <v>5</v>
      </c>
      <c r="AT32" s="12">
        <f t="shared" si="15"/>
        <v>4</v>
      </c>
      <c r="AU32" s="12">
        <f t="shared" si="16"/>
        <v>4</v>
      </c>
      <c r="AV32" s="12">
        <f t="shared" si="17"/>
        <v>2</v>
      </c>
      <c r="AW32" s="13" t="str">
        <f t="shared" si="18"/>
        <v>P2014</v>
      </c>
      <c r="AX32" s="23" t="str">
        <f t="shared" si="19"/>
        <v>SR05ID01FST01:RSCN:D2_START</v>
      </c>
    </row>
    <row r="33" spans="2:50" ht="15.75" customHeight="1" x14ac:dyDescent="0.25">
      <c r="B33" s="24" t="str">
        <f t="shared" si="0"/>
        <v>.</v>
      </c>
      <c r="C33" s="32" t="str">
        <f t="shared" si="23"/>
        <v>#define</v>
      </c>
      <c r="D33" s="31" t="s">
        <v>457</v>
      </c>
      <c r="E33" s="25" t="s">
        <v>457</v>
      </c>
      <c r="F33" s="10" t="s">
        <v>377</v>
      </c>
      <c r="G33" s="10" t="s">
        <v>86</v>
      </c>
      <c r="H33" s="10"/>
      <c r="I33" s="11" t="s">
        <v>636</v>
      </c>
      <c r="J33" s="10" t="s">
        <v>561</v>
      </c>
      <c r="K33" s="10" t="s">
        <v>564</v>
      </c>
      <c r="L33" s="10">
        <v>0</v>
      </c>
      <c r="M33" s="10">
        <v>9999999</v>
      </c>
      <c r="N33" s="10">
        <v>5</v>
      </c>
      <c r="O33" s="16"/>
      <c r="P33" s="52" t="s">
        <v>39</v>
      </c>
      <c r="Q33" s="52"/>
      <c r="R33" s="52" t="s">
        <v>563</v>
      </c>
      <c r="S33" s="52"/>
      <c r="T33" s="52" t="s">
        <v>39</v>
      </c>
      <c r="U33" s="52"/>
      <c r="V33" s="52"/>
      <c r="W33" s="61">
        <v>26</v>
      </c>
      <c r="X33" s="61"/>
      <c r="Y33" s="33" t="s">
        <v>570</v>
      </c>
      <c r="Z33" s="33" t="s">
        <v>571</v>
      </c>
      <c r="AA33" s="33">
        <v>30</v>
      </c>
      <c r="AB33" s="58" t="str">
        <f t="shared" si="1"/>
        <v>epics</v>
      </c>
      <c r="AC33" s="55" t="str">
        <f t="shared" si="2"/>
        <v>map</v>
      </c>
      <c r="AD33" s="29" t="str">
        <f t="shared" si="3"/>
        <v>:D2_STEP</v>
      </c>
      <c r="AE33" s="27" t="str">
        <f t="shared" si="4"/>
        <v>:RSCN:D2_STEP</v>
      </c>
      <c r="AF33" s="29" t="str">
        <f t="shared" si="5"/>
        <v>d2Step</v>
      </c>
      <c r="AG33" s="27" t="str">
        <f t="shared" si="6"/>
        <v>d2Step</v>
      </c>
      <c r="AH33" s="27" t="str">
        <f t="shared" si="7"/>
        <v>$(P):RSCN:ST_MONITOR</v>
      </c>
      <c r="AI33" s="27" t="str">
        <f t="shared" si="8"/>
        <v>$(P):RSCN:ST_TRAJSET</v>
      </c>
      <c r="AJ33" s="27"/>
      <c r="AK33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33" s="27" t="str">
        <f t="shared" si="10"/>
        <v>_x000D_
# PVs mapping to P2006_x000D_
record(ao, "$(P):RSCN:D2_STEP") {_x000D_
  field(DESC, "Inc. axis line separation")_x000D_
  field(OUT, "$(P):RSCN:D2_STEP:SET PP MS")_x000D_
  field(PINI, "NO")_x000D_
  field(EGU, "EGU")_x000D_
  field(PREC, "5")  _x000D_
}_x000D_
record(ai, "$(P):RSCN:D2_STEP:RBV") {_x000D_
  field(DESC, "Inc. axis line separation readback")_x000D_
  field(DTYP, "stream")_x000D_
  field(FLNK, "$(P):RSCN:D2_STEP:SYN")_x000D_
  field(INP, "@pmac.proto getVar(P2006) $(PORT)")_x000D_
  field(SDIS, "$(P):RSCN:ST_MONITOR CP MS")_x000D_
  field(DISV, "0")_x000D_
  field(PINI, "NO")_x000D_
  field(DISS, "INVALID")_x000D_
  field(EGU, "EGU")_x000D_
  field(PREC, "5")  _x000D_
}_x000D_
record(ao, "$(P):RSCN:D2_STEP:SET") {_x000D_
  field(DTYP, "stream")_x000D_
  field(SDIS, "$(P):RSCN:D2_STEP:ROL PP MS")_x000D_
  field(OUT, "@pmac.proto setVar(P2006) $(PORT)")_x000D_
  field(PINI, "NO")_x000D_
  field(DISS, "INVALID")_x000D_
}_x000D_
record(calc, "$(P):RSCN:D2_STEP:ROL") {_x000D_
  field(CALC, "(!B) || A")_x000D_
  field(INPA, "$(P):RSCN:D2_STEP:SYN.PACT")_x000D_
  field(INPB, "$(P):RSCN:ST_TRAJSET NPP MS")_x000D_
  field(PINI, "NO")_x000D_
}_x000D_
record(calcout, "$(P):RSCN:D2_STEP:SYN") {_x000D_
  field(INPA, "$(P):RSCN:D2_STEP:RBV PP")_x000D_
  field(INPB, "$(P):RSCN:ST_MONITOR NPP MS")_x000D_
  field(INPC, "$(P):RSCN:ST_TRAJSET NPP MS")_x000D_
  field(CALC, "A")_x000D_
  field(OUT, "$(P):RSCN:D2_STEP PP MS")_x000D_
  field(PINI, "NO")_x000D_
}_x000D_
#--------------------</v>
      </c>
      <c r="AM33" s="27" t="str">
        <f t="shared" si="20"/>
        <v>&lt;item row="26" column="0"&gt;
         &lt;widget class="QLabel" name="L_d2_Step"&gt;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&lt;string&gt;d2_Step&lt;/string&gt;
          &lt;/property&gt;
          &lt;property name="margin"&gt;
           &lt;number&gt;3&lt;/number&gt;
          &lt;/property&gt;
         &lt;/widget&gt;
        &lt;/item&gt;
&lt;item row="26" column="2"&gt;
            &lt;widget class="QELineEdit" name="QLD_d2_Step"&gt;
             &lt;property name="variable" stdset="0"&gt;
              &lt;string&gt;$(P)$(R):RSCN:D2_STEP&lt;/string&gt;
             &lt;/property&gt;
             &lt;property name="addUnits"&gt;
             &lt;bool&gt;true&lt;/bool&gt;
             &lt;/property&gt;
            &lt;/widget&gt;
           &lt;/item&gt;</v>
      </c>
      <c r="AN33" s="27" t="str">
        <f t="shared" si="21"/>
        <v/>
      </c>
      <c r="AO33" s="27" t="e">
        <f t="shared" si="11"/>
        <v>#N/A</v>
      </c>
      <c r="AP33" s="27" t="str">
        <f t="shared" si="12"/>
        <v xml:space="preserve">SR05ID01FST01:RSCN:D2_STEP = </v>
      </c>
      <c r="AQ33" s="27" t="str">
        <f t="shared" si="22"/>
        <v xml:space="preserve">;Inc. axis line separation[EGU]epics(map)
#define	d2Step	P2006	</v>
      </c>
      <c r="AR33" s="27" t="str">
        <f t="shared" si="13"/>
        <v xml:space="preserve">      &lt;channel&gt;
         &lt;name&gt;SR05ID01FST01:RSCN:D2_STEP&lt;/name&gt;
         &lt;period&gt;30&lt;/period&gt;
         &lt;monitor/&gt;
      &lt;/channel&gt;</v>
      </c>
      <c r="AS33" s="12">
        <f t="shared" si="14"/>
        <v>6</v>
      </c>
      <c r="AT33" s="12">
        <f t="shared" si="15"/>
        <v>4</v>
      </c>
      <c r="AU33" s="12">
        <f t="shared" si="16"/>
        <v>4</v>
      </c>
      <c r="AV33" s="12">
        <f t="shared" si="17"/>
        <v>6</v>
      </c>
      <c r="AW33" s="13" t="str">
        <f t="shared" si="18"/>
        <v>P2006</v>
      </c>
      <c r="AX33" s="23" t="str">
        <f t="shared" si="19"/>
        <v>SR05ID01FST01:RSCN:D2_STEP</v>
      </c>
    </row>
    <row r="34" spans="2:50" ht="15.75" customHeight="1" x14ac:dyDescent="0.25">
      <c r="B34" s="24" t="str">
        <f t="shared" si="0"/>
        <v>.</v>
      </c>
      <c r="C34" s="32" t="str">
        <f t="shared" si="23"/>
        <v>;</v>
      </c>
      <c r="D34" s="31"/>
      <c r="E34" s="25" t="s">
        <v>464</v>
      </c>
      <c r="F34" s="10" t="s">
        <v>45</v>
      </c>
      <c r="G34" s="10" t="s">
        <v>86</v>
      </c>
      <c r="H34" s="10"/>
      <c r="I34" s="11" t="s">
        <v>644</v>
      </c>
      <c r="J34" s="10" t="s">
        <v>562</v>
      </c>
      <c r="K34" s="10" t="s">
        <v>564</v>
      </c>
      <c r="L34" s="10">
        <v>-9999999</v>
      </c>
      <c r="M34" s="10">
        <v>9999999</v>
      </c>
      <c r="N34" s="10">
        <v>5</v>
      </c>
      <c r="O34" s="16"/>
      <c r="P34" s="52"/>
      <c r="Q34" s="52"/>
      <c r="R34" s="52" t="s">
        <v>563</v>
      </c>
      <c r="S34" s="52"/>
      <c r="T34" s="52" t="s">
        <v>39</v>
      </c>
      <c r="U34" s="52"/>
      <c r="V34" s="52"/>
      <c r="W34" s="61">
        <v>27</v>
      </c>
      <c r="X34" s="61"/>
      <c r="Z34" s="33" t="s">
        <v>571</v>
      </c>
      <c r="AA34" s="33">
        <v>30</v>
      </c>
      <c r="AB34" s="58" t="str">
        <f t="shared" si="1"/>
        <v>epics</v>
      </c>
      <c r="AC34" s="55" t="str">
        <f t="shared" si="2"/>
        <v>nmp</v>
      </c>
      <c r="AD34" s="29" t="str">
        <f t="shared" si="3"/>
        <v>:</v>
      </c>
      <c r="AE34" s="27" t="str">
        <f t="shared" si="4"/>
        <v>:RSCN:D2_TOLRATIO</v>
      </c>
      <c r="AF34" s="29" t="str">
        <f t="shared" si="5"/>
        <v/>
      </c>
      <c r="AG34" s="27" t="str">
        <f t="shared" si="6"/>
        <v>d2TolRatio</v>
      </c>
      <c r="AH34" s="27" t="str">
        <f t="shared" si="7"/>
        <v>$(P):RSCN:</v>
      </c>
      <c r="AI34" s="27" t="str">
        <f t="shared" si="8"/>
        <v>$(P):RSCN:ST_TRAJSET</v>
      </c>
      <c r="AJ34" s="27"/>
      <c r="AK34" s="27" t="str">
        <f t="shared" si="9"/>
        <v># non-mapped PV
record(ai, "$(P)$(Q)") {
  field(DESC, "$(DESC)")
  field(PINI, "YES")
  field(EGU, "$(EGU)")
  field(PREC, "$(PREC)")
  field(VAL,"$(DEFAULT)")
  field(SDIS, "$(SetSB) CP MS")
  field(DISV, "0")
  field(DISS, "INVALID")
}
#--------------</v>
      </c>
      <c r="AL34" s="27" t="str">
        <f t="shared" si="10"/>
        <v># non-mapped PV
record(ai, "$(P):RSCN:D2_TOLRATIO") {
  field(DESC, "Inc. axis tolerance ratio")
  field(PINI, "YES")
  field(EGU, "EGU")
  field(PREC, "5")
  field(VAL,"")
  field(SDIS, "$(P):RSCN:ST_TRAJSET CP MS")
  field(DISV, "0")
  field(DISS, "INVALID")
}
#--------------</v>
      </c>
      <c r="AM34" s="27" t="str">
        <f t="shared" si="20"/>
        <v>&lt;item row="27" column="0"&gt;
         &lt;widget class="QLabel" name="L_d2_TolRatio"&gt;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&lt;string&gt;d2_TolRatio&lt;/string&gt;
          &lt;/property&gt;
          &lt;property name="margin"&gt;
           &lt;number&gt;3&lt;/number&gt;
          &lt;/property&gt;
         &lt;/widget&gt;
        &lt;/item&gt;
&lt;item row="27" column="2"&gt;
            &lt;widget class="QELineEdit" name="QLD_d2_TolRatio"&gt;
             &lt;property name="variable" stdset="0"&gt;
              &lt;string&gt;$(P)$(R):RSCN:D2_TOLRATIO&lt;/string&gt;
             &lt;/property&gt;
             &lt;property name="addUnits"&gt;
             &lt;bool&gt;true&lt;/bool&gt;
             &lt;/property&gt;
            &lt;/widget&gt;
           &lt;/item&gt;</v>
      </c>
      <c r="AN34" s="27" t="str">
        <f t="shared" si="21"/>
        <v/>
      </c>
      <c r="AO34" s="27" t="e">
        <f t="shared" si="11"/>
        <v>#N/A</v>
      </c>
      <c r="AP34" s="27" t="str">
        <f t="shared" si="12"/>
        <v xml:space="preserve">SR05ID01FST01:RSCN:D2_TOLRATIO = </v>
      </c>
      <c r="AQ34" s="27" t="str">
        <f t="shared" si="22"/>
        <v/>
      </c>
      <c r="AR34" s="27" t="str">
        <f t="shared" si="13"/>
        <v xml:space="preserve">      &lt;channel&gt;
         &lt;name&gt;SR05ID01FST01:RSCN:D2_TOLRATIO&lt;/name&gt;
         &lt;period&gt;30&lt;/period&gt;
         &lt;monitor/&gt;
      &lt;/channel&gt;</v>
      </c>
      <c r="AS34" s="12">
        <f t="shared" si="14"/>
        <v>2</v>
      </c>
      <c r="AT34" s="12">
        <f t="shared" si="15"/>
        <v>14</v>
      </c>
      <c r="AU34" s="12">
        <f t="shared" si="16"/>
        <v>4</v>
      </c>
      <c r="AV34" s="12">
        <f t="shared" si="17"/>
        <v>6</v>
      </c>
      <c r="AW34" s="13" t="str">
        <f t="shared" si="18"/>
        <v>none</v>
      </c>
      <c r="AX34" s="23" t="str">
        <f t="shared" si="19"/>
        <v>SR05ID01FST01:RSCN:D2_TOLRATIO</v>
      </c>
    </row>
    <row r="35" spans="2:50" ht="15.75" customHeight="1" x14ac:dyDescent="0.25">
      <c r="B35" s="24" t="str">
        <f t="shared" si="0"/>
        <v>.</v>
      </c>
      <c r="C35" s="32" t="str">
        <f t="shared" si="23"/>
        <v>#define</v>
      </c>
      <c r="D35" s="31" t="s">
        <v>452</v>
      </c>
      <c r="E35" s="25" t="s">
        <v>452</v>
      </c>
      <c r="F35" s="10" t="s">
        <v>373</v>
      </c>
      <c r="G35" s="10" t="s">
        <v>86</v>
      </c>
      <c r="H35" s="10"/>
      <c r="I35" s="11" t="s">
        <v>535</v>
      </c>
      <c r="J35" s="10" t="s">
        <v>561</v>
      </c>
      <c r="K35" s="10"/>
      <c r="L35" s="10">
        <v>0</v>
      </c>
      <c r="M35" s="10">
        <v>9</v>
      </c>
      <c r="N35" s="10">
        <v>0</v>
      </c>
      <c r="O35" s="16"/>
      <c r="P35" s="52" t="s">
        <v>39</v>
      </c>
      <c r="Q35" s="52"/>
      <c r="R35" s="52" t="s">
        <v>563</v>
      </c>
      <c r="S35" s="52"/>
      <c r="T35" s="52" t="s">
        <v>39</v>
      </c>
      <c r="U35" s="52"/>
      <c r="V35" s="52"/>
      <c r="W35" s="61">
        <v>6</v>
      </c>
      <c r="X35" s="61"/>
      <c r="Y35" s="33" t="s">
        <v>569</v>
      </c>
      <c r="Z35" s="33" t="s">
        <v>569</v>
      </c>
      <c r="AA35" s="33">
        <v>0.5</v>
      </c>
      <c r="AB35" s="58" t="str">
        <f t="shared" si="1"/>
        <v>epics</v>
      </c>
      <c r="AC35" s="55" t="str">
        <f t="shared" si="2"/>
        <v>map</v>
      </c>
      <c r="AD35" s="29" t="str">
        <f t="shared" si="3"/>
        <v>:DEV_CMD</v>
      </c>
      <c r="AE35" s="27" t="str">
        <f t="shared" si="4"/>
        <v>:RSCN:DEV_CMD</v>
      </c>
      <c r="AF35" s="29" t="str">
        <f t="shared" si="5"/>
        <v>devCMD</v>
      </c>
      <c r="AG35" s="27" t="str">
        <f t="shared" si="6"/>
        <v>devCMD</v>
      </c>
      <c r="AH35" s="27" t="str">
        <f t="shared" si="7"/>
        <v>$(P):RSCN:ST_INPROG</v>
      </c>
      <c r="AI35" s="27" t="str">
        <f t="shared" si="8"/>
        <v>$(P):RSCN:ST_INPROG</v>
      </c>
      <c r="AJ35" s="27"/>
      <c r="AK35" s="27" t="str">
        <f t="shared" si="9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35" s="27" t="str">
        <f t="shared" si="10"/>
        <v>_x000D_
# PVs mapping to P2000_x000D_
record(ao, "$(P):RSCN:DEV_CMD") {_x000D_
  field(DESC, "Scan control word")_x000D_
  field(OUT, "$(P):RSCN:DEV_CMD:SET PP MS")_x000D_
  field(PINI, "NO")_x000D_
  field(EGU, "")_x000D_
  field(PREC, "0")  _x000D_
}_x000D_
record(ai, "$(P):RSCN:DEV_CMD:RBV") {_x000D_
  field(DESC, "Scan control word readback")_x000D_
  field(DTYP, "stream")_x000D_
  field(FLNK, "$(P):RSCN:DEV_CMD:SYN")_x000D_
  field(INP, "@pmac.proto getVar(P2000) $(PORT)")_x000D_
  field(SDIS, "$(P):RSCN:ST_INPROG CP MS")_x000D_
  field(DISV, "0")_x000D_
  field(PINI, "NO")_x000D_
  field(DISS, "INVALID")_x000D_
  field(EGU, "")_x000D_
  field(PREC, "0")  _x000D_
}_x000D_
record(ao, "$(P):RSCN:DEV_CMD:SET") {_x000D_
  field(DTYP, "stream")_x000D_
  field(SDIS, "$(P):RSCN:DEV_CMD:ROL PP MS")_x000D_
  field(OUT, "@pmac.proto setVar(P2000) $(PORT)")_x000D_
  field(PINI, "NO")_x000D_
  field(DISS, "INVALID")_x000D_
}_x000D_
record(calc, "$(P):RSCN:DEV_CMD:ROL") {_x000D_
  field(CALC, "(!B) || A")_x000D_
  field(INPA, "$(P):RSCN:DEV_CMD:SYN.PACT")_x000D_
  field(INPB, "$(P):RSCN:ST_INPROG NPP MS")_x000D_
  field(PINI, "NO")_x000D_
}_x000D_
record(calcout, "$(P):RSCN:DEV_CMD:SYN") {_x000D_
  field(INPA, "$(P):RSCN:DEV_CMD:RBV PP")_x000D_
  field(INPB, "$(P):RSCN:ST_INPROG NPP MS")_x000D_
  field(INPC, "$(P):RSCN:ST_INPROG NPP MS")_x000D_
  field(CALC, "A")_x000D_
  field(OUT, "$(P):RSCN:DEV_CMD PP MS")_x000D_
  field(PINI, "NO")_x000D_
}_x000D_
#--------------------</v>
      </c>
      <c r="AM35" s="27" t="str">
        <f t="shared" si="20"/>
        <v>&lt;item row="6" column="0"&gt;
         &lt;widget class="QLabel" name="L_dev_CMD"&gt;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&lt;string&gt;dev_CMD&lt;/string&gt;
          &lt;/property&gt;
          &lt;property name="margin"&gt;
           &lt;number&gt;3&lt;/number&gt;
          &lt;/property&gt;
         &lt;/widget&gt;
        &lt;/item&gt;
&lt;item row="6" column="2"&gt;
            &lt;widget class="QELineEdit" name="QLD_dev_CMD"&gt;
             &lt;property name="variable" stdset="0"&gt;
              &lt;string&gt;$(P)$(R):RSCN:DEV_CMD&lt;/string&gt;
             &lt;/property&gt;
             &lt;property name="addUnits"&gt;
             &lt;bool&gt;true&lt;/bool&gt;
             &lt;/property&gt;
            &lt;/widget&gt;
           &lt;/item&gt;</v>
      </c>
      <c r="AN35" s="27" t="str">
        <f t="shared" si="21"/>
        <v/>
      </c>
      <c r="AO35" s="27" t="e">
        <f t="shared" si="11"/>
        <v>#N/A</v>
      </c>
      <c r="AP35" s="27" t="str">
        <f t="shared" si="12"/>
        <v xml:space="preserve">SR05ID01FST01:RSCN:DEV_CMD = </v>
      </c>
      <c r="AQ35" s="27" t="str">
        <f t="shared" si="22"/>
        <v xml:space="preserve">;Scan control word[]epics(map)
#define	devCMD	P2000	</v>
      </c>
      <c r="AR35" s="27" t="str">
        <f t="shared" si="13"/>
        <v xml:space="preserve">      &lt;channel&gt;
         &lt;name&gt;SR05ID01FST01:RSCN:DEV_CMD&lt;/name&gt;
         &lt;period&gt;0.5&lt;/period&gt;
         &lt;monitor/&gt;
      &lt;/channel&gt;</v>
      </c>
      <c r="AS35" s="12">
        <f t="shared" si="14"/>
        <v>6</v>
      </c>
      <c r="AT35" s="12">
        <f t="shared" si="15"/>
        <v>5</v>
      </c>
      <c r="AU35" s="12">
        <f t="shared" si="16"/>
        <v>5</v>
      </c>
      <c r="AV35" s="12">
        <f t="shared" si="17"/>
        <v>14</v>
      </c>
      <c r="AW35" s="13" t="str">
        <f t="shared" si="18"/>
        <v>P2000</v>
      </c>
      <c r="AX35" s="23" t="str">
        <f t="shared" si="19"/>
        <v>SR05ID01FST01:RSCN:DEV_CMD</v>
      </c>
    </row>
    <row r="36" spans="2:50" ht="15.75" customHeight="1" x14ac:dyDescent="0.25">
      <c r="B36" s="24" t="str">
        <f t="shared" ref="B36:B67" si="24">IF(AND(LEN(D36)&gt;3,D36&lt;&gt;E36),"&lt;FIND TYPE=ASC&gt;"&amp;AD36&amp;"&lt;/FIND&gt;&lt;REPLACE TYPE=ASC&gt;"&amp;AE36&amp;"&lt;/REPLACE&gt;"&amp;CHAR(10)&amp;"&lt;FIND TYPE=ASC&gt;"&amp;AF36&amp;"&lt;/FIND&gt;&lt;REPLACE TYPE=ASC&gt;"&amp;AG36&amp;"&lt;/REPLACE&gt;"&amp;CHAR(10)&amp;"&lt;FIND TYPE=ASC&gt;"&amp;D36&amp;"&lt;/FIND&gt;&lt;REPLACE TYPE=ASC&gt;"&amp;E36&amp;"&lt;/REPLACE&gt;",".")</f>
        <v>.</v>
      </c>
      <c r="C36" s="32" t="str">
        <f t="shared" si="23"/>
        <v>#define</v>
      </c>
      <c r="D36" s="31" t="s">
        <v>481</v>
      </c>
      <c r="E36" s="25" t="s">
        <v>481</v>
      </c>
      <c r="F36" s="10" t="s">
        <v>402</v>
      </c>
      <c r="G36" s="10" t="s">
        <v>560</v>
      </c>
      <c r="H36" s="10"/>
      <c r="I36" s="11" t="s">
        <v>548</v>
      </c>
      <c r="J36" s="10" t="s">
        <v>598</v>
      </c>
      <c r="K36" s="10"/>
      <c r="L36" s="10">
        <v>0</v>
      </c>
      <c r="M36" s="10">
        <v>9</v>
      </c>
      <c r="N36" s="10">
        <v>0</v>
      </c>
      <c r="O36" s="16"/>
      <c r="P36" s="52" t="s">
        <v>563</v>
      </c>
      <c r="Q36" s="52"/>
      <c r="R36" s="52" t="s">
        <v>39</v>
      </c>
      <c r="S36" s="52"/>
      <c r="T36" s="52" t="s">
        <v>39</v>
      </c>
      <c r="U36" s="52" t="s">
        <v>39</v>
      </c>
      <c r="V36" s="52" t="s">
        <v>39</v>
      </c>
      <c r="W36" s="61">
        <v>7</v>
      </c>
      <c r="X36" s="61"/>
      <c r="AA36" s="33">
        <v>0.5</v>
      </c>
      <c r="AB36" s="58" t="str">
        <f t="shared" ref="AB36:AB67" si="25">IF(LEN(R36&amp;S36&amp;T36&amp;U36&amp;V36)&gt;0,"epics","")</f>
        <v>epics</v>
      </c>
      <c r="AC36" s="55" t="str">
        <f t="shared" ref="AC36:AC67" si="26">IF(NOT(ISBLANK(V36)),"base",IF(AB36="epics",IF(AND(ISBLANK(P36),ISBLANK(Q36)),"nmp","map"),""))</f>
        <v>base</v>
      </c>
      <c r="AD36" s="29" t="str">
        <f t="shared" ref="AD36:AD67" si="27">UPPER(AD$1&amp;":"&amp;D36)</f>
        <v>:DEV_ERROR</v>
      </c>
      <c r="AE36" s="27" t="str">
        <f t="shared" ref="AE36:AE67" si="28">UPPER(AE$1&amp;":"&amp;E36)</f>
        <v>:RSCN:DEV_ERROR</v>
      </c>
      <c r="AF36" s="29" t="str">
        <f t="shared" ref="AF36:AF67" si="29">SUBSTITUTE(D36,"_","")</f>
        <v>devError</v>
      </c>
      <c r="AG36" s="27" t="str">
        <f t="shared" ref="AG36:AG67" si="30">SUBSTITUTE(E36,"_","")&amp;IF(AND(RIGHT(P36)&lt;&gt;"s",RIGHT(Q36)&lt;&gt;"s"),"","")</f>
        <v>devError</v>
      </c>
      <c r="AH36" s="27" t="str">
        <f t="shared" ref="AH36:AH67" si="31">IF(ISNUMBER(Y36),Y36,"$(P)"&amp;$AE$1&amp;":"&amp;Y36)</f>
        <v>$(P):RSCN:</v>
      </c>
      <c r="AI36" s="27" t="str">
        <f t="shared" ref="AI36:AI67" si="32">IF(ISNUMBER(Z36),Z36,"$(P)"&amp;$AE$1&amp;":"&amp;Z36)</f>
        <v>$(P):RSCN:</v>
      </c>
      <c r="AJ36" s="27"/>
      <c r="AK36" s="27" t="str">
        <f t="shared" ref="AK36:AK67" si="33">IF(LEN(AG36)&gt;2,SUBSTITUTE(SUBSTITUTE(SUBSTITUTE(IF(AC36="map",IF(G36="float",y_mapVarAnalog,IF(G36="int",y_mapVarLongint,IF(G36="bool",y_mapVarBool,IF(G36="string",y_mapVarString,IF(G36="option",y_mapVarOption,"#unknown Type"))))),IF(AC36="nmp",y_nonMappedAnalog,"")),"$(DTYP)",y_DTYPE),"$(SETPROTO)",y_setVarProto),"$(GETPROTO)",y_getVarProto),"")</f>
        <v/>
      </c>
      <c r="AL36" s="27" t="str">
        <f t="shared" ref="AL36:AL67" si="34">SUBSTITUTE(SUBSTITUTE(SUBSTITUTE(SUBSTITUTE(SUBSTITUTE(SUBSTITUTE(SUBSTITUTE(SUBSTITUTE(SUBSTITUTE(AK36,"$(Q)",AE36),"$(EGU)",K36),"$(PREC)",N36),"$(VAR)",TRIM(CLEAN(F36))),"$(GetSB)",AH36),"$(SetSB)",AI36),"$(DESC)",LEFT(I36,40)),"$(ENUMS)",AJ36),"$(DEFAULT)",H36)</f>
        <v/>
      </c>
      <c r="AM36" s="27" t="str">
        <f t="shared" si="20"/>
        <v xml:space="preserve">&lt;item row="7" column="0"&gt;
         &lt;widget class="QLabel" name="L_dev_Error"&gt;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&lt;string&gt;dev_Error&lt;/string&gt;
          &lt;/property&gt;
          &lt;property name="margin"&gt;
           &lt;number&gt;3&lt;/number&gt;
          &lt;/property&gt;
         &lt;/widget&gt;
        &lt;/item&gt;
&lt;item row="7" column="1"&gt;
         &lt;widget class="QELabel" name="QL_dev_Error"&gt;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&lt;string&gt;$(P)$(R):RSCN:DEV_ERROR&lt;/string&gt;
          &lt;/property&gt;
         &lt;/widget&gt;
   &lt;/item&gt;
</v>
      </c>
      <c r="AN36" s="27" t="str">
        <f t="shared" si="21"/>
        <v/>
      </c>
      <c r="AO36" s="27" t="e">
        <f t="shared" ref="AO36:AO67" si="35">VLOOKUP(G36,y_EPICS_Formats,2,FALSE)</f>
        <v>#N/A</v>
      </c>
      <c r="AP36" s="27" t="str">
        <f t="shared" ref="AP36:AP67" si="36">IF(AB36="epics",y_Prefix&amp;AE36&amp;" = ","")</f>
        <v xml:space="preserve">SR05ID01FST01:RSCN:DEV_ERROR = </v>
      </c>
      <c r="AQ36" s="27" t="str">
        <f t="shared" si="22"/>
        <v xml:space="preserve">;SkipScan fault code[]epics(base)
#define	devError	P2055	</v>
      </c>
      <c r="AR36" s="27" t="str">
        <f t="shared" ref="AR36:AR67" si="37">IF(IFERROR(AND(AA36&gt;0,LEN(AK36)&gt;0),FALSE),SUBSTITUTE(SUBSTITUTE(SUBSTITUTE(y_archiverXML,"~PVNAME",AE36),"~PREFIX",y_Prefix),"~PERIOD",MIN(30,AA36)),"")</f>
        <v/>
      </c>
      <c r="AS36" s="12">
        <f t="shared" ref="AS36:AS67" si="38">IF($AB36="epics",AS$1-LEN(AE36),"")</f>
        <v>4</v>
      </c>
      <c r="AT36" s="12">
        <f t="shared" ref="AT36:AT67" si="39">IF($AB36="epics",AT$1-LEN(AH36),"")</f>
        <v>14</v>
      </c>
      <c r="AU36" s="12">
        <f t="shared" ref="AU36:AU67" si="40">IF($AB36="epics",AU$1-LEN(AI36),"")</f>
        <v>14</v>
      </c>
      <c r="AV36" s="12">
        <f t="shared" ref="AV36:AV67" si="41">IF($AB36="epics",AV$1-LEN(I36)-LEN(" readback"),"")</f>
        <v>12</v>
      </c>
      <c r="AW36" s="13" t="str">
        <f t="shared" ref="AW36:AW67" si="42">IF(ISNUMBER(F36),"0"&amp;LEFT(E36,2)&amp;TEXT(F36,"#.0000"),F36)</f>
        <v>P2055</v>
      </c>
      <c r="AX36" s="23" t="str">
        <f t="shared" ref="AX36:AX67" si="43">y_Prefix&amp;AE36</f>
        <v>SR05ID01FST01:RSCN:DEV_ERROR</v>
      </c>
    </row>
    <row r="37" spans="2:50" ht="15.75" customHeight="1" x14ac:dyDescent="0.25">
      <c r="B37" s="24" t="str">
        <f t="shared" si="24"/>
        <v>.</v>
      </c>
      <c r="C37" s="32" t="str">
        <f t="shared" si="23"/>
        <v>#define</v>
      </c>
      <c r="D37" s="31"/>
      <c r="E37" s="25" t="s">
        <v>663</v>
      </c>
      <c r="F37" s="10" t="s">
        <v>382</v>
      </c>
      <c r="G37" s="10" t="s">
        <v>86</v>
      </c>
      <c r="H37" s="10"/>
      <c r="I37" s="11" t="s">
        <v>664</v>
      </c>
      <c r="J37" s="10"/>
      <c r="K37" s="10"/>
      <c r="L37" s="10">
        <v>-1</v>
      </c>
      <c r="M37" s="10">
        <v>1</v>
      </c>
      <c r="N37" s="10">
        <v>0</v>
      </c>
      <c r="O37" s="16"/>
      <c r="P37" s="52" t="s">
        <v>37</v>
      </c>
      <c r="Q37" s="52"/>
      <c r="R37" s="52"/>
      <c r="S37" s="52" t="s">
        <v>39</v>
      </c>
      <c r="T37" s="52" t="s">
        <v>563</v>
      </c>
      <c r="U37" s="52"/>
      <c r="V37" s="52"/>
      <c r="W37" s="61"/>
      <c r="X37" s="61">
        <v>13</v>
      </c>
      <c r="Y37" s="33" t="s">
        <v>569</v>
      </c>
      <c r="Z37" s="33" t="s">
        <v>571</v>
      </c>
      <c r="AB37" s="58" t="str">
        <f t="shared" si="25"/>
        <v>epics</v>
      </c>
      <c r="AC37" s="55" t="str">
        <f t="shared" si="26"/>
        <v>map</v>
      </c>
      <c r="AD37" s="29" t="str">
        <f t="shared" si="27"/>
        <v>:</v>
      </c>
      <c r="AE37" s="27" t="str">
        <f t="shared" si="28"/>
        <v>:RSCN:DEV_SLVD</v>
      </c>
      <c r="AF37" s="29" t="str">
        <f t="shared" si="29"/>
        <v/>
      </c>
      <c r="AG37" s="27" t="str">
        <f t="shared" si="30"/>
        <v>devSLVD</v>
      </c>
      <c r="AH37" s="27" t="str">
        <f t="shared" si="31"/>
        <v>$(P):RSCN:ST_INPROG</v>
      </c>
      <c r="AI37" s="27" t="str">
        <f t="shared" si="32"/>
        <v>$(P):RSCN:ST_TRAJSET</v>
      </c>
      <c r="AJ37" s="27"/>
      <c r="AK37" s="27" t="str">
        <f t="shared" si="33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37" s="27" t="str">
        <f t="shared" si="34"/>
        <v>_x000D_
# PVs mapping to P2011_x000D_
record(ao, "$(P):RSCN:DEV_SLVD") {_x000D_
  field(DESC, "Solution is ready")_x000D_
  field(OUT, "$(P):RSCN:DEV_SLVD:SET PP MS")_x000D_
  field(PINI, "NO")_x000D_
  field(EGU, "")_x000D_
  field(PREC, "0")  _x000D_
}_x000D_
record(ai, "$(P):RSCN:DEV_SLVD:RBV") {_x000D_
  field(DESC, "Solution is ready readback")_x000D_
  field(DTYP, "stream")_x000D_
  field(FLNK, "$(P):RSCN:DEV_SLVD:SYN")_x000D_
  field(INP, "@pmac.proto getVar(P2011) $(PORT)")_x000D_
  field(SDIS, "$(P):RSCN:ST_INPROG CP MS")_x000D_
  field(DISV, "0")_x000D_
  field(PINI, "NO")_x000D_
  field(DISS, "INVALID")_x000D_
  field(EGU, "")_x000D_
  field(PREC, "0")  _x000D_
}_x000D_
record(ao, "$(P):RSCN:DEV_SLVD:SET") {_x000D_
  field(DTYP, "stream")_x000D_
  field(SDIS, "$(P):RSCN:DEV_SLVD:ROL PP MS")_x000D_
  field(OUT, "@pmac.proto setVar(P2011) $(PORT)")_x000D_
  field(PINI, "NO")_x000D_
  field(DISS, "INVALID")_x000D_
}_x000D_
record(calc, "$(P):RSCN:DEV_SLVD:ROL") {_x000D_
  field(CALC, "(!B) || A")_x000D_
  field(INPA, "$(P):RSCN:DEV_SLVD:SYN.PACT")_x000D_
  field(INPB, "$(P):RSCN:ST_TRAJSET NPP MS")_x000D_
  field(PINI, "NO")_x000D_
}_x000D_
record(calcout, "$(P):RSCN:DEV_SLVD:SYN") {_x000D_
  field(INPA, "$(P):RSCN:DEV_SLVD:RBV PP")_x000D_
  field(INPB, "$(P):RSCN:ST_INPROG NPP MS")_x000D_
  field(INPC, "$(P):RSCN:ST_TRAJSET NPP MS")_x000D_
  field(CALC, "A")_x000D_
  field(OUT, "$(P):RSCN:DEV_SLVD PP MS")_x000D_
  field(PINI, "NO")_x000D_
}_x000D_
#--------------------</v>
      </c>
      <c r="AM37" s="27" t="str">
        <f t="shared" ref="AM37:AM68" si="44">IF(ISNUMBER(W37),SUBSTITUTE(SUBSTITUTE(SUBSTITUTE(SUBSTITUTE(SUBSTITUTE(SUBSTITUTE(SUBSTITUTE(SUBSTITUTE(y_QLabel &amp; IF(RIGHT(R37)="s",y_QELineEdit,y_QELabel),"~PVNAME",$AE37&amp;IF($AC37="map","","")),"~EGU",$K37),"~PREC",$N37),"~VAR",$F37),"~CANGET",$AH37),"~CANSET",$AI37),"~ROW",W37),"~NAME",$E37),"")</f>
        <v/>
      </c>
      <c r="AN37" s="27" t="str">
        <f t="shared" ref="AN37:AN68" si="45">IF(ISNUMBER(X37),SUBSTITUTE(SUBSTITUTE(SUBSTITUTE(SUBSTITUTE(SUBSTITUTE(SUBSTITUTE(SUBSTITUTE(SUBSTITUTE(y_QLabel &amp; IF(RIGHT(S37)="s",y_QELineEdit,y_QELabel),"~PVNAME",$AE37&amp;IF($AC37="map","","")),"~EGU",$K37),"~PREC",$N37),"~VAR",$F37),"~CANGET",$AH37),"~CANSET",$AI37),"~ROW",X37),"~NAME",$E37),"")</f>
        <v xml:space="preserve">&lt;item row="13" column="0"&gt;
         &lt;widget class="QLabel" name="L_dev_SLVD"&gt;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&lt;string&gt;dev_SLVD&lt;/string&gt;
          &lt;/property&gt;
          &lt;property name="margin"&gt;
           &lt;number&gt;3&lt;/number&gt;
          &lt;/property&gt;
         &lt;/widget&gt;
        &lt;/item&gt;
&lt;item row="13" column="1"&gt;
         &lt;widget class="QELabel" name="QL_dev_SLVD"&gt;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&lt;string&gt;$(P)$(R):RSCN:DEV_SLVD&lt;/string&gt;
          &lt;/property&gt;
         &lt;/widget&gt;
   &lt;/item&gt;
</v>
      </c>
      <c r="AO37" s="27" t="e">
        <f t="shared" si="35"/>
        <v>#N/A</v>
      </c>
      <c r="AP37" s="27" t="str">
        <f t="shared" si="36"/>
        <v xml:space="preserve">SR05ID01FST01:RSCN:DEV_SLVD = </v>
      </c>
      <c r="AQ37" s="27" t="str">
        <f t="shared" si="22"/>
        <v xml:space="preserve">;Solution is ready[]epics(map)
#define	devSLVD	P2011	</v>
      </c>
      <c r="AR37" s="27" t="str">
        <f t="shared" si="37"/>
        <v/>
      </c>
      <c r="AS37" s="12">
        <f t="shared" si="38"/>
        <v>5</v>
      </c>
      <c r="AT37" s="12">
        <f t="shared" si="39"/>
        <v>5</v>
      </c>
      <c r="AU37" s="12">
        <f t="shared" si="40"/>
        <v>4</v>
      </c>
      <c r="AV37" s="12">
        <f t="shared" si="41"/>
        <v>14</v>
      </c>
      <c r="AW37" s="13" t="str">
        <f t="shared" si="42"/>
        <v>P2011</v>
      </c>
      <c r="AX37" s="23" t="str">
        <f t="shared" si="43"/>
        <v>SR05ID01FST01:RSCN:DEV_SLVD</v>
      </c>
    </row>
    <row r="38" spans="2:50" ht="15.75" customHeight="1" x14ac:dyDescent="0.25">
      <c r="B38" s="24" t="str">
        <f t="shared" si="24"/>
        <v>.</v>
      </c>
      <c r="C38" s="32" t="str">
        <f t="shared" ref="C38:C69" si="46">IF(AND(ISBLANK(P38),ISBLANK(Q38)),";","#define")</f>
        <v>#define</v>
      </c>
      <c r="D38" s="31" t="s">
        <v>466</v>
      </c>
      <c r="E38" s="25" t="s">
        <v>466</v>
      </c>
      <c r="F38" s="10" t="s">
        <v>387</v>
      </c>
      <c r="G38" s="10" t="s">
        <v>560</v>
      </c>
      <c r="H38" s="10"/>
      <c r="I38" s="11" t="s">
        <v>542</v>
      </c>
      <c r="J38" s="10" t="s">
        <v>598</v>
      </c>
      <c r="K38" s="10"/>
      <c r="L38" s="10">
        <v>0</v>
      </c>
      <c r="M38" s="10">
        <v>9</v>
      </c>
      <c r="N38" s="10">
        <v>0</v>
      </c>
      <c r="O38" s="16"/>
      <c r="P38" s="52" t="s">
        <v>563</v>
      </c>
      <c r="Q38" s="52"/>
      <c r="R38" s="52" t="s">
        <v>39</v>
      </c>
      <c r="S38" s="52"/>
      <c r="T38" s="52" t="s">
        <v>39</v>
      </c>
      <c r="U38" s="52" t="s">
        <v>39</v>
      </c>
      <c r="V38" s="52" t="s">
        <v>39</v>
      </c>
      <c r="W38" s="61">
        <v>8</v>
      </c>
      <c r="X38" s="61"/>
      <c r="AA38" s="33">
        <v>0.5</v>
      </c>
      <c r="AB38" s="58" t="str">
        <f t="shared" si="25"/>
        <v>epics</v>
      </c>
      <c r="AC38" s="55" t="str">
        <f t="shared" si="26"/>
        <v>base</v>
      </c>
      <c r="AD38" s="29" t="str">
        <f t="shared" si="27"/>
        <v>:DEV_STATE</v>
      </c>
      <c r="AE38" s="27" t="str">
        <f t="shared" si="28"/>
        <v>:RSCN:DEV_STATE</v>
      </c>
      <c r="AF38" s="29" t="str">
        <f t="shared" si="29"/>
        <v>devState</v>
      </c>
      <c r="AG38" s="27" t="str">
        <f t="shared" si="30"/>
        <v>devState</v>
      </c>
      <c r="AH38" s="27" t="str">
        <f t="shared" si="31"/>
        <v>$(P):RSCN:</v>
      </c>
      <c r="AI38" s="27" t="str">
        <f t="shared" si="32"/>
        <v>$(P):RSCN:</v>
      </c>
      <c r="AJ38" s="27"/>
      <c r="AK38" s="27" t="str">
        <f t="shared" si="33"/>
        <v/>
      </c>
      <c r="AL38" s="27" t="str">
        <f t="shared" si="34"/>
        <v/>
      </c>
      <c r="AM38" s="27" t="str">
        <f t="shared" si="44"/>
        <v xml:space="preserve">&lt;item row="8" column="0"&gt;
         &lt;widget class="QLabel" name="L_dev_State"&gt;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&lt;string&gt;dev_State&lt;/string&gt;
          &lt;/property&gt;
          &lt;property name="margin"&gt;
           &lt;number&gt;3&lt;/number&gt;
          &lt;/property&gt;
         &lt;/widget&gt;
        &lt;/item&gt;
&lt;item row="8" column="1"&gt;
         &lt;widget class="QELabel" name="QL_dev_State"&gt;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&lt;string&gt;$(P)$(R):RSCN:DEV_STATE&lt;/string&gt;
          &lt;/property&gt;
         &lt;/widget&gt;
   &lt;/item&gt;
</v>
      </c>
      <c r="AN38" s="27" t="str">
        <f t="shared" si="45"/>
        <v/>
      </c>
      <c r="AO38" s="27" t="e">
        <f t="shared" si="35"/>
        <v>#N/A</v>
      </c>
      <c r="AP38" s="27" t="str">
        <f t="shared" si="36"/>
        <v xml:space="preserve">SR05ID01FST01:RSCN:DEV_STATE = </v>
      </c>
      <c r="AQ38" s="27" t="str">
        <f t="shared" si="22"/>
        <v xml:space="preserve">;Scan state word[]epics(base)
#define	devState	P2040	</v>
      </c>
      <c r="AR38" s="27" t="str">
        <f t="shared" si="37"/>
        <v/>
      </c>
      <c r="AS38" s="12">
        <f t="shared" si="38"/>
        <v>4</v>
      </c>
      <c r="AT38" s="12">
        <f t="shared" si="39"/>
        <v>14</v>
      </c>
      <c r="AU38" s="12">
        <f t="shared" si="40"/>
        <v>14</v>
      </c>
      <c r="AV38" s="12">
        <f t="shared" si="41"/>
        <v>16</v>
      </c>
      <c r="AW38" s="13" t="str">
        <f t="shared" si="42"/>
        <v>P2040</v>
      </c>
      <c r="AX38" s="23" t="str">
        <f t="shared" si="43"/>
        <v>SR05ID01FST01:RSCN:DEV_STATE</v>
      </c>
    </row>
    <row r="39" spans="2:50" ht="15.75" customHeight="1" x14ac:dyDescent="0.25">
      <c r="B39" s="24" t="str">
        <f t="shared" si="24"/>
        <v>.</v>
      </c>
      <c r="C39" s="32" t="str">
        <f t="shared" si="46"/>
        <v>;</v>
      </c>
      <c r="D39" s="30" t="s">
        <v>508</v>
      </c>
      <c r="E39" s="23" t="s">
        <v>508</v>
      </c>
      <c r="F39" s="10" t="s">
        <v>427</v>
      </c>
      <c r="G39" s="10"/>
      <c r="H39" s="10"/>
      <c r="I39" s="11"/>
      <c r="J39" s="10"/>
      <c r="K39" s="10"/>
      <c r="L39" s="10"/>
      <c r="M39" s="10"/>
      <c r="N39" s="10"/>
      <c r="O39" s="16"/>
      <c r="P39" s="51"/>
      <c r="Q39" s="52"/>
      <c r="R39" s="52"/>
      <c r="S39" s="52"/>
      <c r="T39" s="52"/>
      <c r="U39" s="52"/>
      <c r="V39" s="52"/>
      <c r="W39" s="61"/>
      <c r="X39" s="61"/>
      <c r="AB39" s="58" t="str">
        <f t="shared" si="25"/>
        <v/>
      </c>
      <c r="AC39" s="55" t="str">
        <f t="shared" si="26"/>
        <v/>
      </c>
      <c r="AD39" s="29" t="str">
        <f t="shared" si="27"/>
        <v>:DIR</v>
      </c>
      <c r="AE39" s="27" t="str">
        <f t="shared" si="28"/>
        <v>:RSCN:DIR</v>
      </c>
      <c r="AF39" s="29" t="str">
        <f t="shared" si="29"/>
        <v>DIR</v>
      </c>
      <c r="AG39" s="27" t="str">
        <f t="shared" si="30"/>
        <v>DIR</v>
      </c>
      <c r="AH39" s="27" t="str">
        <f t="shared" si="31"/>
        <v>$(P):RSCN:</v>
      </c>
      <c r="AI39" s="27" t="str">
        <f t="shared" si="32"/>
        <v>$(P):RSCN:</v>
      </c>
      <c r="AJ39" s="27"/>
      <c r="AK39" s="27" t="str">
        <f t="shared" si="33"/>
        <v/>
      </c>
      <c r="AL39" s="27" t="str">
        <f t="shared" si="34"/>
        <v/>
      </c>
      <c r="AM39" s="27" t="str">
        <f t="shared" si="44"/>
        <v/>
      </c>
      <c r="AN39" s="27" t="str">
        <f t="shared" si="45"/>
        <v/>
      </c>
      <c r="AO39" s="27" t="e">
        <f t="shared" si="35"/>
        <v>#N/A</v>
      </c>
      <c r="AP39" s="27" t="str">
        <f t="shared" si="36"/>
        <v/>
      </c>
      <c r="AQ39" s="27" t="str">
        <f t="shared" si="22"/>
        <v/>
      </c>
      <c r="AR39" s="27" t="str">
        <f t="shared" si="37"/>
        <v/>
      </c>
      <c r="AS39" s="12" t="str">
        <f t="shared" si="38"/>
        <v/>
      </c>
      <c r="AT39" s="12" t="str">
        <f t="shared" si="39"/>
        <v/>
      </c>
      <c r="AU39" s="12" t="str">
        <f t="shared" si="40"/>
        <v/>
      </c>
      <c r="AV39" s="12" t="str">
        <f t="shared" si="41"/>
        <v/>
      </c>
      <c r="AW39" s="13" t="str">
        <f t="shared" si="42"/>
        <v>x</v>
      </c>
      <c r="AX39" s="23" t="str">
        <f t="shared" si="43"/>
        <v>SR05ID01FST01:RSCN:DIR</v>
      </c>
    </row>
    <row r="40" spans="2:50" ht="15.75" customHeight="1" x14ac:dyDescent="0.25">
      <c r="B40" s="24" t="str">
        <f t="shared" si="24"/>
        <v>.</v>
      </c>
      <c r="C40" s="32" t="str">
        <f t="shared" si="46"/>
        <v>;</v>
      </c>
      <c r="D40" s="30" t="s">
        <v>508</v>
      </c>
      <c r="E40" s="23" t="s">
        <v>508</v>
      </c>
      <c r="F40" s="10" t="s">
        <v>427</v>
      </c>
      <c r="G40" s="10"/>
      <c r="H40" s="10"/>
      <c r="I40" s="11"/>
      <c r="J40" s="10"/>
      <c r="K40" s="10"/>
      <c r="L40" s="10"/>
      <c r="M40" s="10"/>
      <c r="N40" s="10"/>
      <c r="O40" s="16"/>
      <c r="P40" s="51"/>
      <c r="Q40" s="52"/>
      <c r="R40" s="52"/>
      <c r="S40" s="52"/>
      <c r="T40" s="52"/>
      <c r="U40" s="52"/>
      <c r="V40" s="52"/>
      <c r="W40" s="61"/>
      <c r="X40" s="61"/>
      <c r="AB40" s="58" t="str">
        <f t="shared" si="25"/>
        <v/>
      </c>
      <c r="AC40" s="55" t="str">
        <f t="shared" si="26"/>
        <v/>
      </c>
      <c r="AD40" s="29" t="str">
        <f t="shared" si="27"/>
        <v>:DIR</v>
      </c>
      <c r="AE40" s="27" t="str">
        <f t="shared" si="28"/>
        <v>:RSCN:DIR</v>
      </c>
      <c r="AF40" s="29" t="str">
        <f t="shared" si="29"/>
        <v>DIR</v>
      </c>
      <c r="AG40" s="27" t="str">
        <f t="shared" si="30"/>
        <v>DIR</v>
      </c>
      <c r="AH40" s="27" t="str">
        <f t="shared" si="31"/>
        <v>$(P):RSCN:</v>
      </c>
      <c r="AI40" s="27" t="str">
        <f t="shared" si="32"/>
        <v>$(P):RSCN:</v>
      </c>
      <c r="AJ40" s="27"/>
      <c r="AK40" s="27" t="str">
        <f t="shared" si="33"/>
        <v/>
      </c>
      <c r="AL40" s="27" t="str">
        <f t="shared" si="34"/>
        <v/>
      </c>
      <c r="AM40" s="27" t="str">
        <f t="shared" si="44"/>
        <v/>
      </c>
      <c r="AN40" s="27" t="str">
        <f t="shared" si="45"/>
        <v/>
      </c>
      <c r="AO40" s="27" t="e">
        <f t="shared" si="35"/>
        <v>#N/A</v>
      </c>
      <c r="AP40" s="27" t="str">
        <f t="shared" si="36"/>
        <v/>
      </c>
      <c r="AQ40" s="27" t="str">
        <f t="shared" si="22"/>
        <v/>
      </c>
      <c r="AR40" s="27" t="str">
        <f t="shared" si="37"/>
        <v/>
      </c>
      <c r="AS40" s="12" t="str">
        <f t="shared" si="38"/>
        <v/>
      </c>
      <c r="AT40" s="12" t="str">
        <f t="shared" si="39"/>
        <v/>
      </c>
      <c r="AU40" s="12" t="str">
        <f t="shared" si="40"/>
        <v/>
      </c>
      <c r="AV40" s="12" t="str">
        <f t="shared" si="41"/>
        <v/>
      </c>
      <c r="AW40" s="13" t="str">
        <f t="shared" si="42"/>
        <v>x</v>
      </c>
      <c r="AX40" s="23" t="str">
        <f t="shared" si="43"/>
        <v>SR05ID01FST01:RSCN:DIR</v>
      </c>
    </row>
    <row r="41" spans="2:50" ht="15.75" customHeight="1" x14ac:dyDescent="0.25">
      <c r="B41" s="24" t="str">
        <f t="shared" si="24"/>
        <v>.</v>
      </c>
      <c r="C41" s="32" t="str">
        <f t="shared" si="46"/>
        <v>;</v>
      </c>
      <c r="D41" s="30" t="s">
        <v>508</v>
      </c>
      <c r="E41" s="23" t="s">
        <v>508</v>
      </c>
      <c r="F41" s="10" t="s">
        <v>427</v>
      </c>
      <c r="G41" s="10"/>
      <c r="H41" s="10"/>
      <c r="I41" s="11"/>
      <c r="J41" s="10"/>
      <c r="K41" s="10"/>
      <c r="L41" s="10"/>
      <c r="M41" s="10"/>
      <c r="N41" s="10"/>
      <c r="O41" s="16"/>
      <c r="P41" s="51"/>
      <c r="Q41" s="52"/>
      <c r="R41" s="52"/>
      <c r="S41" s="52"/>
      <c r="T41" s="52"/>
      <c r="U41" s="52"/>
      <c r="V41" s="52"/>
      <c r="W41" s="61"/>
      <c r="X41" s="61"/>
      <c r="AB41" s="58" t="str">
        <f t="shared" si="25"/>
        <v/>
      </c>
      <c r="AC41" s="55" t="str">
        <f t="shared" si="26"/>
        <v/>
      </c>
      <c r="AD41" s="29" t="str">
        <f t="shared" si="27"/>
        <v>:DIR</v>
      </c>
      <c r="AE41" s="27" t="str">
        <f t="shared" si="28"/>
        <v>:RSCN:DIR</v>
      </c>
      <c r="AF41" s="29" t="str">
        <f t="shared" si="29"/>
        <v>DIR</v>
      </c>
      <c r="AG41" s="27" t="str">
        <f t="shared" si="30"/>
        <v>DIR</v>
      </c>
      <c r="AH41" s="27" t="str">
        <f t="shared" si="31"/>
        <v>$(P):RSCN:</v>
      </c>
      <c r="AI41" s="27" t="str">
        <f t="shared" si="32"/>
        <v>$(P):RSCN:</v>
      </c>
      <c r="AJ41" s="27"/>
      <c r="AK41" s="27" t="str">
        <f t="shared" si="33"/>
        <v/>
      </c>
      <c r="AL41" s="27" t="str">
        <f t="shared" si="34"/>
        <v/>
      </c>
      <c r="AM41" s="27" t="str">
        <f t="shared" si="44"/>
        <v/>
      </c>
      <c r="AN41" s="27" t="str">
        <f t="shared" si="45"/>
        <v/>
      </c>
      <c r="AO41" s="27" t="e">
        <f t="shared" si="35"/>
        <v>#N/A</v>
      </c>
      <c r="AP41" s="27" t="str">
        <f t="shared" si="36"/>
        <v/>
      </c>
      <c r="AQ41" s="27" t="str">
        <f t="shared" si="22"/>
        <v/>
      </c>
      <c r="AR41" s="27" t="str">
        <f t="shared" si="37"/>
        <v/>
      </c>
      <c r="AS41" s="12" t="str">
        <f t="shared" si="38"/>
        <v/>
      </c>
      <c r="AT41" s="12" t="str">
        <f t="shared" si="39"/>
        <v/>
      </c>
      <c r="AU41" s="12" t="str">
        <f t="shared" si="40"/>
        <v/>
      </c>
      <c r="AV41" s="12" t="str">
        <f t="shared" si="41"/>
        <v/>
      </c>
      <c r="AW41" s="13" t="str">
        <f t="shared" si="42"/>
        <v>x</v>
      </c>
      <c r="AX41" s="23" t="str">
        <f t="shared" si="43"/>
        <v>SR05ID01FST01:RSCN:DIR</v>
      </c>
    </row>
    <row r="42" spans="2:50" ht="15.75" customHeight="1" x14ac:dyDescent="0.25">
      <c r="B42" s="24" t="str">
        <f t="shared" si="24"/>
        <v>.</v>
      </c>
      <c r="C42" s="32" t="str">
        <f t="shared" si="46"/>
        <v>;</v>
      </c>
      <c r="D42" s="30" t="s">
        <v>508</v>
      </c>
      <c r="E42" s="23" t="s">
        <v>508</v>
      </c>
      <c r="F42" s="10" t="s">
        <v>427</v>
      </c>
      <c r="G42" s="10"/>
      <c r="H42" s="10"/>
      <c r="I42" s="11"/>
      <c r="J42" s="10"/>
      <c r="K42" s="10"/>
      <c r="L42" s="10"/>
      <c r="M42" s="10"/>
      <c r="N42" s="10"/>
      <c r="O42" s="16"/>
      <c r="P42" s="51"/>
      <c r="Q42" s="52"/>
      <c r="R42" s="52"/>
      <c r="S42" s="52"/>
      <c r="T42" s="52"/>
      <c r="U42" s="52"/>
      <c r="V42" s="52"/>
      <c r="W42" s="61"/>
      <c r="X42" s="61"/>
      <c r="AB42" s="58" t="str">
        <f t="shared" si="25"/>
        <v/>
      </c>
      <c r="AC42" s="55" t="str">
        <f t="shared" si="26"/>
        <v/>
      </c>
      <c r="AD42" s="29" t="str">
        <f t="shared" si="27"/>
        <v>:DIR</v>
      </c>
      <c r="AE42" s="27" t="str">
        <f t="shared" si="28"/>
        <v>:RSCN:DIR</v>
      </c>
      <c r="AF42" s="29" t="str">
        <f t="shared" si="29"/>
        <v>DIR</v>
      </c>
      <c r="AG42" s="27" t="str">
        <f t="shared" si="30"/>
        <v>DIR</v>
      </c>
      <c r="AH42" s="27" t="str">
        <f t="shared" si="31"/>
        <v>$(P):RSCN:</v>
      </c>
      <c r="AI42" s="27" t="str">
        <f t="shared" si="32"/>
        <v>$(P):RSCN:</v>
      </c>
      <c r="AJ42" s="27"/>
      <c r="AK42" s="27" t="str">
        <f t="shared" si="33"/>
        <v/>
      </c>
      <c r="AL42" s="27" t="str">
        <f t="shared" si="34"/>
        <v/>
      </c>
      <c r="AM42" s="27" t="str">
        <f t="shared" si="44"/>
        <v/>
      </c>
      <c r="AN42" s="27" t="str">
        <f t="shared" si="45"/>
        <v/>
      </c>
      <c r="AO42" s="27" t="e">
        <f t="shared" si="35"/>
        <v>#N/A</v>
      </c>
      <c r="AP42" s="27" t="str">
        <f t="shared" si="36"/>
        <v/>
      </c>
      <c r="AQ42" s="27" t="str">
        <f t="shared" si="22"/>
        <v/>
      </c>
      <c r="AR42" s="27" t="str">
        <f t="shared" si="37"/>
        <v/>
      </c>
      <c r="AS42" s="12" t="str">
        <f t="shared" si="38"/>
        <v/>
      </c>
      <c r="AT42" s="12" t="str">
        <f t="shared" si="39"/>
        <v/>
      </c>
      <c r="AU42" s="12" t="str">
        <f t="shared" si="40"/>
        <v/>
      </c>
      <c r="AV42" s="12" t="str">
        <f t="shared" si="41"/>
        <v/>
      </c>
      <c r="AW42" s="13" t="str">
        <f t="shared" si="42"/>
        <v>x</v>
      </c>
      <c r="AX42" s="23" t="str">
        <f t="shared" si="43"/>
        <v>SR05ID01FST01:RSCN:DIR</v>
      </c>
    </row>
    <row r="43" spans="2:50" ht="15.75" customHeight="1" x14ac:dyDescent="0.25">
      <c r="B43" s="24" t="str">
        <f t="shared" si="24"/>
        <v>.</v>
      </c>
      <c r="C43" s="32" t="str">
        <f t="shared" si="46"/>
        <v>#define</v>
      </c>
      <c r="D43" s="30" t="s">
        <v>491</v>
      </c>
      <c r="E43" s="23" t="s">
        <v>491</v>
      </c>
      <c r="F43" s="10" t="s">
        <v>413</v>
      </c>
      <c r="G43" s="10"/>
      <c r="H43" s="10"/>
      <c r="I43" s="11" t="s">
        <v>529</v>
      </c>
      <c r="J43" s="10" t="s">
        <v>597</v>
      </c>
      <c r="K43" s="10"/>
      <c r="L43" s="10"/>
      <c r="M43" s="10"/>
      <c r="N43" s="10"/>
      <c r="O43" s="16"/>
      <c r="P43" s="51" t="s">
        <v>563</v>
      </c>
      <c r="Q43" s="52"/>
      <c r="R43" s="52"/>
      <c r="S43" s="52"/>
      <c r="T43" s="52"/>
      <c r="U43" s="52"/>
      <c r="V43" s="52"/>
      <c r="W43" s="61"/>
      <c r="X43" s="61"/>
      <c r="AB43" s="58" t="str">
        <f t="shared" si="25"/>
        <v/>
      </c>
      <c r="AC43" s="55" t="str">
        <f t="shared" si="26"/>
        <v/>
      </c>
      <c r="AD43" s="29" t="str">
        <f t="shared" si="27"/>
        <v>:DUM</v>
      </c>
      <c r="AE43" s="27" t="str">
        <f t="shared" si="28"/>
        <v>:RSCN:DUM</v>
      </c>
      <c r="AF43" s="29" t="str">
        <f t="shared" si="29"/>
        <v>dum</v>
      </c>
      <c r="AG43" s="27" t="str">
        <f t="shared" si="30"/>
        <v>dum</v>
      </c>
      <c r="AH43" s="27" t="str">
        <f t="shared" si="31"/>
        <v>$(P):RSCN:</v>
      </c>
      <c r="AI43" s="27" t="str">
        <f t="shared" si="32"/>
        <v>$(P):RSCN:</v>
      </c>
      <c r="AJ43" s="27"/>
      <c r="AK43" s="27" t="str">
        <f t="shared" si="33"/>
        <v/>
      </c>
      <c r="AL43" s="27" t="str">
        <f t="shared" si="34"/>
        <v/>
      </c>
      <c r="AM43" s="27" t="str">
        <f t="shared" si="44"/>
        <v/>
      </c>
      <c r="AN43" s="27" t="str">
        <f t="shared" si="45"/>
        <v/>
      </c>
      <c r="AO43" s="27" t="e">
        <f t="shared" si="35"/>
        <v>#N/A</v>
      </c>
      <c r="AP43" s="27" t="str">
        <f t="shared" si="36"/>
        <v/>
      </c>
      <c r="AQ43" s="27" t="str">
        <f t="shared" si="22"/>
        <v xml:space="preserve">;Pmac internal variable[]()
#define	dum	P2066	</v>
      </c>
      <c r="AR43" s="27" t="str">
        <f t="shared" si="37"/>
        <v/>
      </c>
      <c r="AS43" s="12" t="str">
        <f t="shared" si="38"/>
        <v/>
      </c>
      <c r="AT43" s="12" t="str">
        <f t="shared" si="39"/>
        <v/>
      </c>
      <c r="AU43" s="12" t="str">
        <f t="shared" si="40"/>
        <v/>
      </c>
      <c r="AV43" s="12" t="str">
        <f t="shared" si="41"/>
        <v/>
      </c>
      <c r="AW43" s="13" t="str">
        <f t="shared" si="42"/>
        <v>P2066</v>
      </c>
      <c r="AX43" s="23" t="str">
        <f t="shared" si="43"/>
        <v>SR05ID01FST01:RSCN:DUM</v>
      </c>
    </row>
    <row r="44" spans="2:50" ht="15.75" customHeight="1" x14ac:dyDescent="0.25">
      <c r="B44" s="24" t="str">
        <f t="shared" si="24"/>
        <v>.</v>
      </c>
      <c r="C44" s="32" t="str">
        <f t="shared" si="46"/>
        <v>#define</v>
      </c>
      <c r="D44" s="31" t="s">
        <v>439</v>
      </c>
      <c r="E44" s="25" t="s">
        <v>439</v>
      </c>
      <c r="F44" s="10">
        <v>5</v>
      </c>
      <c r="G44" s="10"/>
      <c r="H44" s="10">
        <v>5</v>
      </c>
      <c r="I44" s="11" t="s">
        <v>638</v>
      </c>
      <c r="J44" s="10" t="s">
        <v>597</v>
      </c>
      <c r="K44" s="10"/>
      <c r="L44" s="10"/>
      <c r="M44" s="10"/>
      <c r="N44" s="10"/>
      <c r="O44" s="16"/>
      <c r="P44" s="51" t="s">
        <v>563</v>
      </c>
      <c r="Q44" s="52"/>
      <c r="R44" s="52"/>
      <c r="S44" s="52"/>
      <c r="T44" s="52"/>
      <c r="U44" s="52"/>
      <c r="V44" s="52"/>
      <c r="W44" s="61"/>
      <c r="X44" s="61"/>
      <c r="AB44" s="58" t="str">
        <f t="shared" si="25"/>
        <v/>
      </c>
      <c r="AC44" s="55" t="str">
        <f t="shared" si="26"/>
        <v/>
      </c>
      <c r="AD44" s="29" t="str">
        <f t="shared" si="27"/>
        <v>:ER_A1_IN</v>
      </c>
      <c r="AE44" s="27" t="str">
        <f t="shared" si="28"/>
        <v>:RSCN:ER_A1_IN</v>
      </c>
      <c r="AF44" s="29" t="str">
        <f t="shared" si="29"/>
        <v>era1In</v>
      </c>
      <c r="AG44" s="27" t="str">
        <f t="shared" si="30"/>
        <v>era1In</v>
      </c>
      <c r="AH44" s="27" t="str">
        <f t="shared" si="31"/>
        <v>$(P):RSCN:</v>
      </c>
      <c r="AI44" s="27" t="str">
        <f t="shared" si="32"/>
        <v>$(P):RSCN:</v>
      </c>
      <c r="AJ44" s="27"/>
      <c r="AK44" s="27" t="str">
        <f t="shared" si="33"/>
        <v/>
      </c>
      <c r="AL44" s="27" t="str">
        <f t="shared" si="34"/>
        <v/>
      </c>
      <c r="AM44" s="27" t="str">
        <f t="shared" si="44"/>
        <v/>
      </c>
      <c r="AN44" s="27" t="str">
        <f t="shared" si="45"/>
        <v/>
      </c>
      <c r="AO44" s="27" t="e">
        <f t="shared" si="35"/>
        <v>#N/A</v>
      </c>
      <c r="AP44" s="27" t="str">
        <f t="shared" si="36"/>
        <v/>
      </c>
      <c r="AQ44" s="27" t="str">
        <f t="shared" si="22"/>
        <v xml:space="preserve">;Inner-skip accel. exceeds limits[]()
#define	era1In	5	</v>
      </c>
      <c r="AR44" s="27" t="str">
        <f t="shared" si="37"/>
        <v/>
      </c>
      <c r="AS44" s="12" t="str">
        <f t="shared" si="38"/>
        <v/>
      </c>
      <c r="AT44" s="12" t="str">
        <f t="shared" si="39"/>
        <v/>
      </c>
      <c r="AU44" s="12" t="str">
        <f t="shared" si="40"/>
        <v/>
      </c>
      <c r="AV44" s="12" t="str">
        <f t="shared" si="41"/>
        <v/>
      </c>
      <c r="AW44" s="13" t="str">
        <f t="shared" si="42"/>
        <v>0er5.0000</v>
      </c>
      <c r="AX44" s="23" t="str">
        <f t="shared" si="43"/>
        <v>SR05ID01FST01:RSCN:ER_A1_IN</v>
      </c>
    </row>
    <row r="45" spans="2:50" ht="15.75" customHeight="1" x14ac:dyDescent="0.25">
      <c r="B45" s="24" t="str">
        <f t="shared" si="24"/>
        <v>.</v>
      </c>
      <c r="C45" s="32" t="str">
        <f t="shared" si="46"/>
        <v>#define</v>
      </c>
      <c r="D45" s="31" t="s">
        <v>432</v>
      </c>
      <c r="E45" s="25" t="s">
        <v>432</v>
      </c>
      <c r="F45" s="10">
        <v>2</v>
      </c>
      <c r="G45" s="10"/>
      <c r="H45" s="10">
        <v>2</v>
      </c>
      <c r="I45" s="11" t="s">
        <v>523</v>
      </c>
      <c r="J45" s="10" t="s">
        <v>597</v>
      </c>
      <c r="K45" s="10"/>
      <c r="L45" s="10"/>
      <c r="M45" s="10"/>
      <c r="N45" s="10"/>
      <c r="O45" s="16"/>
      <c r="P45" s="52" t="s">
        <v>563</v>
      </c>
      <c r="Q45" s="52"/>
      <c r="R45" s="52"/>
      <c r="S45" s="52"/>
      <c r="T45" s="52"/>
      <c r="U45" s="52"/>
      <c r="V45" s="52"/>
      <c r="W45" s="61"/>
      <c r="X45" s="61"/>
      <c r="AB45" s="58" t="str">
        <f t="shared" si="25"/>
        <v/>
      </c>
      <c r="AC45" s="55" t="str">
        <f t="shared" si="26"/>
        <v/>
      </c>
      <c r="AD45" s="29" t="str">
        <f t="shared" si="27"/>
        <v>:ER_D1_IN</v>
      </c>
      <c r="AE45" s="27" t="str">
        <f t="shared" si="28"/>
        <v>:RSCN:ER_D1_IN</v>
      </c>
      <c r="AF45" s="29" t="str">
        <f t="shared" si="29"/>
        <v>erd1In</v>
      </c>
      <c r="AG45" s="27" t="str">
        <f t="shared" si="30"/>
        <v>erd1In</v>
      </c>
      <c r="AH45" s="27" t="str">
        <f t="shared" si="31"/>
        <v>$(P):RSCN:</v>
      </c>
      <c r="AI45" s="27" t="str">
        <f t="shared" si="32"/>
        <v>$(P):RSCN:</v>
      </c>
      <c r="AJ45" s="27"/>
      <c r="AK45" s="27" t="str">
        <f t="shared" si="33"/>
        <v/>
      </c>
      <c r="AL45" s="27" t="str">
        <f t="shared" si="34"/>
        <v/>
      </c>
      <c r="AM45" s="27" t="str">
        <f t="shared" si="44"/>
        <v/>
      </c>
      <c r="AN45" s="27" t="str">
        <f t="shared" si="45"/>
        <v/>
      </c>
      <c r="AO45" s="27" t="e">
        <f t="shared" si="35"/>
        <v>#N/A</v>
      </c>
      <c r="AP45" s="27" t="str">
        <f t="shared" si="36"/>
        <v/>
      </c>
      <c r="AQ45" s="27" t="str">
        <f t="shared" si="22"/>
        <v xml:space="preserve">;inner-skip range non-consistent[]()
#define	erd1In	2	</v>
      </c>
      <c r="AR45" s="27" t="str">
        <f t="shared" si="37"/>
        <v/>
      </c>
      <c r="AS45" s="12" t="str">
        <f t="shared" si="38"/>
        <v/>
      </c>
      <c r="AT45" s="12" t="str">
        <f t="shared" si="39"/>
        <v/>
      </c>
      <c r="AU45" s="12" t="str">
        <f t="shared" si="40"/>
        <v/>
      </c>
      <c r="AV45" s="12" t="str">
        <f t="shared" si="41"/>
        <v/>
      </c>
      <c r="AW45" s="13" t="str">
        <f t="shared" si="42"/>
        <v>0er2.0000</v>
      </c>
      <c r="AX45" s="23" t="str">
        <f t="shared" si="43"/>
        <v>SR05ID01FST01:RSCN:ER_D1_IN</v>
      </c>
    </row>
    <row r="46" spans="2:50" ht="15.75" customHeight="1" x14ac:dyDescent="0.25">
      <c r="B46" s="24" t="str">
        <f t="shared" si="24"/>
        <v>.</v>
      </c>
      <c r="C46" s="32" t="str">
        <f t="shared" si="46"/>
        <v>#define</v>
      </c>
      <c r="D46" s="31" t="s">
        <v>436</v>
      </c>
      <c r="E46" s="25" t="s">
        <v>436</v>
      </c>
      <c r="F46" s="10">
        <v>4</v>
      </c>
      <c r="G46" s="10"/>
      <c r="H46" s="10">
        <v>4</v>
      </c>
      <c r="I46" s="11" t="s">
        <v>527</v>
      </c>
      <c r="J46" s="10" t="s">
        <v>597</v>
      </c>
      <c r="K46" s="10"/>
      <c r="L46" s="10"/>
      <c r="M46" s="10"/>
      <c r="N46" s="10"/>
      <c r="O46" s="16"/>
      <c r="P46" s="52" t="s">
        <v>563</v>
      </c>
      <c r="Q46" s="52"/>
      <c r="R46" s="52"/>
      <c r="S46" s="52"/>
      <c r="T46" s="52"/>
      <c r="U46" s="52"/>
      <c r="V46" s="52"/>
      <c r="W46" s="61"/>
      <c r="X46" s="61"/>
      <c r="AB46" s="58" t="str">
        <f t="shared" si="25"/>
        <v/>
      </c>
      <c r="AC46" s="55" t="str">
        <f t="shared" si="26"/>
        <v/>
      </c>
      <c r="AD46" s="29" t="str">
        <f t="shared" si="27"/>
        <v>:ER_ERROR4</v>
      </c>
      <c r="AE46" s="27" t="str">
        <f t="shared" si="28"/>
        <v>:RSCN:ER_ERROR4</v>
      </c>
      <c r="AF46" s="29" t="str">
        <f t="shared" si="29"/>
        <v>erERROR4</v>
      </c>
      <c r="AG46" s="27" t="str">
        <f t="shared" si="30"/>
        <v>erERROR4</v>
      </c>
      <c r="AH46" s="27" t="str">
        <f t="shared" si="31"/>
        <v>$(P):RSCN:</v>
      </c>
      <c r="AI46" s="27" t="str">
        <f t="shared" si="32"/>
        <v>$(P):RSCN:</v>
      </c>
      <c r="AJ46" s="27"/>
      <c r="AK46" s="27" t="str">
        <f t="shared" si="33"/>
        <v/>
      </c>
      <c r="AL46" s="27" t="str">
        <f t="shared" si="34"/>
        <v/>
      </c>
      <c r="AM46" s="27" t="str">
        <f t="shared" si="44"/>
        <v/>
      </c>
      <c r="AN46" s="27" t="str">
        <f t="shared" si="45"/>
        <v/>
      </c>
      <c r="AO46" s="27" t="e">
        <f t="shared" si="35"/>
        <v>#N/A</v>
      </c>
      <c r="AP46" s="27" t="str">
        <f t="shared" si="36"/>
        <v/>
      </c>
      <c r="AQ46" s="27" t="str">
        <f t="shared" si="22"/>
        <v xml:space="preserve">;reserved[]()
#define	erERROR4	4	</v>
      </c>
      <c r="AR46" s="27" t="str">
        <f t="shared" si="37"/>
        <v/>
      </c>
      <c r="AS46" s="12" t="str">
        <f t="shared" si="38"/>
        <v/>
      </c>
      <c r="AT46" s="12" t="str">
        <f t="shared" si="39"/>
        <v/>
      </c>
      <c r="AU46" s="12" t="str">
        <f t="shared" si="40"/>
        <v/>
      </c>
      <c r="AV46" s="12" t="str">
        <f t="shared" si="41"/>
        <v/>
      </c>
      <c r="AW46" s="13" t="str">
        <f t="shared" si="42"/>
        <v>0er4.0000</v>
      </c>
      <c r="AX46" s="23" t="str">
        <f t="shared" si="43"/>
        <v>SR05ID01FST01:RSCN:ER_ERROR4</v>
      </c>
    </row>
    <row r="47" spans="2:50" ht="15.75" customHeight="1" x14ac:dyDescent="0.25">
      <c r="B47" s="24" t="str">
        <f t="shared" si="24"/>
        <v>.</v>
      </c>
      <c r="C47" s="32" t="str">
        <f t="shared" si="46"/>
        <v>#define</v>
      </c>
      <c r="D47" s="31" t="s">
        <v>445</v>
      </c>
      <c r="E47" s="25" t="s">
        <v>445</v>
      </c>
      <c r="F47" s="10">
        <v>8</v>
      </c>
      <c r="G47" s="10"/>
      <c r="H47" s="10">
        <v>8</v>
      </c>
      <c r="I47" s="11"/>
      <c r="J47" s="10" t="s">
        <v>597</v>
      </c>
      <c r="K47" s="10"/>
      <c r="L47" s="10"/>
      <c r="M47" s="10"/>
      <c r="N47" s="10"/>
      <c r="O47" s="16"/>
      <c r="P47" s="52" t="s">
        <v>563</v>
      </c>
      <c r="Q47" s="52"/>
      <c r="R47" s="52"/>
      <c r="S47" s="52"/>
      <c r="T47" s="52"/>
      <c r="U47" s="52"/>
      <c r="V47" s="52"/>
      <c r="W47" s="61"/>
      <c r="X47" s="61"/>
      <c r="AB47" s="58" t="str">
        <f t="shared" si="25"/>
        <v/>
      </c>
      <c r="AC47" s="55" t="str">
        <f t="shared" si="26"/>
        <v/>
      </c>
      <c r="AD47" s="29" t="str">
        <f t="shared" si="27"/>
        <v>:ER_ERROR8</v>
      </c>
      <c r="AE47" s="27" t="str">
        <f t="shared" si="28"/>
        <v>:RSCN:ER_ERROR8</v>
      </c>
      <c r="AF47" s="29" t="str">
        <f t="shared" si="29"/>
        <v>erERROR8</v>
      </c>
      <c r="AG47" s="27" t="str">
        <f t="shared" si="30"/>
        <v>erERROR8</v>
      </c>
      <c r="AH47" s="27" t="str">
        <f t="shared" si="31"/>
        <v>$(P):RSCN:</v>
      </c>
      <c r="AI47" s="27" t="str">
        <f t="shared" si="32"/>
        <v>$(P):RSCN:</v>
      </c>
      <c r="AJ47" s="27"/>
      <c r="AK47" s="27" t="str">
        <f t="shared" si="33"/>
        <v/>
      </c>
      <c r="AL47" s="27" t="str">
        <f t="shared" si="34"/>
        <v/>
      </c>
      <c r="AM47" s="27" t="str">
        <f t="shared" si="44"/>
        <v/>
      </c>
      <c r="AN47" s="27" t="str">
        <f t="shared" si="45"/>
        <v/>
      </c>
      <c r="AO47" s="27" t="e">
        <f t="shared" si="35"/>
        <v>#N/A</v>
      </c>
      <c r="AP47" s="27" t="str">
        <f t="shared" si="36"/>
        <v/>
      </c>
      <c r="AQ47" s="27" t="str">
        <f t="shared" si="22"/>
        <v xml:space="preserve">;[]()
#define	erERROR8	8	</v>
      </c>
      <c r="AR47" s="27" t="str">
        <f t="shared" si="37"/>
        <v/>
      </c>
      <c r="AS47" s="12" t="str">
        <f t="shared" si="38"/>
        <v/>
      </c>
      <c r="AT47" s="12" t="str">
        <f t="shared" si="39"/>
        <v/>
      </c>
      <c r="AU47" s="12" t="str">
        <f t="shared" si="40"/>
        <v/>
      </c>
      <c r="AV47" s="12" t="str">
        <f t="shared" si="41"/>
        <v/>
      </c>
      <c r="AW47" s="13" t="str">
        <f t="shared" si="42"/>
        <v>0er8.0000</v>
      </c>
      <c r="AX47" s="23" t="str">
        <f t="shared" si="43"/>
        <v>SR05ID01FST01:RSCN:ER_ERROR8</v>
      </c>
    </row>
    <row r="48" spans="2:50" ht="15.75" customHeight="1" x14ac:dyDescent="0.25">
      <c r="B48" s="24" t="str">
        <f t="shared" si="24"/>
        <v>.</v>
      </c>
      <c r="C48" s="32" t="str">
        <f t="shared" si="46"/>
        <v>#define</v>
      </c>
      <c r="D48" s="9" t="s">
        <v>428</v>
      </c>
      <c r="E48" s="25" t="s">
        <v>428</v>
      </c>
      <c r="F48" s="10">
        <v>0</v>
      </c>
      <c r="G48" s="10"/>
      <c r="H48" s="10">
        <v>0</v>
      </c>
      <c r="I48" s="11" t="s">
        <v>521</v>
      </c>
      <c r="J48" s="10" t="s">
        <v>597</v>
      </c>
      <c r="K48" s="10"/>
      <c r="L48" s="10"/>
      <c r="M48" s="10"/>
      <c r="N48" s="10"/>
      <c r="O48" s="16"/>
      <c r="P48" s="52" t="s">
        <v>563</v>
      </c>
      <c r="Q48" s="52"/>
      <c r="R48" s="52"/>
      <c r="S48" s="52"/>
      <c r="T48" s="52"/>
      <c r="U48" s="52"/>
      <c r="V48" s="52"/>
      <c r="W48" s="61"/>
      <c r="X48" s="61"/>
      <c r="AB48" s="58" t="str">
        <f t="shared" si="25"/>
        <v/>
      </c>
      <c r="AC48" s="55" t="str">
        <f t="shared" si="26"/>
        <v/>
      </c>
      <c r="AD48" s="29" t="str">
        <f t="shared" si="27"/>
        <v>:ER_NONE</v>
      </c>
      <c r="AE48" s="27" t="str">
        <f t="shared" si="28"/>
        <v>:RSCN:ER_NONE</v>
      </c>
      <c r="AF48" s="29" t="str">
        <f t="shared" si="29"/>
        <v>erNONE</v>
      </c>
      <c r="AG48" s="27" t="str">
        <f t="shared" si="30"/>
        <v>erNONE</v>
      </c>
      <c r="AH48" s="27" t="str">
        <f t="shared" si="31"/>
        <v>$(P):RSCN:</v>
      </c>
      <c r="AI48" s="27" t="str">
        <f t="shared" si="32"/>
        <v>$(P):RSCN:</v>
      </c>
      <c r="AJ48" s="27"/>
      <c r="AK48" s="27" t="str">
        <f t="shared" si="33"/>
        <v/>
      </c>
      <c r="AL48" s="27" t="str">
        <f t="shared" si="34"/>
        <v/>
      </c>
      <c r="AM48" s="27" t="str">
        <f t="shared" si="44"/>
        <v/>
      </c>
      <c r="AN48" s="27" t="str">
        <f t="shared" si="45"/>
        <v/>
      </c>
      <c r="AO48" s="27" t="e">
        <f t="shared" si="35"/>
        <v>#N/A</v>
      </c>
      <c r="AP48" s="27" t="str">
        <f t="shared" si="36"/>
        <v/>
      </c>
      <c r="AQ48" s="27" t="str">
        <f t="shared" si="22"/>
        <v xml:space="preserve">;No Fault[]()
#define	erNONE	0	</v>
      </c>
      <c r="AR48" s="27" t="str">
        <f t="shared" si="37"/>
        <v/>
      </c>
      <c r="AS48" s="12" t="str">
        <f t="shared" si="38"/>
        <v/>
      </c>
      <c r="AT48" s="12" t="str">
        <f t="shared" si="39"/>
        <v/>
      </c>
      <c r="AU48" s="12" t="str">
        <f t="shared" si="40"/>
        <v/>
      </c>
      <c r="AV48" s="12" t="str">
        <f t="shared" si="41"/>
        <v/>
      </c>
      <c r="AW48" s="13" t="str">
        <f t="shared" si="42"/>
        <v>0er.0000</v>
      </c>
      <c r="AX48" s="23" t="str">
        <f t="shared" si="43"/>
        <v>SR05ID01FST01:RSCN:ER_NONE</v>
      </c>
    </row>
    <row r="49" spans="2:50" ht="15.75" customHeight="1" x14ac:dyDescent="0.25">
      <c r="B49" s="24" t="str">
        <f t="shared" si="24"/>
        <v>.</v>
      </c>
      <c r="C49" s="32" t="str">
        <f t="shared" si="46"/>
        <v>#define</v>
      </c>
      <c r="D49" s="31" t="s">
        <v>441</v>
      </c>
      <c r="E49" s="25" t="s">
        <v>441</v>
      </c>
      <c r="F49" s="10">
        <v>6</v>
      </c>
      <c r="G49" s="10"/>
      <c r="H49" s="10">
        <v>6</v>
      </c>
      <c r="I49" s="11" t="s">
        <v>648</v>
      </c>
      <c r="J49" s="10" t="s">
        <v>597</v>
      </c>
      <c r="K49" s="10"/>
      <c r="L49" s="10"/>
      <c r="M49" s="10"/>
      <c r="N49" s="10"/>
      <c r="O49" s="16"/>
      <c r="P49" s="52" t="s">
        <v>563</v>
      </c>
      <c r="Q49" s="52"/>
      <c r="R49" s="52"/>
      <c r="S49" s="52"/>
      <c r="T49" s="52"/>
      <c r="U49" s="52"/>
      <c r="V49" s="52"/>
      <c r="W49" s="61"/>
      <c r="X49" s="61"/>
      <c r="AB49" s="58" t="str">
        <f t="shared" si="25"/>
        <v/>
      </c>
      <c r="AC49" s="55" t="str">
        <f t="shared" si="26"/>
        <v/>
      </c>
      <c r="AD49" s="29" t="str">
        <f t="shared" si="27"/>
        <v>:ER_RANGE1</v>
      </c>
      <c r="AE49" s="27" t="str">
        <f t="shared" si="28"/>
        <v>:RSCN:ER_RANGE1</v>
      </c>
      <c r="AF49" s="29" t="str">
        <f t="shared" si="29"/>
        <v>erRange1</v>
      </c>
      <c r="AG49" s="27" t="str">
        <f t="shared" si="30"/>
        <v>erRange1</v>
      </c>
      <c r="AH49" s="27" t="str">
        <f t="shared" si="31"/>
        <v>$(P):RSCN:</v>
      </c>
      <c r="AI49" s="27" t="str">
        <f t="shared" si="32"/>
        <v>$(P):RSCN:</v>
      </c>
      <c r="AJ49" s="27"/>
      <c r="AK49" s="27" t="str">
        <f t="shared" si="33"/>
        <v/>
      </c>
      <c r="AL49" s="27" t="str">
        <f t="shared" si="34"/>
        <v/>
      </c>
      <c r="AM49" s="27" t="str">
        <f t="shared" si="44"/>
        <v/>
      </c>
      <c r="AN49" s="27" t="str">
        <f t="shared" si="45"/>
        <v/>
      </c>
      <c r="AO49" s="27" t="e">
        <f t="shared" si="35"/>
        <v>#N/A</v>
      </c>
      <c r="AP49" s="27" t="str">
        <f t="shared" si="36"/>
        <v/>
      </c>
      <c r="AQ49" s="27" t="str">
        <f t="shared" si="22"/>
        <v xml:space="preserve">;Motion range exceeds Fly axis limits[]()
#define	erRange1	6	</v>
      </c>
      <c r="AR49" s="27" t="str">
        <f t="shared" si="37"/>
        <v/>
      </c>
      <c r="AS49" s="12" t="str">
        <f t="shared" si="38"/>
        <v/>
      </c>
      <c r="AT49" s="12" t="str">
        <f t="shared" si="39"/>
        <v/>
      </c>
      <c r="AU49" s="12" t="str">
        <f t="shared" si="40"/>
        <v/>
      </c>
      <c r="AV49" s="12" t="str">
        <f t="shared" si="41"/>
        <v/>
      </c>
      <c r="AW49" s="13" t="str">
        <f t="shared" si="42"/>
        <v>0er6.0000</v>
      </c>
      <c r="AX49" s="23" t="str">
        <f t="shared" si="43"/>
        <v>SR05ID01FST01:RSCN:ER_RANGE1</v>
      </c>
    </row>
    <row r="50" spans="2:50" ht="15.75" customHeight="1" x14ac:dyDescent="0.25">
      <c r="B50" s="24" t="str">
        <f t="shared" si="24"/>
        <v>.</v>
      </c>
      <c r="C50" s="32" t="str">
        <f t="shared" si="46"/>
        <v>#define</v>
      </c>
      <c r="D50" s="31" t="s">
        <v>443</v>
      </c>
      <c r="E50" s="25" t="s">
        <v>443</v>
      </c>
      <c r="F50" s="10">
        <v>7</v>
      </c>
      <c r="G50" s="10"/>
      <c r="H50" s="10">
        <v>7</v>
      </c>
      <c r="I50" s="11" t="s">
        <v>649</v>
      </c>
      <c r="J50" s="10" t="s">
        <v>597</v>
      </c>
      <c r="K50" s="10"/>
      <c r="L50" s="10"/>
      <c r="M50" s="10"/>
      <c r="N50" s="10"/>
      <c r="O50" s="16"/>
      <c r="P50" s="52" t="s">
        <v>563</v>
      </c>
      <c r="Q50" s="52"/>
      <c r="R50" s="52"/>
      <c r="S50" s="52"/>
      <c r="T50" s="52"/>
      <c r="U50" s="52"/>
      <c r="V50" s="52"/>
      <c r="W50" s="61"/>
      <c r="X50" s="61"/>
      <c r="AB50" s="58" t="str">
        <f t="shared" si="25"/>
        <v/>
      </c>
      <c r="AC50" s="55" t="str">
        <f t="shared" si="26"/>
        <v/>
      </c>
      <c r="AD50" s="29" t="str">
        <f t="shared" si="27"/>
        <v>:ER_RANGE2</v>
      </c>
      <c r="AE50" s="27" t="str">
        <f t="shared" si="28"/>
        <v>:RSCN:ER_RANGE2</v>
      </c>
      <c r="AF50" s="29" t="str">
        <f t="shared" si="29"/>
        <v>erRange2</v>
      </c>
      <c r="AG50" s="27" t="str">
        <f t="shared" si="30"/>
        <v>erRange2</v>
      </c>
      <c r="AH50" s="27" t="str">
        <f t="shared" si="31"/>
        <v>$(P):RSCN:</v>
      </c>
      <c r="AI50" s="27" t="str">
        <f t="shared" si="32"/>
        <v>$(P):RSCN:</v>
      </c>
      <c r="AJ50" s="27"/>
      <c r="AK50" s="27" t="str">
        <f t="shared" si="33"/>
        <v/>
      </c>
      <c r="AL50" s="27" t="str">
        <f t="shared" si="34"/>
        <v/>
      </c>
      <c r="AM50" s="27" t="str">
        <f t="shared" si="44"/>
        <v/>
      </c>
      <c r="AN50" s="27" t="str">
        <f t="shared" si="45"/>
        <v/>
      </c>
      <c r="AO50" s="27" t="e">
        <f t="shared" si="35"/>
        <v>#N/A</v>
      </c>
      <c r="AP50" s="27" t="str">
        <f t="shared" si="36"/>
        <v/>
      </c>
      <c r="AQ50" s="27" t="str">
        <f t="shared" si="22"/>
        <v xml:space="preserve">;Motion range exceeds Inc. axis limits[]()
#define	erRange2	7	</v>
      </c>
      <c r="AR50" s="27" t="str">
        <f t="shared" si="37"/>
        <v/>
      </c>
      <c r="AS50" s="12" t="str">
        <f t="shared" si="38"/>
        <v/>
      </c>
      <c r="AT50" s="12" t="str">
        <f t="shared" si="39"/>
        <v/>
      </c>
      <c r="AU50" s="12" t="str">
        <f t="shared" si="40"/>
        <v/>
      </c>
      <c r="AV50" s="12" t="str">
        <f t="shared" si="41"/>
        <v/>
      </c>
      <c r="AW50" s="13" t="str">
        <f t="shared" si="42"/>
        <v>0er7.0000</v>
      </c>
      <c r="AX50" s="23" t="str">
        <f t="shared" si="43"/>
        <v>SR05ID01FST01:RSCN:ER_RANGE2</v>
      </c>
    </row>
    <row r="51" spans="2:50" ht="15.75" customHeight="1" x14ac:dyDescent="0.25">
      <c r="B51" s="24" t="str">
        <f t="shared" si="24"/>
        <v>.</v>
      </c>
      <c r="C51" s="32" t="str">
        <f t="shared" si="46"/>
        <v>#define</v>
      </c>
      <c r="D51" s="31" t="s">
        <v>447</v>
      </c>
      <c r="E51" s="25" t="s">
        <v>447</v>
      </c>
      <c r="F51" s="10">
        <v>9</v>
      </c>
      <c r="G51" s="10"/>
      <c r="H51" s="10">
        <v>9</v>
      </c>
      <c r="I51" s="11"/>
      <c r="J51" s="10" t="s">
        <v>597</v>
      </c>
      <c r="K51" s="10"/>
      <c r="L51" s="10"/>
      <c r="M51" s="10"/>
      <c r="N51" s="10"/>
      <c r="O51" s="16"/>
      <c r="P51" s="52" t="s">
        <v>563</v>
      </c>
      <c r="Q51" s="52"/>
      <c r="R51" s="52"/>
      <c r="S51" s="52"/>
      <c r="T51" s="52"/>
      <c r="U51" s="52"/>
      <c r="V51" s="52"/>
      <c r="W51" s="61"/>
      <c r="X51" s="61"/>
      <c r="AB51" s="58" t="str">
        <f t="shared" si="25"/>
        <v/>
      </c>
      <c r="AC51" s="55" t="str">
        <f t="shared" si="26"/>
        <v/>
      </c>
      <c r="AD51" s="29" t="str">
        <f t="shared" si="27"/>
        <v>:ER_STANDBY</v>
      </c>
      <c r="AE51" s="27" t="str">
        <f t="shared" si="28"/>
        <v>:RSCN:ER_STANDBY</v>
      </c>
      <c r="AF51" s="29" t="str">
        <f t="shared" si="29"/>
        <v>erStandby</v>
      </c>
      <c r="AG51" s="27" t="str">
        <f t="shared" si="30"/>
        <v>erStandby</v>
      </c>
      <c r="AH51" s="27" t="str">
        <f t="shared" si="31"/>
        <v>$(P):RSCN:</v>
      </c>
      <c r="AI51" s="27" t="str">
        <f t="shared" si="32"/>
        <v>$(P):RSCN:</v>
      </c>
      <c r="AJ51" s="27"/>
      <c r="AK51" s="27" t="str">
        <f t="shared" si="33"/>
        <v/>
      </c>
      <c r="AL51" s="27" t="str">
        <f t="shared" si="34"/>
        <v/>
      </c>
      <c r="AM51" s="27" t="str">
        <f t="shared" si="44"/>
        <v/>
      </c>
      <c r="AN51" s="27" t="str">
        <f t="shared" si="45"/>
        <v/>
      </c>
      <c r="AO51" s="27" t="e">
        <f t="shared" si="35"/>
        <v>#N/A</v>
      </c>
      <c r="AP51" s="27" t="str">
        <f t="shared" si="36"/>
        <v/>
      </c>
      <c r="AQ51" s="27" t="str">
        <f t="shared" si="22"/>
        <v xml:space="preserve">;[]()
#define	erStandby	9	</v>
      </c>
      <c r="AR51" s="27" t="str">
        <f t="shared" si="37"/>
        <v/>
      </c>
      <c r="AS51" s="12" t="str">
        <f t="shared" si="38"/>
        <v/>
      </c>
      <c r="AT51" s="12" t="str">
        <f t="shared" si="39"/>
        <v/>
      </c>
      <c r="AU51" s="12" t="str">
        <f t="shared" si="40"/>
        <v/>
      </c>
      <c r="AV51" s="12" t="str">
        <f t="shared" si="41"/>
        <v/>
      </c>
      <c r="AW51" s="13" t="str">
        <f t="shared" si="42"/>
        <v>0er9.0000</v>
      </c>
      <c r="AX51" s="23" t="str">
        <f t="shared" si="43"/>
        <v>SR05ID01FST01:RSCN:ER_STANDBY</v>
      </c>
    </row>
    <row r="52" spans="2:50" ht="15.75" customHeight="1" x14ac:dyDescent="0.25">
      <c r="B52" s="24" t="str">
        <f t="shared" si="24"/>
        <v>.</v>
      </c>
      <c r="C52" s="32" t="str">
        <f t="shared" si="46"/>
        <v>#define</v>
      </c>
      <c r="D52" s="31" t="s">
        <v>434</v>
      </c>
      <c r="E52" s="25" t="s">
        <v>434</v>
      </c>
      <c r="F52" s="10">
        <v>3</v>
      </c>
      <c r="G52" s="10"/>
      <c r="H52" s="10">
        <v>3</v>
      </c>
      <c r="I52" s="11" t="s">
        <v>525</v>
      </c>
      <c r="J52" s="10" t="s">
        <v>597</v>
      </c>
      <c r="K52" s="10"/>
      <c r="L52" s="10"/>
      <c r="M52" s="10"/>
      <c r="N52" s="10"/>
      <c r="O52" s="16"/>
      <c r="P52" s="52" t="s">
        <v>563</v>
      </c>
      <c r="Q52" s="52"/>
      <c r="R52" s="52"/>
      <c r="S52" s="52"/>
      <c r="T52" s="52"/>
      <c r="U52" s="52"/>
      <c r="V52" s="52"/>
      <c r="W52" s="61"/>
      <c r="X52" s="61"/>
      <c r="AB52" s="58" t="str">
        <f t="shared" si="25"/>
        <v/>
      </c>
      <c r="AC52" s="55" t="str">
        <f t="shared" si="26"/>
        <v/>
      </c>
      <c r="AD52" s="29" t="str">
        <f t="shared" si="27"/>
        <v>:ER_TRJBUILDER</v>
      </c>
      <c r="AE52" s="27" t="str">
        <f t="shared" si="28"/>
        <v>:RSCN:ER_TRJBUILDER</v>
      </c>
      <c r="AF52" s="29" t="str">
        <f t="shared" si="29"/>
        <v>erTrjBuilder</v>
      </c>
      <c r="AG52" s="27" t="str">
        <f t="shared" si="30"/>
        <v>erTrjBuilder</v>
      </c>
      <c r="AH52" s="27" t="str">
        <f t="shared" si="31"/>
        <v>$(P):RSCN:</v>
      </c>
      <c r="AI52" s="27" t="str">
        <f t="shared" si="32"/>
        <v>$(P):RSCN:</v>
      </c>
      <c r="AJ52" s="27"/>
      <c r="AK52" s="27" t="str">
        <f t="shared" si="33"/>
        <v/>
      </c>
      <c r="AL52" s="27" t="str">
        <f t="shared" si="34"/>
        <v/>
      </c>
      <c r="AM52" s="27" t="str">
        <f t="shared" si="44"/>
        <v/>
      </c>
      <c r="AN52" s="27" t="str">
        <f t="shared" si="45"/>
        <v/>
      </c>
      <c r="AO52" s="27" t="e">
        <f t="shared" si="35"/>
        <v>#N/A</v>
      </c>
      <c r="AP52" s="27" t="str">
        <f t="shared" si="36"/>
        <v/>
      </c>
      <c r="AQ52" s="27" t="str">
        <f t="shared" si="22"/>
        <v xml:space="preserve">;trajectory builder error[]()
#define	erTrjBuilder	3	</v>
      </c>
      <c r="AR52" s="27" t="str">
        <f t="shared" si="37"/>
        <v/>
      </c>
      <c r="AS52" s="12" t="str">
        <f t="shared" si="38"/>
        <v/>
      </c>
      <c r="AT52" s="12" t="str">
        <f t="shared" si="39"/>
        <v/>
      </c>
      <c r="AU52" s="12" t="str">
        <f t="shared" si="40"/>
        <v/>
      </c>
      <c r="AV52" s="12" t="str">
        <f t="shared" si="41"/>
        <v/>
      </c>
      <c r="AW52" s="13" t="str">
        <f t="shared" si="42"/>
        <v>0er3.0000</v>
      </c>
      <c r="AX52" s="23" t="str">
        <f t="shared" si="43"/>
        <v>SR05ID01FST01:RSCN:ER_TRJBUILDER</v>
      </c>
    </row>
    <row r="53" spans="2:50" ht="15.6" customHeight="1" x14ac:dyDescent="0.25">
      <c r="B53" s="24" t="str">
        <f t="shared" si="24"/>
        <v>.</v>
      </c>
      <c r="C53" s="32" t="str">
        <f t="shared" si="46"/>
        <v>#define</v>
      </c>
      <c r="D53" s="31" t="s">
        <v>430</v>
      </c>
      <c r="E53" s="25" t="s">
        <v>430</v>
      </c>
      <c r="F53" s="10">
        <v>1</v>
      </c>
      <c r="G53" s="10"/>
      <c r="H53" s="10">
        <v>1</v>
      </c>
      <c r="I53" s="11" t="s">
        <v>522</v>
      </c>
      <c r="J53" s="10" t="s">
        <v>597</v>
      </c>
      <c r="K53" s="10"/>
      <c r="L53" s="10"/>
      <c r="M53" s="10"/>
      <c r="N53" s="10"/>
      <c r="O53" s="16"/>
      <c r="P53" s="52" t="s">
        <v>563</v>
      </c>
      <c r="Q53" s="52"/>
      <c r="R53" s="52"/>
      <c r="S53" s="52"/>
      <c r="T53" s="52"/>
      <c r="U53" s="52"/>
      <c r="V53" s="52"/>
      <c r="W53" s="61"/>
      <c r="X53" s="61"/>
      <c r="AB53" s="58" t="str">
        <f t="shared" si="25"/>
        <v/>
      </c>
      <c r="AC53" s="55" t="str">
        <f t="shared" si="26"/>
        <v/>
      </c>
      <c r="AD53" s="29" t="str">
        <f t="shared" si="27"/>
        <v>:ER_V1_DELTA</v>
      </c>
      <c r="AE53" s="27" t="str">
        <f t="shared" si="28"/>
        <v>:RSCN:ER_V1_DELTA</v>
      </c>
      <c r="AF53" s="29" t="str">
        <f t="shared" si="29"/>
        <v>erv1Delta</v>
      </c>
      <c r="AG53" s="27" t="str">
        <f t="shared" si="30"/>
        <v>erv1Delta</v>
      </c>
      <c r="AH53" s="27" t="str">
        <f t="shared" si="31"/>
        <v>$(P):RSCN:</v>
      </c>
      <c r="AI53" s="27" t="str">
        <f t="shared" si="32"/>
        <v>$(P):RSCN:</v>
      </c>
      <c r="AJ53" s="27"/>
      <c r="AK53" s="27" t="str">
        <f t="shared" si="33"/>
        <v/>
      </c>
      <c r="AL53" s="27" t="str">
        <f t="shared" si="34"/>
        <v/>
      </c>
      <c r="AM53" s="27" t="str">
        <f t="shared" si="44"/>
        <v/>
      </c>
      <c r="AN53" s="27" t="str">
        <f t="shared" si="45"/>
        <v/>
      </c>
      <c r="AO53" s="27" t="e">
        <f t="shared" si="35"/>
        <v>#N/A</v>
      </c>
      <c r="AP53" s="27" t="str">
        <f t="shared" si="36"/>
        <v/>
      </c>
      <c r="AQ53" s="27" t="str">
        <f t="shared" si="22"/>
        <v xml:space="preserve">;Velocity parameters non-consistent[]()
#define	erv1Delta	1	</v>
      </c>
      <c r="AR53" s="27" t="str">
        <f t="shared" si="37"/>
        <v/>
      </c>
      <c r="AS53" s="12" t="str">
        <f t="shared" si="38"/>
        <v/>
      </c>
      <c r="AT53" s="12" t="str">
        <f t="shared" si="39"/>
        <v/>
      </c>
      <c r="AU53" s="12" t="str">
        <f t="shared" si="40"/>
        <v/>
      </c>
      <c r="AV53" s="12" t="str">
        <f t="shared" si="41"/>
        <v/>
      </c>
      <c r="AW53" s="13" t="str">
        <f t="shared" si="42"/>
        <v>0er1.0000</v>
      </c>
      <c r="AX53" s="23" t="str">
        <f t="shared" si="43"/>
        <v>SR05ID01FST01:RSCN:ER_V1_DELTA</v>
      </c>
    </row>
    <row r="54" spans="2:50" ht="15.6" customHeight="1" x14ac:dyDescent="0.25">
      <c r="B54" s="24" t="str">
        <f t="shared" si="24"/>
        <v>.</v>
      </c>
      <c r="C54" s="32" t="str">
        <f t="shared" si="46"/>
        <v>;</v>
      </c>
      <c r="D54" s="30" t="s">
        <v>509</v>
      </c>
      <c r="E54" s="23" t="s">
        <v>509</v>
      </c>
      <c r="F54" s="10" t="s">
        <v>427</v>
      </c>
      <c r="G54" s="10"/>
      <c r="H54" s="10"/>
      <c r="I54" s="11"/>
      <c r="J54" s="10"/>
      <c r="K54" s="10"/>
      <c r="L54" s="10"/>
      <c r="M54" s="10"/>
      <c r="N54" s="10"/>
      <c r="O54" s="16"/>
      <c r="P54" s="52"/>
      <c r="Q54" s="52"/>
      <c r="R54" s="52"/>
      <c r="S54" s="52"/>
      <c r="T54" s="52"/>
      <c r="U54" s="52"/>
      <c r="V54" s="52"/>
      <c r="W54" s="61"/>
      <c r="X54" s="61"/>
      <c r="AA54" s="33">
        <v>30</v>
      </c>
      <c r="AB54" s="58" t="str">
        <f t="shared" si="25"/>
        <v/>
      </c>
      <c r="AC54" s="55" t="str">
        <f t="shared" si="26"/>
        <v/>
      </c>
      <c r="AD54" s="29" t="str">
        <f t="shared" si="27"/>
        <v>:HLMM</v>
      </c>
      <c r="AE54" s="27" t="str">
        <f t="shared" si="28"/>
        <v>:RSCN:HLMM</v>
      </c>
      <c r="AF54" s="29" t="str">
        <f t="shared" si="29"/>
        <v>HLMM</v>
      </c>
      <c r="AG54" s="27" t="str">
        <f t="shared" si="30"/>
        <v>HLMM</v>
      </c>
      <c r="AH54" s="27" t="str">
        <f t="shared" si="31"/>
        <v>$(P):RSCN:</v>
      </c>
      <c r="AI54" s="27" t="str">
        <f t="shared" si="32"/>
        <v>$(P):RSCN:</v>
      </c>
      <c r="AJ54" s="27"/>
      <c r="AK54" s="27" t="str">
        <f t="shared" si="33"/>
        <v/>
      </c>
      <c r="AL54" s="27" t="str">
        <f t="shared" si="34"/>
        <v/>
      </c>
      <c r="AM54" s="27" t="str">
        <f t="shared" si="44"/>
        <v/>
      </c>
      <c r="AN54" s="27" t="str">
        <f t="shared" si="45"/>
        <v/>
      </c>
      <c r="AO54" s="27" t="e">
        <f t="shared" si="35"/>
        <v>#N/A</v>
      </c>
      <c r="AP54" s="27" t="str">
        <f t="shared" si="36"/>
        <v/>
      </c>
      <c r="AQ54" s="27" t="str">
        <f t="shared" si="22"/>
        <v/>
      </c>
      <c r="AR54" s="27" t="str">
        <f t="shared" si="37"/>
        <v/>
      </c>
      <c r="AS54" s="12" t="str">
        <f t="shared" si="38"/>
        <v/>
      </c>
      <c r="AT54" s="12" t="str">
        <f t="shared" si="39"/>
        <v/>
      </c>
      <c r="AU54" s="12" t="str">
        <f t="shared" si="40"/>
        <v/>
      </c>
      <c r="AV54" s="12" t="str">
        <f t="shared" si="41"/>
        <v/>
      </c>
      <c r="AW54" s="13" t="str">
        <f t="shared" si="42"/>
        <v>x</v>
      </c>
      <c r="AX54" s="23" t="str">
        <f t="shared" si="43"/>
        <v>SR05ID01FST01:RSCN:HLMM</v>
      </c>
    </row>
    <row r="55" spans="2:50" ht="15.75" customHeight="1" x14ac:dyDescent="0.25">
      <c r="B55" s="24" t="str">
        <f t="shared" si="24"/>
        <v>.</v>
      </c>
      <c r="C55" s="32" t="str">
        <f t="shared" si="46"/>
        <v>;</v>
      </c>
      <c r="D55" s="30" t="s">
        <v>509</v>
      </c>
      <c r="E55" s="23" t="s">
        <v>509</v>
      </c>
      <c r="F55" s="10" t="s">
        <v>427</v>
      </c>
      <c r="G55" s="10"/>
      <c r="H55" s="10"/>
      <c r="I55" s="11"/>
      <c r="J55" s="10"/>
      <c r="K55" s="10"/>
      <c r="L55" s="10"/>
      <c r="M55" s="10"/>
      <c r="N55" s="10"/>
      <c r="O55" s="16"/>
      <c r="P55" s="52"/>
      <c r="Q55" s="52"/>
      <c r="R55" s="52"/>
      <c r="S55" s="52"/>
      <c r="T55" s="52"/>
      <c r="U55" s="52"/>
      <c r="V55" s="52"/>
      <c r="W55" s="61"/>
      <c r="X55" s="61"/>
      <c r="AA55" s="33">
        <v>30</v>
      </c>
      <c r="AB55" s="58" t="str">
        <f t="shared" si="25"/>
        <v/>
      </c>
      <c r="AC55" s="55" t="str">
        <f t="shared" si="26"/>
        <v/>
      </c>
      <c r="AD55" s="29" t="str">
        <f t="shared" si="27"/>
        <v>:HLMM</v>
      </c>
      <c r="AE55" s="27" t="str">
        <f t="shared" si="28"/>
        <v>:RSCN:HLMM</v>
      </c>
      <c r="AF55" s="29" t="str">
        <f t="shared" si="29"/>
        <v>HLMM</v>
      </c>
      <c r="AG55" s="27" t="str">
        <f t="shared" si="30"/>
        <v>HLMM</v>
      </c>
      <c r="AH55" s="27" t="str">
        <f t="shared" si="31"/>
        <v>$(P):RSCN:</v>
      </c>
      <c r="AI55" s="27" t="str">
        <f t="shared" si="32"/>
        <v>$(P):RSCN:</v>
      </c>
      <c r="AJ55" s="27"/>
      <c r="AK55" s="27" t="str">
        <f t="shared" si="33"/>
        <v/>
      </c>
      <c r="AL55" s="27" t="str">
        <f t="shared" si="34"/>
        <v/>
      </c>
      <c r="AM55" s="27" t="str">
        <f t="shared" si="44"/>
        <v/>
      </c>
      <c r="AN55" s="27" t="str">
        <f t="shared" si="45"/>
        <v/>
      </c>
      <c r="AO55" s="27" t="e">
        <f t="shared" si="35"/>
        <v>#N/A</v>
      </c>
      <c r="AP55" s="27" t="str">
        <f t="shared" si="36"/>
        <v/>
      </c>
      <c r="AQ55" s="27" t="str">
        <f t="shared" si="22"/>
        <v/>
      </c>
      <c r="AR55" s="27" t="str">
        <f t="shared" si="37"/>
        <v/>
      </c>
      <c r="AS55" s="12" t="str">
        <f t="shared" si="38"/>
        <v/>
      </c>
      <c r="AT55" s="12" t="str">
        <f t="shared" si="39"/>
        <v/>
      </c>
      <c r="AU55" s="12" t="str">
        <f t="shared" si="40"/>
        <v/>
      </c>
      <c r="AV55" s="12" t="str">
        <f t="shared" si="41"/>
        <v/>
      </c>
      <c r="AW55" s="13" t="str">
        <f t="shared" si="42"/>
        <v>x</v>
      </c>
      <c r="AX55" s="23" t="str">
        <f t="shared" si="43"/>
        <v>SR05ID01FST01:RSCN:HLMM</v>
      </c>
    </row>
    <row r="56" spans="2:50" ht="15.75" customHeight="1" x14ac:dyDescent="0.25">
      <c r="B56" s="24" t="str">
        <f t="shared" si="24"/>
        <v>.</v>
      </c>
      <c r="C56" s="32" t="str">
        <f t="shared" si="46"/>
        <v>;</v>
      </c>
      <c r="D56" s="30" t="s">
        <v>509</v>
      </c>
      <c r="E56" s="23" t="s">
        <v>509</v>
      </c>
      <c r="F56" s="10" t="s">
        <v>427</v>
      </c>
      <c r="G56" s="10"/>
      <c r="H56" s="10"/>
      <c r="I56" s="11"/>
      <c r="J56" s="10"/>
      <c r="K56" s="10"/>
      <c r="L56" s="10"/>
      <c r="M56" s="10"/>
      <c r="N56" s="10"/>
      <c r="O56" s="16"/>
      <c r="P56" s="52"/>
      <c r="Q56" s="52"/>
      <c r="R56" s="52"/>
      <c r="S56" s="52"/>
      <c r="T56" s="52"/>
      <c r="U56" s="52"/>
      <c r="V56" s="52"/>
      <c r="W56" s="61"/>
      <c r="X56" s="61"/>
      <c r="AA56" s="33">
        <v>30</v>
      </c>
      <c r="AB56" s="58" t="str">
        <f t="shared" si="25"/>
        <v/>
      </c>
      <c r="AC56" s="55" t="str">
        <f t="shared" si="26"/>
        <v/>
      </c>
      <c r="AD56" s="29" t="str">
        <f t="shared" si="27"/>
        <v>:HLMM</v>
      </c>
      <c r="AE56" s="27" t="str">
        <f t="shared" si="28"/>
        <v>:RSCN:HLMM</v>
      </c>
      <c r="AF56" s="29" t="str">
        <f t="shared" si="29"/>
        <v>HLMM</v>
      </c>
      <c r="AG56" s="27" t="str">
        <f t="shared" si="30"/>
        <v>HLMM</v>
      </c>
      <c r="AH56" s="27" t="str">
        <f t="shared" si="31"/>
        <v>$(P):RSCN:</v>
      </c>
      <c r="AI56" s="27" t="str">
        <f t="shared" si="32"/>
        <v>$(P):RSCN:</v>
      </c>
      <c r="AJ56" s="27"/>
      <c r="AK56" s="27" t="str">
        <f t="shared" si="33"/>
        <v/>
      </c>
      <c r="AL56" s="27" t="str">
        <f t="shared" si="34"/>
        <v/>
      </c>
      <c r="AM56" s="27" t="str">
        <f t="shared" si="44"/>
        <v/>
      </c>
      <c r="AN56" s="27" t="str">
        <f t="shared" si="45"/>
        <v/>
      </c>
      <c r="AO56" s="27" t="e">
        <f t="shared" si="35"/>
        <v>#N/A</v>
      </c>
      <c r="AP56" s="27" t="str">
        <f t="shared" si="36"/>
        <v/>
      </c>
      <c r="AQ56" s="27" t="str">
        <f t="shared" si="22"/>
        <v/>
      </c>
      <c r="AR56" s="27" t="str">
        <f t="shared" si="37"/>
        <v/>
      </c>
      <c r="AS56" s="12" t="str">
        <f t="shared" si="38"/>
        <v/>
      </c>
      <c r="AT56" s="12" t="str">
        <f t="shared" si="39"/>
        <v/>
      </c>
      <c r="AU56" s="12" t="str">
        <f t="shared" si="40"/>
        <v/>
      </c>
      <c r="AV56" s="12" t="str">
        <f t="shared" si="41"/>
        <v/>
      </c>
      <c r="AW56" s="13" t="str">
        <f t="shared" si="42"/>
        <v>x</v>
      </c>
      <c r="AX56" s="23" t="str">
        <f t="shared" si="43"/>
        <v>SR05ID01FST01:RSCN:HLMM</v>
      </c>
    </row>
    <row r="57" spans="2:50" ht="15.75" customHeight="1" x14ac:dyDescent="0.25">
      <c r="B57" s="24" t="str">
        <f t="shared" si="24"/>
        <v>.</v>
      </c>
      <c r="C57" s="32" t="str">
        <f t="shared" si="46"/>
        <v>;</v>
      </c>
      <c r="D57" s="30" t="s">
        <v>509</v>
      </c>
      <c r="E57" s="23" t="s">
        <v>509</v>
      </c>
      <c r="F57" s="10" t="s">
        <v>427</v>
      </c>
      <c r="G57" s="10"/>
      <c r="H57" s="10"/>
      <c r="I57" s="11"/>
      <c r="J57" s="10"/>
      <c r="K57" s="10"/>
      <c r="L57" s="10"/>
      <c r="M57" s="10"/>
      <c r="N57" s="10"/>
      <c r="O57" s="16"/>
      <c r="P57" s="52"/>
      <c r="Q57" s="52"/>
      <c r="R57" s="52"/>
      <c r="S57" s="52"/>
      <c r="T57" s="52"/>
      <c r="U57" s="52"/>
      <c r="V57" s="52"/>
      <c r="W57" s="61"/>
      <c r="X57" s="61"/>
      <c r="AA57" s="33">
        <v>30</v>
      </c>
      <c r="AB57" s="58" t="str">
        <f t="shared" si="25"/>
        <v/>
      </c>
      <c r="AC57" s="55" t="str">
        <f t="shared" si="26"/>
        <v/>
      </c>
      <c r="AD57" s="29" t="str">
        <f t="shared" si="27"/>
        <v>:HLMM</v>
      </c>
      <c r="AE57" s="27" t="str">
        <f t="shared" si="28"/>
        <v>:RSCN:HLMM</v>
      </c>
      <c r="AF57" s="29" t="str">
        <f t="shared" si="29"/>
        <v>HLMM</v>
      </c>
      <c r="AG57" s="27" t="str">
        <f t="shared" si="30"/>
        <v>HLMM</v>
      </c>
      <c r="AH57" s="27" t="str">
        <f t="shared" si="31"/>
        <v>$(P):RSCN:</v>
      </c>
      <c r="AI57" s="27" t="str">
        <f t="shared" si="32"/>
        <v>$(P):RSCN:</v>
      </c>
      <c r="AJ57" s="27"/>
      <c r="AK57" s="27" t="str">
        <f t="shared" si="33"/>
        <v/>
      </c>
      <c r="AL57" s="27" t="str">
        <f t="shared" si="34"/>
        <v/>
      </c>
      <c r="AM57" s="27" t="str">
        <f t="shared" si="44"/>
        <v/>
      </c>
      <c r="AN57" s="27" t="str">
        <f t="shared" si="45"/>
        <v/>
      </c>
      <c r="AO57" s="27" t="e">
        <f t="shared" si="35"/>
        <v>#N/A</v>
      </c>
      <c r="AP57" s="27" t="str">
        <f t="shared" si="36"/>
        <v/>
      </c>
      <c r="AQ57" s="27" t="str">
        <f t="shared" si="22"/>
        <v/>
      </c>
      <c r="AR57" s="27" t="str">
        <f t="shared" si="37"/>
        <v/>
      </c>
      <c r="AS57" s="12" t="str">
        <f t="shared" si="38"/>
        <v/>
      </c>
      <c r="AT57" s="12" t="str">
        <f t="shared" si="39"/>
        <v/>
      </c>
      <c r="AU57" s="12" t="str">
        <f t="shared" si="40"/>
        <v/>
      </c>
      <c r="AV57" s="12" t="str">
        <f t="shared" si="41"/>
        <v/>
      </c>
      <c r="AW57" s="13" t="str">
        <f t="shared" si="42"/>
        <v>x</v>
      </c>
      <c r="AX57" s="23" t="str">
        <f t="shared" si="43"/>
        <v>SR05ID01FST01:RSCN:HLMM</v>
      </c>
    </row>
    <row r="58" spans="2:50" ht="15.75" customHeight="1" x14ac:dyDescent="0.25">
      <c r="B58" s="24" t="str">
        <f t="shared" si="24"/>
        <v>.</v>
      </c>
      <c r="C58" s="32" t="str">
        <f t="shared" si="46"/>
        <v>;</v>
      </c>
      <c r="D58" s="31"/>
      <c r="E58" s="25" t="s">
        <v>697</v>
      </c>
      <c r="F58" s="10" t="s">
        <v>698</v>
      </c>
      <c r="G58" s="10" t="s">
        <v>86</v>
      </c>
      <c r="H58" s="10"/>
      <c r="I58" s="11" t="s">
        <v>702</v>
      </c>
      <c r="J58" s="10" t="s">
        <v>561</v>
      </c>
      <c r="K58" s="10" t="s">
        <v>565</v>
      </c>
      <c r="L58" s="10">
        <v>-9999999</v>
      </c>
      <c r="M58" s="10">
        <v>9999999</v>
      </c>
      <c r="N58" s="10">
        <v>1</v>
      </c>
      <c r="O58" s="16"/>
      <c r="P58" s="52"/>
      <c r="Q58" s="52"/>
      <c r="R58" s="52" t="s">
        <v>563</v>
      </c>
      <c r="S58" s="52"/>
      <c r="T58" s="52" t="s">
        <v>39</v>
      </c>
      <c r="U58" s="52"/>
      <c r="V58" s="52"/>
      <c r="W58" s="61">
        <v>16</v>
      </c>
      <c r="X58" s="61"/>
      <c r="Z58" s="33" t="s">
        <v>571</v>
      </c>
      <c r="AA58" s="33">
        <v>30</v>
      </c>
      <c r="AB58" s="58" t="str">
        <f t="shared" si="25"/>
        <v>epics</v>
      </c>
      <c r="AC58" s="55" t="str">
        <f t="shared" si="26"/>
        <v>nmp</v>
      </c>
      <c r="AD58" s="29" t="str">
        <f t="shared" si="27"/>
        <v>:</v>
      </c>
      <c r="AE58" s="27" t="str">
        <f t="shared" si="28"/>
        <v>:RSCN:J1_HLM</v>
      </c>
      <c r="AF58" s="29" t="str">
        <f t="shared" si="29"/>
        <v/>
      </c>
      <c r="AG58" s="27" t="str">
        <f t="shared" si="30"/>
        <v>j1HLM</v>
      </c>
      <c r="AH58" s="27" t="str">
        <f t="shared" si="31"/>
        <v>$(P):RSCN:</v>
      </c>
      <c r="AI58" s="27" t="str">
        <f t="shared" si="32"/>
        <v>$(P):RSCN:ST_TRAJSET</v>
      </c>
      <c r="AJ58" s="27"/>
      <c r="AK58" s="27" t="str">
        <f t="shared" si="33"/>
        <v># non-mapped PV
record(ai, "$(P)$(Q)") {
  field(DESC, "$(DESC)")
  field(PINI, "YES")
  field(EGU, "$(EGU)")
  field(PREC, "$(PREC)")
  field(VAL,"$(DEFAULT)")
  field(SDIS, "$(SetSB) CP MS")
  field(DISV, "0")
  field(DISS, "INVALID")
}
#--------------</v>
      </c>
      <c r="AL58" s="27" t="str">
        <f t="shared" si="34"/>
        <v># non-mapped PV
record(ai, "$(P):RSCN:J1_HLM") {
  field(DESC, "Fly axis jerk desired limit")
  field(PINI, "YES")
  field(EGU, "EGU/s2")
  field(PREC, "1")
  field(VAL,"")
  field(SDIS, "$(P):RSCN:ST_TRAJSET CP MS")
  field(DISV, "0")
  field(DISS, "INVALID")
}
#--------------</v>
      </c>
      <c r="AM58" s="27" t="str">
        <f t="shared" si="44"/>
        <v>&lt;item row="16" column="0"&gt;
         &lt;widget class="QLabel" name="L_j1_HLM"&gt;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&lt;string&gt;j1_HLM&lt;/string&gt;
          &lt;/property&gt;
          &lt;property name="margin"&gt;
           &lt;number&gt;3&lt;/number&gt;
          &lt;/property&gt;
         &lt;/widget&gt;
        &lt;/item&gt;
&lt;item row="16" column="2"&gt;
            &lt;widget class="QELineEdit" name="QLD_j1_HLM"&gt;
             &lt;property name="variable" stdset="0"&gt;
              &lt;string&gt;$(P)$(R):RSCN:J1_HLM&lt;/string&gt;
             &lt;/property&gt;
             &lt;property name="addUnits"&gt;
             &lt;bool&gt;true&lt;/bool&gt;
             &lt;/property&gt;
            &lt;/widget&gt;
           &lt;/item&gt;</v>
      </c>
      <c r="AN58" s="27" t="str">
        <f t="shared" si="45"/>
        <v/>
      </c>
      <c r="AO58" s="27" t="e">
        <f t="shared" si="35"/>
        <v>#N/A</v>
      </c>
      <c r="AP58" s="27" t="str">
        <f t="shared" si="36"/>
        <v xml:space="preserve">SR05ID01FST01:RSCN:J1_HLM = </v>
      </c>
      <c r="AQ58" s="27" t="str">
        <f t="shared" si="22"/>
        <v/>
      </c>
      <c r="AR58" s="27" t="str">
        <f t="shared" si="37"/>
        <v xml:space="preserve">      &lt;channel&gt;
         &lt;name&gt;SR05ID01FST01:RSCN:J1_HLM&lt;/name&gt;
         &lt;period&gt;30&lt;/period&gt;
         &lt;monitor/&gt;
      &lt;/channel&gt;</v>
      </c>
      <c r="AS58" s="12">
        <f t="shared" si="38"/>
        <v>7</v>
      </c>
      <c r="AT58" s="12">
        <f t="shared" si="39"/>
        <v>14</v>
      </c>
      <c r="AU58" s="12">
        <f t="shared" si="40"/>
        <v>4</v>
      </c>
      <c r="AV58" s="12">
        <f t="shared" si="41"/>
        <v>4</v>
      </c>
      <c r="AW58" s="13" t="str">
        <f t="shared" si="42"/>
        <v>P2020</v>
      </c>
      <c r="AX58" s="23" t="str">
        <f t="shared" si="43"/>
        <v>SR05ID01FST01:RSCN:J1_HLM</v>
      </c>
    </row>
    <row r="59" spans="2:50" ht="15.75" customHeight="1" x14ac:dyDescent="0.25">
      <c r="B59" s="24" t="str">
        <f t="shared" si="24"/>
        <v>.</v>
      </c>
      <c r="C59" s="32" t="str">
        <f t="shared" si="46"/>
        <v>;</v>
      </c>
      <c r="D59" s="30"/>
      <c r="E59" s="25" t="s">
        <v>701</v>
      </c>
      <c r="F59" s="10" t="s">
        <v>699</v>
      </c>
      <c r="G59" s="10" t="s">
        <v>86</v>
      </c>
      <c r="H59" s="10"/>
      <c r="I59" s="11" t="s">
        <v>700</v>
      </c>
      <c r="J59" s="10" t="s">
        <v>561</v>
      </c>
      <c r="K59" s="10" t="s">
        <v>565</v>
      </c>
      <c r="L59" s="10">
        <v>-9999999</v>
      </c>
      <c r="M59" s="10">
        <v>9999999</v>
      </c>
      <c r="N59" s="10">
        <v>1</v>
      </c>
      <c r="O59" s="16"/>
      <c r="P59" s="52"/>
      <c r="Q59" s="52"/>
      <c r="R59" s="52" t="s">
        <v>563</v>
      </c>
      <c r="S59" s="52"/>
      <c r="T59" s="52" t="s">
        <v>39</v>
      </c>
      <c r="U59" s="52"/>
      <c r="V59" s="52"/>
      <c r="W59" s="61">
        <v>17</v>
      </c>
      <c r="X59" s="61"/>
      <c r="Z59" s="33" t="s">
        <v>571</v>
      </c>
      <c r="AA59" s="33">
        <v>30</v>
      </c>
      <c r="AB59" s="58" t="str">
        <f t="shared" si="25"/>
        <v>epics</v>
      </c>
      <c r="AC59" s="55" t="str">
        <f t="shared" si="26"/>
        <v>nmp</v>
      </c>
      <c r="AD59" s="29" t="str">
        <f t="shared" si="27"/>
        <v>:</v>
      </c>
      <c r="AE59" s="27" t="str">
        <f t="shared" si="28"/>
        <v>:RSCN:J2_HLM</v>
      </c>
      <c r="AF59" s="29" t="str">
        <f t="shared" si="29"/>
        <v/>
      </c>
      <c r="AG59" s="27" t="str">
        <f t="shared" si="30"/>
        <v>j2HLM</v>
      </c>
      <c r="AH59" s="27" t="str">
        <f t="shared" si="31"/>
        <v>$(P):RSCN:</v>
      </c>
      <c r="AI59" s="27" t="str">
        <f t="shared" si="32"/>
        <v>$(P):RSCN:ST_TRAJSET</v>
      </c>
      <c r="AJ59" s="27"/>
      <c r="AK59" s="27" t="str">
        <f t="shared" si="33"/>
        <v># non-mapped PV
record(ai, "$(P)$(Q)") {
  field(DESC, "$(DESC)")
  field(PINI, "YES")
  field(EGU, "$(EGU)")
  field(PREC, "$(PREC)")
  field(VAL,"$(DEFAULT)")
  field(SDIS, "$(SetSB) CP MS")
  field(DISV, "0")
  field(DISS, "INVALID")
}
#--------------</v>
      </c>
      <c r="AL59" s="27" t="str">
        <f t="shared" si="34"/>
        <v># non-mapped PV
record(ai, "$(P):RSCN:J2_HLM") {
  field(DESC, "Inc. axis jerk desired limit")
  field(PINI, "YES")
  field(EGU, "EGU/s2")
  field(PREC, "1")
  field(VAL,"")
  field(SDIS, "$(P):RSCN:ST_TRAJSET CP MS")
  field(DISV, "0")
  field(DISS, "INVALID")
}
#--------------</v>
      </c>
      <c r="AM59" s="27" t="str">
        <f t="shared" si="44"/>
        <v>&lt;item row="17" column="0"&gt;
         &lt;widget class="QLabel" name="L_j2_HLM"&gt;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&lt;string&gt;j2_HLM&lt;/string&gt;
          &lt;/property&gt;
          &lt;property name="margin"&gt;
           &lt;number&gt;3&lt;/number&gt;
          &lt;/property&gt;
         &lt;/widget&gt;
        &lt;/item&gt;
&lt;item row="17" column="2"&gt;
            &lt;widget class="QELineEdit" name="QLD_j2_HLM"&gt;
             &lt;property name="variable" stdset="0"&gt;
              &lt;string&gt;$(P)$(R):RSCN:J2_HLM&lt;/string&gt;
             &lt;/property&gt;
             &lt;property name="addUnits"&gt;
             &lt;bool&gt;true&lt;/bool&gt;
             &lt;/property&gt;
            &lt;/widget&gt;
           &lt;/item&gt;</v>
      </c>
      <c r="AN59" s="27" t="str">
        <f t="shared" si="45"/>
        <v/>
      </c>
      <c r="AO59" s="27" t="e">
        <f t="shared" si="35"/>
        <v>#N/A</v>
      </c>
      <c r="AP59" s="27" t="str">
        <f t="shared" si="36"/>
        <v xml:space="preserve">SR05ID01FST01:RSCN:J2_HLM = </v>
      </c>
      <c r="AQ59" s="27" t="str">
        <f t="shared" si="22"/>
        <v/>
      </c>
      <c r="AR59" s="27" t="str">
        <f t="shared" si="37"/>
        <v xml:space="preserve">      &lt;channel&gt;
         &lt;name&gt;SR05ID01FST01:RSCN:J2_HLM&lt;/name&gt;
         &lt;period&gt;30&lt;/period&gt;
         &lt;monitor/&gt;
      &lt;/channel&gt;</v>
      </c>
      <c r="AS59" s="12">
        <f t="shared" si="38"/>
        <v>7</v>
      </c>
      <c r="AT59" s="12">
        <f t="shared" si="39"/>
        <v>14</v>
      </c>
      <c r="AU59" s="12">
        <f t="shared" si="40"/>
        <v>4</v>
      </c>
      <c r="AV59" s="12">
        <f t="shared" si="41"/>
        <v>3</v>
      </c>
      <c r="AW59" s="13" t="str">
        <f t="shared" si="42"/>
        <v>P2021</v>
      </c>
      <c r="AX59" s="23" t="str">
        <f t="shared" si="43"/>
        <v>SR05ID01FST01:RSCN:J2_HLM</v>
      </c>
    </row>
    <row r="60" spans="2:50" ht="15.75" customHeight="1" x14ac:dyDescent="0.25">
      <c r="B60" s="24" t="str">
        <f t="shared" si="24"/>
        <v>.</v>
      </c>
      <c r="C60" s="32" t="str">
        <f t="shared" si="46"/>
        <v>#define</v>
      </c>
      <c r="D60" s="30" t="s">
        <v>475</v>
      </c>
      <c r="E60" s="23" t="s">
        <v>475</v>
      </c>
      <c r="F60" s="10" t="s">
        <v>396</v>
      </c>
      <c r="G60" s="10" t="s">
        <v>86</v>
      </c>
      <c r="H60" s="10"/>
      <c r="I60" s="11" t="s">
        <v>547</v>
      </c>
      <c r="J60" s="10" t="s">
        <v>39</v>
      </c>
      <c r="K60" s="10"/>
      <c r="L60" s="10">
        <v>-1</v>
      </c>
      <c r="M60" s="10">
        <v>1</v>
      </c>
      <c r="N60" s="10"/>
      <c r="O60" s="16"/>
      <c r="P60" s="52" t="s">
        <v>563</v>
      </c>
      <c r="Q60" s="52"/>
      <c r="R60" s="52"/>
      <c r="S60" s="52"/>
      <c r="T60" s="52"/>
      <c r="U60" s="52" t="s">
        <v>39</v>
      </c>
      <c r="V60" s="52"/>
      <c r="W60" s="61">
        <v>9</v>
      </c>
      <c r="X60" s="61"/>
      <c r="Y60" s="33" t="s">
        <v>569</v>
      </c>
      <c r="Z60" s="33" t="s">
        <v>368</v>
      </c>
      <c r="AB60" s="58" t="str">
        <f t="shared" si="25"/>
        <v>epics</v>
      </c>
      <c r="AC60" s="55" t="str">
        <f t="shared" si="26"/>
        <v>map</v>
      </c>
      <c r="AD60" s="29" t="str">
        <f t="shared" si="27"/>
        <v>:LINE_DIR</v>
      </c>
      <c r="AE60" s="27" t="str">
        <f t="shared" si="28"/>
        <v>:RSCN:LINE_DIR</v>
      </c>
      <c r="AF60" s="29" t="str">
        <f t="shared" si="29"/>
        <v>lineDir</v>
      </c>
      <c r="AG60" s="27" t="str">
        <f t="shared" si="30"/>
        <v>lineDir</v>
      </c>
      <c r="AH60" s="27" t="str">
        <f t="shared" si="31"/>
        <v>$(P):RSCN:ST_INPROG</v>
      </c>
      <c r="AI60" s="27" t="str">
        <f t="shared" si="32"/>
        <v>$(P):RSCN:ST_NEVER</v>
      </c>
      <c r="AJ60" s="27"/>
      <c r="AK60" s="27" t="str">
        <f t="shared" si="33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60" s="27" t="str">
        <f t="shared" si="34"/>
        <v>_x000D_
# PVs mapping to P2049_x000D_
record(ao, "$(P):RSCN:LINE_DIR") {_x000D_
  field(DESC, "Current line direction")_x000D_
  field(OUT, "$(P):RSCN:LINE_DIR:SET PP MS")_x000D_
  field(PINI, "NO")_x000D_
  field(EGU, "")_x000D_
  field(PREC, "")  _x000D_
}_x000D_
record(ai, "$(P):RSCN:LINE_DIR:RBV") {_x000D_
  field(DESC, "Current line direction readback")_x000D_
  field(DTYP, "stream")_x000D_
  field(FLNK, "$(P):RSCN:LINE_DIR:SYN")_x000D_
  field(INP, "@pmac.proto getVar(P2049) $(PORT)")_x000D_
  field(SDIS, "$(P):RSCN:ST_INPROG CP MS")_x000D_
  field(DISV, "0")_x000D_
  field(PINI, "NO")_x000D_
  field(DISS, "INVALID")_x000D_
  field(EGU, "")_x000D_
  field(PREC, "")  _x000D_
}_x000D_
record(ao, "$(P):RSCN:LINE_DIR:SET") {_x000D_
  field(DTYP, "stream")_x000D_
  field(SDIS, "$(P):RSCN:LINE_DIR:ROL PP MS")_x000D_
  field(OUT, "@pmac.proto setVar(P2049) $(PORT)")_x000D_
  field(PINI, "NO")_x000D_
  field(DISS, "INVALID")_x000D_
}_x000D_
record(calc, "$(P):RSCN:LINE_DIR:ROL") {_x000D_
  field(CALC, "(!B) || A")_x000D_
  field(INPA, "$(P):RSCN:LINE_DIR:SYN.PACT")_x000D_
  field(INPB, "$(P):RSCN:ST_NEVER NPP MS")_x000D_
  field(PINI, "NO")_x000D_
}_x000D_
record(calcout, "$(P):RSCN:LINE_DIR:SYN") {_x000D_
  field(INPA, "$(P):RSCN:LINE_DIR:RBV PP")_x000D_
  field(INPB, "$(P):RSCN:ST_INPROG NPP MS")_x000D_
  field(INPC, "$(P):RSCN:ST_NEVER NPP MS")_x000D_
  field(CALC, "A")_x000D_
  field(OUT, "$(P):RSCN:LINE_DIR PP MS")_x000D_
  field(PINI, "NO")_x000D_
}_x000D_
#--------------------</v>
      </c>
      <c r="AM60" s="27" t="str">
        <f t="shared" si="44"/>
        <v xml:space="preserve">&lt;item row="9" column="0"&gt;
         &lt;widget class="QLabel" name="L_line_Dir"&gt;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&lt;string&gt;line_Dir&lt;/string&gt;
          &lt;/property&gt;
          &lt;property name="margin"&gt;
           &lt;number&gt;3&lt;/number&gt;
          &lt;/property&gt;
         &lt;/widget&gt;
        &lt;/item&gt;
&lt;item row="9" column="1"&gt;
         &lt;widget class="QELabel" name="QL_line_Dir"&gt;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&lt;string&gt;$(P)$(R):RSCN:LINE_DIR&lt;/string&gt;
          &lt;/property&gt;
         &lt;/widget&gt;
   &lt;/item&gt;
</v>
      </c>
      <c r="AN60" s="27" t="str">
        <f t="shared" si="45"/>
        <v/>
      </c>
      <c r="AO60" s="27" t="e">
        <f t="shared" si="35"/>
        <v>#N/A</v>
      </c>
      <c r="AP60" s="27" t="str">
        <f t="shared" si="36"/>
        <v xml:space="preserve">SR05ID01FST01:RSCN:LINE_DIR = </v>
      </c>
      <c r="AQ60" s="27" t="str">
        <f t="shared" si="22"/>
        <v xml:space="preserve">;Current line direction[]epics(map)
#define	lineDir	P2049	</v>
      </c>
      <c r="AR60" s="27" t="str">
        <f t="shared" si="37"/>
        <v/>
      </c>
      <c r="AS60" s="12">
        <f t="shared" si="38"/>
        <v>5</v>
      </c>
      <c r="AT60" s="12">
        <f t="shared" si="39"/>
        <v>5</v>
      </c>
      <c r="AU60" s="12">
        <f t="shared" si="40"/>
        <v>6</v>
      </c>
      <c r="AV60" s="12">
        <f t="shared" si="41"/>
        <v>9</v>
      </c>
      <c r="AW60" s="13" t="str">
        <f t="shared" si="42"/>
        <v>P2049</v>
      </c>
      <c r="AX60" s="23" t="str">
        <f t="shared" si="43"/>
        <v>SR05ID01FST01:RSCN:LINE_DIR</v>
      </c>
    </row>
    <row r="61" spans="2:50" ht="15.75" customHeight="1" x14ac:dyDescent="0.25">
      <c r="B61" s="24" t="str">
        <f t="shared" si="24"/>
        <v>.</v>
      </c>
      <c r="C61" s="32" t="str">
        <f t="shared" si="46"/>
        <v>#define</v>
      </c>
      <c r="D61" s="31" t="s">
        <v>461</v>
      </c>
      <c r="E61" s="25" t="s">
        <v>461</v>
      </c>
      <c r="F61" s="10" t="s">
        <v>383</v>
      </c>
      <c r="G61" s="10" t="s">
        <v>86</v>
      </c>
      <c r="H61" s="10"/>
      <c r="I61" s="11" t="s">
        <v>647</v>
      </c>
      <c r="J61" s="10" t="s">
        <v>561</v>
      </c>
      <c r="K61" s="10"/>
      <c r="L61" s="10">
        <v>1</v>
      </c>
      <c r="M61" s="19">
        <v>140737000000000</v>
      </c>
      <c r="N61" s="10">
        <v>0</v>
      </c>
      <c r="O61" s="16"/>
      <c r="P61" s="51" t="s">
        <v>39</v>
      </c>
      <c r="Q61" s="52"/>
      <c r="R61" s="52" t="s">
        <v>563</v>
      </c>
      <c r="S61" s="52"/>
      <c r="T61" s="52"/>
      <c r="U61" s="52"/>
      <c r="V61" s="52"/>
      <c r="W61" s="61">
        <v>10</v>
      </c>
      <c r="X61" s="61"/>
      <c r="Y61" s="33" t="s">
        <v>569</v>
      </c>
      <c r="Z61" s="33" t="s">
        <v>569</v>
      </c>
      <c r="AA61" s="33">
        <v>30</v>
      </c>
      <c r="AB61" s="58" t="str">
        <f t="shared" si="25"/>
        <v>epics</v>
      </c>
      <c r="AC61" s="55" t="str">
        <f t="shared" si="26"/>
        <v>map</v>
      </c>
      <c r="AD61" s="29" t="str">
        <f t="shared" si="27"/>
        <v>:LINE_END</v>
      </c>
      <c r="AE61" s="27" t="str">
        <f t="shared" si="28"/>
        <v>:RSCN:LINE_END</v>
      </c>
      <c r="AF61" s="29" t="str">
        <f t="shared" si="29"/>
        <v>lineEnd</v>
      </c>
      <c r="AG61" s="27" t="str">
        <f t="shared" si="30"/>
        <v>lineEnd</v>
      </c>
      <c r="AH61" s="27" t="str">
        <f t="shared" si="31"/>
        <v>$(P):RSCN:ST_INPROG</v>
      </c>
      <c r="AI61" s="27" t="str">
        <f t="shared" si="32"/>
        <v>$(P):RSCN:ST_INPROG</v>
      </c>
      <c r="AJ61" s="27"/>
      <c r="AK61" s="27" t="str">
        <f t="shared" si="33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61" s="27" t="str">
        <f t="shared" si="34"/>
        <v>_x000D_
# PVs mapping to P2012_x000D_
record(ao, "$(P):RSCN:LINE_END") {_x000D_
  field(DESC, "Scan line End count")_x000D_
  field(OUT, "$(P):RSCN:LINE_END:SET PP MS")_x000D_
  field(PINI, "NO")_x000D_
  field(EGU, "")_x000D_
  field(PREC, "0")  _x000D_
}_x000D_
record(ai, "$(P):RSCN:LINE_END:RBV") {_x000D_
  field(DESC, "Scan line End count readback")_x000D_
  field(DTYP, "stream")_x000D_
  field(FLNK, "$(P):RSCN:LINE_END:SYN")_x000D_
  field(INP, "@pmac.proto getVar(P2012) $(PORT)")_x000D_
  field(SDIS, "$(P):RSCN:ST_INPROG CP MS")_x000D_
  field(DISV, "0")_x000D_
  field(PINI, "NO")_x000D_
  field(DISS, "INVALID")_x000D_
  field(EGU, "")_x000D_
  field(PREC, "0")  _x000D_
}_x000D_
record(ao, "$(P):RSCN:LINE_END:SET") {_x000D_
  field(DTYP, "stream")_x000D_
  field(SDIS, "$(P):RSCN:LINE_END:ROL PP MS")_x000D_
  field(OUT, "@pmac.proto setVar(P2012) $(PORT)")_x000D_
  field(PINI, "NO")_x000D_
  field(DISS, "INVALID")_x000D_
}_x000D_
record(calc, "$(P):RSCN:LINE_END:ROL") {_x000D_
  field(CALC, "(!B) || A")_x000D_
  field(INPA, "$(P):RSCN:LINE_END:SYN.PACT")_x000D_
  field(INPB, "$(P):RSCN:ST_INPROG NPP MS")_x000D_
  field(PINI, "NO")_x000D_
}_x000D_
record(calcout, "$(P):RSCN:LINE_END:SYN") {_x000D_
  field(INPA, "$(P):RSCN:LINE_END:RBV PP")_x000D_
  field(INPB, "$(P):RSCN:ST_INPROG NPP MS")_x000D_
  field(INPC, "$(P):RSCN:ST_INPROG NPP MS")_x000D_
  field(CALC, "A")_x000D_
  field(OUT, "$(P):RSCN:LINE_END PP MS")_x000D_
  field(PINI, "NO")_x000D_
}_x000D_
#--------------------</v>
      </c>
      <c r="AM61" s="27" t="str">
        <f t="shared" si="44"/>
        <v>&lt;item row="10" column="0"&gt;
         &lt;widget class="QLabel" name="L_line_End"&gt;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&lt;string&gt;line_End&lt;/string&gt;
          &lt;/property&gt;
          &lt;property name="margin"&gt;
           &lt;number&gt;3&lt;/number&gt;
          &lt;/property&gt;
         &lt;/widget&gt;
        &lt;/item&gt;
&lt;item row="10" column="2"&gt;
            &lt;widget class="QELineEdit" name="QLD_line_End"&gt;
             &lt;property name="variable" stdset="0"&gt;
              &lt;string&gt;$(P)$(R):RSCN:LINE_END&lt;/string&gt;
             &lt;/property&gt;
             &lt;property name="addUnits"&gt;
             &lt;bool&gt;true&lt;/bool&gt;
             &lt;/property&gt;
            &lt;/widget&gt;
           &lt;/item&gt;</v>
      </c>
      <c r="AN61" s="27" t="str">
        <f t="shared" si="45"/>
        <v/>
      </c>
      <c r="AO61" s="27" t="e">
        <f t="shared" si="35"/>
        <v>#N/A</v>
      </c>
      <c r="AP61" s="27" t="str">
        <f t="shared" si="36"/>
        <v xml:space="preserve">SR05ID01FST01:RSCN:LINE_END = </v>
      </c>
      <c r="AQ61" s="27" t="str">
        <f t="shared" si="22"/>
        <v xml:space="preserve">;Scan line End count[]epics(map)
#define	lineEnd	P2012	</v>
      </c>
      <c r="AR61" s="27" t="str">
        <f t="shared" si="37"/>
        <v xml:space="preserve">      &lt;channel&gt;
         &lt;name&gt;SR05ID01FST01:RSCN:LINE_END&lt;/name&gt;
         &lt;period&gt;30&lt;/period&gt;
         &lt;monitor/&gt;
      &lt;/channel&gt;</v>
      </c>
      <c r="AS61" s="12">
        <f t="shared" si="38"/>
        <v>5</v>
      </c>
      <c r="AT61" s="12">
        <f t="shared" si="39"/>
        <v>5</v>
      </c>
      <c r="AU61" s="12">
        <f t="shared" si="40"/>
        <v>5</v>
      </c>
      <c r="AV61" s="12">
        <f t="shared" si="41"/>
        <v>12</v>
      </c>
      <c r="AW61" s="13" t="str">
        <f t="shared" si="42"/>
        <v>P2012</v>
      </c>
      <c r="AX61" s="23" t="str">
        <f t="shared" si="43"/>
        <v>SR05ID01FST01:RSCN:LINE_END</v>
      </c>
    </row>
    <row r="62" spans="2:50" ht="15.75" customHeight="1" x14ac:dyDescent="0.25">
      <c r="B62" s="24" t="str">
        <f t="shared" si="24"/>
        <v>.</v>
      </c>
      <c r="C62" s="32" t="str">
        <f t="shared" si="46"/>
        <v>#define</v>
      </c>
      <c r="D62" s="31" t="s">
        <v>467</v>
      </c>
      <c r="E62" s="25" t="s">
        <v>467</v>
      </c>
      <c r="F62" s="10" t="s">
        <v>388</v>
      </c>
      <c r="G62" s="10" t="s">
        <v>86</v>
      </c>
      <c r="H62" s="10"/>
      <c r="I62" s="11" t="s">
        <v>543</v>
      </c>
      <c r="J62" s="10" t="s">
        <v>561</v>
      </c>
      <c r="K62" s="10"/>
      <c r="L62" s="10">
        <v>1</v>
      </c>
      <c r="M62" s="19">
        <v>140737000000000</v>
      </c>
      <c r="N62" s="10">
        <v>0</v>
      </c>
      <c r="O62" s="16"/>
      <c r="P62" s="52" t="s">
        <v>37</v>
      </c>
      <c r="Q62" s="52"/>
      <c r="R62" s="52" t="s">
        <v>37</v>
      </c>
      <c r="S62" s="52"/>
      <c r="T62" s="52"/>
      <c r="U62" s="52"/>
      <c r="V62" s="52"/>
      <c r="W62" s="61">
        <v>11</v>
      </c>
      <c r="X62" s="61"/>
      <c r="Y62" s="33" t="s">
        <v>569</v>
      </c>
      <c r="Z62" s="33" t="s">
        <v>571</v>
      </c>
      <c r="AA62" s="33">
        <v>1</v>
      </c>
      <c r="AB62" s="58" t="str">
        <f t="shared" si="25"/>
        <v>epics</v>
      </c>
      <c r="AC62" s="55" t="str">
        <f t="shared" si="26"/>
        <v>map</v>
      </c>
      <c r="AD62" s="29" t="str">
        <f t="shared" si="27"/>
        <v>:LINE_N</v>
      </c>
      <c r="AE62" s="27" t="str">
        <f t="shared" si="28"/>
        <v>:RSCN:LINE_N</v>
      </c>
      <c r="AF62" s="29" t="str">
        <f t="shared" si="29"/>
        <v>lineN</v>
      </c>
      <c r="AG62" s="27" t="str">
        <f t="shared" si="30"/>
        <v>lineN</v>
      </c>
      <c r="AH62" s="27" t="str">
        <f t="shared" si="31"/>
        <v>$(P):RSCN:ST_INPROG</v>
      </c>
      <c r="AI62" s="27" t="str">
        <f t="shared" si="32"/>
        <v>$(P):RSCN:ST_TRAJSET</v>
      </c>
      <c r="AJ62" s="27"/>
      <c r="AK62" s="27" t="str">
        <f t="shared" si="33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62" s="27" t="str">
        <f t="shared" si="34"/>
        <v>_x000D_
# PVs mapping to P2041_x000D_
record(ao, "$(P):RSCN:LINE_N") {_x000D_
  field(DESC, "Current scan line")_x000D_
  field(OUT, "$(P):RSCN:LINE_N:SET PP MS")_x000D_
  field(PINI, "NO")_x000D_
  field(EGU, "")_x000D_
  field(PREC, "0")  _x000D_
}_x000D_
record(ai, "$(P):RSCN:LINE_N:RBV") {_x000D_
  field(DESC, "Current scan line readback")_x000D_
  field(DTYP, "stream")_x000D_
  field(FLNK, "$(P):RSCN:LINE_N:SYN")_x000D_
  field(INP, "@pmac.proto getVar(P2041) $(PORT)")_x000D_
  field(SDIS, "$(P):RSCN:ST_INPROG CP MS")_x000D_
  field(DISV, "0")_x000D_
  field(PINI, "NO")_x000D_
  field(DISS, "INVALID")_x000D_
  field(EGU, "")_x000D_
  field(PREC, "0")  _x000D_
}_x000D_
record(ao, "$(P):RSCN:LINE_N:SET") {_x000D_
  field(DTYP, "stream")_x000D_
  field(SDIS, "$(P):RSCN:LINE_N:ROL PP MS")_x000D_
  field(OUT, "@pmac.proto setVar(P2041) $(PORT)")_x000D_
  field(PINI, "NO")_x000D_
  field(DISS, "INVALID")_x000D_
}_x000D_
record(calc, "$(P):RSCN:LINE_N:ROL") {_x000D_
  field(CALC, "(!B) || A")_x000D_
  field(INPA, "$(P):RSCN:LINE_N:SYN.PACT")_x000D_
  field(INPB, "$(P):RSCN:ST_TRAJSET NPP MS")_x000D_
  field(PINI, "NO")_x000D_
}_x000D_
record(calcout, "$(P):RSCN:LINE_N:SYN") {_x000D_
  field(INPA, "$(P):RSCN:LINE_N:RBV PP")_x000D_
  field(INPB, "$(P):RSCN:ST_INPROG NPP MS")_x000D_
  field(INPC, "$(P):RSCN:ST_TRAJSET NPP MS")_x000D_
  field(CALC, "A")_x000D_
  field(OUT, "$(P):RSCN:LINE_N PP MS")_x000D_
  field(PINI, "NO")_x000D_
}_x000D_
#--------------------</v>
      </c>
      <c r="AM62" s="27" t="str">
        <f t="shared" si="44"/>
        <v>&lt;item row="11" column="0"&gt;
         &lt;widget class="QLabel" name="L_line_N"&gt;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&lt;string&gt;line_N&lt;/string&gt;
          &lt;/property&gt;
          &lt;property name="margin"&gt;
           &lt;number&gt;3&lt;/number&gt;
          &lt;/property&gt;
         &lt;/widget&gt;
        &lt;/item&gt;
&lt;item row="11" column="2"&gt;
            &lt;widget class="QELineEdit" name="QLD_line_N"&gt;
             &lt;property name="variable" stdset="0"&gt;
              &lt;string&gt;$(P)$(R):RSCN:LINE_N&lt;/string&gt;
             &lt;/property&gt;
             &lt;property name="addUnits"&gt;
             &lt;bool&gt;true&lt;/bool&gt;
             &lt;/property&gt;
            &lt;/widget&gt;
           &lt;/item&gt;</v>
      </c>
      <c r="AN62" s="27" t="str">
        <f t="shared" si="45"/>
        <v/>
      </c>
      <c r="AO62" s="27" t="e">
        <f t="shared" si="35"/>
        <v>#N/A</v>
      </c>
      <c r="AP62" s="27" t="str">
        <f t="shared" si="36"/>
        <v xml:space="preserve">SR05ID01FST01:RSCN:LINE_N = </v>
      </c>
      <c r="AQ62" s="27" t="str">
        <f t="shared" si="22"/>
        <v xml:space="preserve">;Current scan line[]epics(map)
#define	lineN	P2041	</v>
      </c>
      <c r="AR62" s="27" t="str">
        <f t="shared" si="37"/>
        <v xml:space="preserve">      &lt;channel&gt;
         &lt;name&gt;SR05ID01FST01:RSCN:LINE_N&lt;/name&gt;
         &lt;period&gt;1&lt;/period&gt;
         &lt;monitor/&gt;
      &lt;/channel&gt;</v>
      </c>
      <c r="AS62" s="12">
        <f t="shared" si="38"/>
        <v>7</v>
      </c>
      <c r="AT62" s="12">
        <f t="shared" si="39"/>
        <v>5</v>
      </c>
      <c r="AU62" s="12">
        <f t="shared" si="40"/>
        <v>4</v>
      </c>
      <c r="AV62" s="12">
        <f t="shared" si="41"/>
        <v>14</v>
      </c>
      <c r="AW62" s="13" t="str">
        <f t="shared" si="42"/>
        <v>P2041</v>
      </c>
      <c r="AX62" s="23" t="str">
        <f t="shared" si="43"/>
        <v>SR05ID01FST01:RSCN:LINE_N</v>
      </c>
    </row>
    <row r="63" spans="2:50" ht="15.75" customHeight="1" x14ac:dyDescent="0.25">
      <c r="B63" s="24" t="str">
        <f t="shared" si="24"/>
        <v>.</v>
      </c>
      <c r="C63" s="32" t="str">
        <f t="shared" si="46"/>
        <v>#define</v>
      </c>
      <c r="D63" s="31" t="s">
        <v>486</v>
      </c>
      <c r="E63" s="28" t="s">
        <v>486</v>
      </c>
      <c r="F63" s="10" t="s">
        <v>407</v>
      </c>
      <c r="G63" s="10" t="s">
        <v>86</v>
      </c>
      <c r="H63" s="10"/>
      <c r="I63" s="11" t="s">
        <v>549</v>
      </c>
      <c r="J63" s="10" t="s">
        <v>39</v>
      </c>
      <c r="K63" s="10"/>
      <c r="L63" s="10">
        <v>0</v>
      </c>
      <c r="M63" s="10">
        <v>999</v>
      </c>
      <c r="N63" s="10">
        <v>0</v>
      </c>
      <c r="O63" s="16"/>
      <c r="P63" s="51" t="s">
        <v>563</v>
      </c>
      <c r="Q63" s="52"/>
      <c r="R63" s="52"/>
      <c r="S63" s="52" t="s">
        <v>39</v>
      </c>
      <c r="T63" s="52"/>
      <c r="U63" s="52"/>
      <c r="V63" s="52"/>
      <c r="W63" s="61">
        <v>12</v>
      </c>
      <c r="X63" s="61"/>
      <c r="Y63" s="33" t="s">
        <v>570</v>
      </c>
      <c r="Z63" s="33" t="s">
        <v>368</v>
      </c>
      <c r="AB63" s="58" t="str">
        <f t="shared" si="25"/>
        <v>epics</v>
      </c>
      <c r="AC63" s="55" t="str">
        <f t="shared" si="26"/>
        <v>map</v>
      </c>
      <c r="AD63" s="29" t="str">
        <f t="shared" si="27"/>
        <v>:LINE_SUBEND</v>
      </c>
      <c r="AE63" s="27" t="str">
        <f t="shared" si="28"/>
        <v>:RSCN:LINE_SUBEND</v>
      </c>
      <c r="AF63" s="29" t="str">
        <f t="shared" si="29"/>
        <v>lineSubEnd</v>
      </c>
      <c r="AG63" s="27" t="str">
        <f t="shared" si="30"/>
        <v>lineSubEnd</v>
      </c>
      <c r="AH63" s="27" t="str">
        <f t="shared" si="31"/>
        <v>$(P):RSCN:ST_MONITOR</v>
      </c>
      <c r="AI63" s="27" t="str">
        <f t="shared" si="32"/>
        <v>$(P):RSCN:ST_NEVER</v>
      </c>
      <c r="AJ63" s="27"/>
      <c r="AK63" s="27" t="str">
        <f t="shared" si="33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63" s="27" t="str">
        <f t="shared" si="34"/>
        <v>_x000D_
# PVs mapping to P2060_x000D_
record(ao, "$(P):RSCN:LINE_SUBEND") {_x000D_
  field(DESC, "Number of subsegments")_x000D_
  field(OUT, "$(P):RSCN:LINE_SUBEND:SET PP MS")_x000D_
  field(PINI, "NO")_x000D_
  field(EGU, "")_x000D_
  field(PREC, "0")  _x000D_
}_x000D_
record(ai, "$(P):RSCN:LINE_SUBEND:RBV") {_x000D_
  field(DESC, "Number of subsegments readback")_x000D_
  field(DTYP, "stream")_x000D_
  field(FLNK, "$(P):RSCN:LINE_SUBEND:SYN")_x000D_
  field(INP, "@pmac.proto getVar(P2060) $(PORT)")_x000D_
  field(SDIS, "$(P):RSCN:ST_MONITOR CP MS")_x000D_
  field(DISV, "0")_x000D_
  field(PINI, "NO")_x000D_
  field(DISS, "INVALID")_x000D_
  field(EGU, "")_x000D_
  field(PREC, "0")  _x000D_
}_x000D_
record(ao, "$(P):RSCN:LINE_SUBEND:SET") {_x000D_
  field(DTYP, "stream")_x000D_
  field(SDIS, "$(P):RSCN:LINE_SUBEND:ROL PP MS")_x000D_
  field(OUT, "@pmac.proto setVar(P2060) $(PORT)")_x000D_
  field(PINI, "NO")_x000D_
  field(DISS, "INVALID")_x000D_
}_x000D_
record(calc, "$(P):RSCN:LINE_SUBEND:ROL") {_x000D_
  field(CALC, "(!B) || A")_x000D_
  field(INPA, "$(P):RSCN:LINE_SUBEND:SYN.PACT")_x000D_
  field(INPB, "$(P):RSCN:ST_NEVER NPP MS")_x000D_
  field(PINI, "NO")_x000D_
}_x000D_
record(calcout, "$(P):RSCN:LINE_SUBEND:SYN") {_x000D_
  field(INPA, "$(P):RSCN:LINE_SUBEND:RBV PP")_x000D_
  field(INPB, "$(P):RSCN:ST_MONITOR NPP MS")_x000D_
  field(INPC, "$(P):RSCN:ST_NEVER NPP MS")_x000D_
  field(CALC, "A")_x000D_
  field(OUT, "$(P):RSCN:LINE_SUBEND PP MS")_x000D_
  field(PINI, "NO")_x000D_
}_x000D_
#--------------------</v>
      </c>
      <c r="AM63" s="27" t="str">
        <f t="shared" si="44"/>
        <v xml:space="preserve">&lt;item row="12" column="0"&gt;
         &lt;widget class="QLabel" name="L_line_SubEnd"&gt;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&lt;string&gt;line_SubEnd&lt;/string&gt;
          &lt;/property&gt;
          &lt;property name="margin"&gt;
           &lt;number&gt;3&lt;/number&gt;
          &lt;/property&gt;
         &lt;/widget&gt;
        &lt;/item&gt;
&lt;item row="12" column="1"&gt;
         &lt;widget class="QELabel" name="QL_line_SubEnd"&gt;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&lt;string&gt;$(P)$(R):RSCN:LINE_SUBEND&lt;/string&gt;
          &lt;/property&gt;
         &lt;/widget&gt;
   &lt;/item&gt;
</v>
      </c>
      <c r="AN63" s="27" t="str">
        <f t="shared" si="45"/>
        <v/>
      </c>
      <c r="AO63" s="27" t="e">
        <f t="shared" si="35"/>
        <v>#N/A</v>
      </c>
      <c r="AP63" s="27" t="str">
        <f t="shared" si="36"/>
        <v xml:space="preserve">SR05ID01FST01:RSCN:LINE_SUBEND = </v>
      </c>
      <c r="AQ63" s="27" t="str">
        <f t="shared" si="22"/>
        <v xml:space="preserve">;Number of subsegments[]epics(map)
#define	lineSubEnd	P2060	</v>
      </c>
      <c r="AR63" s="27" t="str">
        <f t="shared" si="37"/>
        <v/>
      </c>
      <c r="AS63" s="12">
        <f t="shared" si="38"/>
        <v>2</v>
      </c>
      <c r="AT63" s="12">
        <f t="shared" si="39"/>
        <v>4</v>
      </c>
      <c r="AU63" s="12">
        <f t="shared" si="40"/>
        <v>6</v>
      </c>
      <c r="AV63" s="12">
        <f t="shared" si="41"/>
        <v>10</v>
      </c>
      <c r="AW63" s="13" t="str">
        <f t="shared" si="42"/>
        <v>P2060</v>
      </c>
      <c r="AX63" s="23" t="str">
        <f t="shared" si="43"/>
        <v>SR05ID01FST01:RSCN:LINE_SUBEND</v>
      </c>
    </row>
    <row r="64" spans="2:50" ht="15.75" customHeight="1" x14ac:dyDescent="0.25">
      <c r="B64" s="24" t="str">
        <f t="shared" si="24"/>
        <v>.</v>
      </c>
      <c r="C64" s="32" t="str">
        <f t="shared" si="46"/>
        <v>#define</v>
      </c>
      <c r="D64" s="30" t="s">
        <v>488</v>
      </c>
      <c r="E64" s="23" t="s">
        <v>488</v>
      </c>
      <c r="F64" s="10" t="s">
        <v>410</v>
      </c>
      <c r="G64" s="10" t="s">
        <v>86</v>
      </c>
      <c r="H64" s="10"/>
      <c r="I64" s="11" t="s">
        <v>551</v>
      </c>
      <c r="J64" s="10" t="s">
        <v>39</v>
      </c>
      <c r="K64" s="10"/>
      <c r="L64" s="10">
        <v>0</v>
      </c>
      <c r="M64" s="10">
        <v>999</v>
      </c>
      <c r="N64" s="10">
        <v>0</v>
      </c>
      <c r="O64" s="16"/>
      <c r="P64" s="52" t="s">
        <v>563</v>
      </c>
      <c r="Q64" s="52"/>
      <c r="R64" s="52" t="s">
        <v>39</v>
      </c>
      <c r="S64" s="52"/>
      <c r="T64" s="52"/>
      <c r="U64" s="52"/>
      <c r="V64" s="52"/>
      <c r="W64" s="61">
        <v>13</v>
      </c>
      <c r="X64" s="61"/>
      <c r="Y64" s="33" t="s">
        <v>569</v>
      </c>
      <c r="Z64" s="33" t="s">
        <v>368</v>
      </c>
      <c r="AB64" s="58" t="str">
        <f t="shared" si="25"/>
        <v>epics</v>
      </c>
      <c r="AC64" s="55" t="str">
        <f t="shared" si="26"/>
        <v>map</v>
      </c>
      <c r="AD64" s="29" t="str">
        <f t="shared" si="27"/>
        <v>:LINE_SUBN</v>
      </c>
      <c r="AE64" s="27" t="str">
        <f t="shared" si="28"/>
        <v>:RSCN:LINE_SUBN</v>
      </c>
      <c r="AF64" s="29" t="str">
        <f t="shared" si="29"/>
        <v>lineSubN</v>
      </c>
      <c r="AG64" s="27" t="str">
        <f t="shared" si="30"/>
        <v>lineSubN</v>
      </c>
      <c r="AH64" s="27" t="str">
        <f t="shared" si="31"/>
        <v>$(P):RSCN:ST_INPROG</v>
      </c>
      <c r="AI64" s="27" t="str">
        <f t="shared" si="32"/>
        <v>$(P):RSCN:ST_NEVER</v>
      </c>
      <c r="AJ64" s="27"/>
      <c r="AK64" s="27" t="str">
        <f t="shared" si="33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64" s="27" t="str">
        <f t="shared" si="34"/>
        <v>_x000D_
# PVs mapping to P2063_x000D_
record(ao, "$(P):RSCN:LINE_SUBN") {_x000D_
  field(DESC, "subsegment counter")_x000D_
  field(OUT, "$(P):RSCN:LINE_SUBN:SET PP MS")_x000D_
  field(PINI, "NO")_x000D_
  field(EGU, "")_x000D_
  field(PREC, "0")  _x000D_
}_x000D_
record(ai, "$(P):RSCN:LINE_SUBN:RBV") {_x000D_
  field(DESC, "subsegment counter readback")_x000D_
  field(DTYP, "stream")_x000D_
  field(FLNK, "$(P):RSCN:LINE_SUBN:SYN")_x000D_
  field(INP, "@pmac.proto getVar(P2063) $(PORT)")_x000D_
  field(SDIS, "$(P):RSCN:ST_INPROG CP MS")_x000D_
  field(DISV, "0")_x000D_
  field(PINI, "NO")_x000D_
  field(DISS, "INVALID")_x000D_
  field(EGU, "")_x000D_
  field(PREC, "0")  _x000D_
}_x000D_
record(ao, "$(P):RSCN:LINE_SUBN:SET") {_x000D_
  field(DTYP, "stream")_x000D_
  field(SDIS, "$(P):RSCN:LINE_SUBN:ROL PP MS")_x000D_
  field(OUT, "@pmac.proto setVar(P2063) $(PORT)")_x000D_
  field(PINI, "NO")_x000D_
  field(DISS, "INVALID")_x000D_
}_x000D_
record(calc, "$(P):RSCN:LINE_SUBN:ROL") {_x000D_
  field(CALC, "(!B) || A")_x000D_
  field(INPA, "$(P):RSCN:LINE_SUBN:SYN.PACT")_x000D_
  field(INPB, "$(P):RSCN:ST_NEVER NPP MS")_x000D_
  field(PINI, "NO")_x000D_
}_x000D_
record(calcout, "$(P):RSCN:LINE_SUBN:SYN") {_x000D_
  field(INPA, "$(P):RSCN:LINE_SUBN:RBV PP")_x000D_
  field(INPB, "$(P):RSCN:ST_INPROG NPP MS")_x000D_
  field(INPC, "$(P):RSCN:ST_NEVER NPP MS")_x000D_
  field(CALC, "A")_x000D_
  field(OUT, "$(P):RSCN:LINE_SUBN PP MS")_x000D_
  field(PINI, "NO")_x000D_
}_x000D_
#--------------------</v>
      </c>
      <c r="AM64" s="27" t="str">
        <f t="shared" si="44"/>
        <v xml:space="preserve">&lt;item row="13" column="0"&gt;
         &lt;widget class="QLabel" name="L_line_SubN"&gt;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&lt;string&gt;line_SubN&lt;/string&gt;
          &lt;/property&gt;
          &lt;property name="margin"&gt;
           &lt;number&gt;3&lt;/number&gt;
          &lt;/property&gt;
         &lt;/widget&gt;
        &lt;/item&gt;
&lt;item row="13" column="1"&gt;
         &lt;widget class="QELabel" name="QL_line_SubN"&gt;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&lt;string&gt;$(P)$(R):RSCN:LINE_SUBN&lt;/string&gt;
          &lt;/property&gt;
         &lt;/widget&gt;
   &lt;/item&gt;
</v>
      </c>
      <c r="AN64" s="27" t="str">
        <f t="shared" si="45"/>
        <v/>
      </c>
      <c r="AO64" s="27" t="e">
        <f t="shared" si="35"/>
        <v>#N/A</v>
      </c>
      <c r="AP64" s="27" t="str">
        <f t="shared" si="36"/>
        <v xml:space="preserve">SR05ID01FST01:RSCN:LINE_SUBN = </v>
      </c>
      <c r="AQ64" s="27" t="str">
        <f t="shared" si="22"/>
        <v xml:space="preserve">;subsegment counter[]epics(map)
#define	lineSubN	P2063	</v>
      </c>
      <c r="AR64" s="27" t="str">
        <f t="shared" si="37"/>
        <v/>
      </c>
      <c r="AS64" s="12">
        <f t="shared" si="38"/>
        <v>4</v>
      </c>
      <c r="AT64" s="12">
        <f t="shared" si="39"/>
        <v>5</v>
      </c>
      <c r="AU64" s="12">
        <f t="shared" si="40"/>
        <v>6</v>
      </c>
      <c r="AV64" s="12">
        <f t="shared" si="41"/>
        <v>13</v>
      </c>
      <c r="AW64" s="13" t="str">
        <f t="shared" si="42"/>
        <v>P2063</v>
      </c>
      <c r="AX64" s="23" t="str">
        <f t="shared" si="43"/>
        <v>SR05ID01FST01:RSCN:LINE_SUBN</v>
      </c>
    </row>
    <row r="65" spans="2:50" ht="15.75" customHeight="1" x14ac:dyDescent="0.25">
      <c r="B65" s="24" t="str">
        <f t="shared" si="24"/>
        <v>.</v>
      </c>
      <c r="C65" s="32" t="str">
        <f t="shared" si="46"/>
        <v>;</v>
      </c>
      <c r="D65" s="30" t="s">
        <v>510</v>
      </c>
      <c r="E65" s="23" t="s">
        <v>510</v>
      </c>
      <c r="F65" s="10" t="s">
        <v>427</v>
      </c>
      <c r="G65" s="10"/>
      <c r="H65" s="10"/>
      <c r="I65" s="11"/>
      <c r="J65" s="10"/>
      <c r="K65" s="10"/>
      <c r="L65" s="10"/>
      <c r="M65" s="10"/>
      <c r="N65" s="10"/>
      <c r="O65" s="16"/>
      <c r="P65" s="52"/>
      <c r="Q65" s="52"/>
      <c r="R65" s="52"/>
      <c r="S65" s="52"/>
      <c r="T65" s="52"/>
      <c r="U65" s="52"/>
      <c r="V65" s="52"/>
      <c r="W65" s="61"/>
      <c r="X65" s="61"/>
      <c r="AA65" s="33">
        <v>30</v>
      </c>
      <c r="AB65" s="58" t="str">
        <f t="shared" si="25"/>
        <v/>
      </c>
      <c r="AC65" s="55" t="str">
        <f t="shared" si="26"/>
        <v/>
      </c>
      <c r="AD65" s="29" t="str">
        <f t="shared" si="27"/>
        <v>:LLMM</v>
      </c>
      <c r="AE65" s="27" t="str">
        <f t="shared" si="28"/>
        <v>:RSCN:LLMM</v>
      </c>
      <c r="AF65" s="29" t="str">
        <f t="shared" si="29"/>
        <v>LLMM</v>
      </c>
      <c r="AG65" s="27" t="str">
        <f t="shared" si="30"/>
        <v>LLMM</v>
      </c>
      <c r="AH65" s="27" t="str">
        <f t="shared" si="31"/>
        <v>$(P):RSCN:</v>
      </c>
      <c r="AI65" s="27" t="str">
        <f t="shared" si="32"/>
        <v>$(P):RSCN:</v>
      </c>
      <c r="AJ65" s="27"/>
      <c r="AK65" s="27" t="str">
        <f t="shared" si="33"/>
        <v/>
      </c>
      <c r="AL65" s="27" t="str">
        <f t="shared" si="34"/>
        <v/>
      </c>
      <c r="AM65" s="27" t="str">
        <f t="shared" si="44"/>
        <v/>
      </c>
      <c r="AN65" s="27" t="str">
        <f t="shared" si="45"/>
        <v/>
      </c>
      <c r="AO65" s="27" t="e">
        <f t="shared" si="35"/>
        <v>#N/A</v>
      </c>
      <c r="AP65" s="27" t="str">
        <f t="shared" si="36"/>
        <v/>
      </c>
      <c r="AQ65" s="27" t="str">
        <f t="shared" si="22"/>
        <v/>
      </c>
      <c r="AR65" s="27" t="str">
        <f t="shared" si="37"/>
        <v/>
      </c>
      <c r="AS65" s="12" t="str">
        <f t="shared" si="38"/>
        <v/>
      </c>
      <c r="AT65" s="12" t="str">
        <f t="shared" si="39"/>
        <v/>
      </c>
      <c r="AU65" s="12" t="str">
        <f t="shared" si="40"/>
        <v/>
      </c>
      <c r="AV65" s="12" t="str">
        <f t="shared" si="41"/>
        <v/>
      </c>
      <c r="AW65" s="13" t="str">
        <f t="shared" si="42"/>
        <v>x</v>
      </c>
      <c r="AX65" s="23" t="str">
        <f t="shared" si="43"/>
        <v>SR05ID01FST01:RSCN:LLMM</v>
      </c>
    </row>
    <row r="66" spans="2:50" ht="15.75" customHeight="1" x14ac:dyDescent="0.25">
      <c r="B66" s="24" t="str">
        <f t="shared" si="24"/>
        <v>.</v>
      </c>
      <c r="C66" s="32" t="str">
        <f t="shared" si="46"/>
        <v>;</v>
      </c>
      <c r="D66" s="30" t="s">
        <v>510</v>
      </c>
      <c r="E66" s="23" t="s">
        <v>510</v>
      </c>
      <c r="F66" s="10" t="s">
        <v>427</v>
      </c>
      <c r="G66" s="10"/>
      <c r="H66" s="10"/>
      <c r="I66" s="11"/>
      <c r="J66" s="10"/>
      <c r="K66" s="10"/>
      <c r="L66" s="10"/>
      <c r="M66" s="10"/>
      <c r="N66" s="10"/>
      <c r="O66" s="16"/>
      <c r="P66" s="51"/>
      <c r="Q66" s="52"/>
      <c r="R66" s="52"/>
      <c r="S66" s="52"/>
      <c r="T66" s="52"/>
      <c r="U66" s="52"/>
      <c r="V66" s="52"/>
      <c r="W66" s="61"/>
      <c r="X66" s="61"/>
      <c r="AA66" s="33">
        <v>30</v>
      </c>
      <c r="AB66" s="58" t="str">
        <f t="shared" si="25"/>
        <v/>
      </c>
      <c r="AC66" s="55" t="str">
        <f t="shared" si="26"/>
        <v/>
      </c>
      <c r="AD66" s="29" t="str">
        <f t="shared" si="27"/>
        <v>:LLMM</v>
      </c>
      <c r="AE66" s="27" t="str">
        <f t="shared" si="28"/>
        <v>:RSCN:LLMM</v>
      </c>
      <c r="AF66" s="29" t="str">
        <f t="shared" si="29"/>
        <v>LLMM</v>
      </c>
      <c r="AG66" s="27" t="str">
        <f t="shared" si="30"/>
        <v>LLMM</v>
      </c>
      <c r="AH66" s="27" t="str">
        <f t="shared" si="31"/>
        <v>$(P):RSCN:</v>
      </c>
      <c r="AI66" s="27" t="str">
        <f t="shared" si="32"/>
        <v>$(P):RSCN:</v>
      </c>
      <c r="AJ66" s="27"/>
      <c r="AK66" s="27" t="str">
        <f t="shared" si="33"/>
        <v/>
      </c>
      <c r="AL66" s="27" t="str">
        <f t="shared" si="34"/>
        <v/>
      </c>
      <c r="AM66" s="27" t="str">
        <f t="shared" si="44"/>
        <v/>
      </c>
      <c r="AN66" s="27" t="str">
        <f t="shared" si="45"/>
        <v/>
      </c>
      <c r="AO66" s="27" t="e">
        <f t="shared" si="35"/>
        <v>#N/A</v>
      </c>
      <c r="AP66" s="27" t="str">
        <f t="shared" si="36"/>
        <v/>
      </c>
      <c r="AQ66" s="27" t="str">
        <f t="shared" si="22"/>
        <v/>
      </c>
      <c r="AR66" s="27" t="str">
        <f t="shared" si="37"/>
        <v/>
      </c>
      <c r="AS66" s="12" t="str">
        <f t="shared" si="38"/>
        <v/>
      </c>
      <c r="AT66" s="12" t="str">
        <f t="shared" si="39"/>
        <v/>
      </c>
      <c r="AU66" s="12" t="str">
        <f t="shared" si="40"/>
        <v/>
      </c>
      <c r="AV66" s="12" t="str">
        <f t="shared" si="41"/>
        <v/>
      </c>
      <c r="AW66" s="13" t="str">
        <f t="shared" si="42"/>
        <v>x</v>
      </c>
      <c r="AX66" s="23" t="str">
        <f t="shared" si="43"/>
        <v>SR05ID01FST01:RSCN:LLMM</v>
      </c>
    </row>
    <row r="67" spans="2:50" ht="15.75" customHeight="1" x14ac:dyDescent="0.25">
      <c r="B67" s="24" t="str">
        <f t="shared" si="24"/>
        <v>.</v>
      </c>
      <c r="C67" s="32" t="str">
        <f t="shared" si="46"/>
        <v>;</v>
      </c>
      <c r="D67" s="30" t="s">
        <v>510</v>
      </c>
      <c r="E67" s="23" t="s">
        <v>510</v>
      </c>
      <c r="F67" s="10" t="s">
        <v>427</v>
      </c>
      <c r="G67" s="10"/>
      <c r="H67" s="10"/>
      <c r="I67" s="11"/>
      <c r="J67" s="10"/>
      <c r="K67" s="10"/>
      <c r="L67" s="10"/>
      <c r="M67" s="10"/>
      <c r="N67" s="10"/>
      <c r="O67" s="16"/>
      <c r="P67" s="52"/>
      <c r="Q67" s="52"/>
      <c r="R67" s="52"/>
      <c r="S67" s="52"/>
      <c r="T67" s="52"/>
      <c r="U67" s="52"/>
      <c r="V67" s="52"/>
      <c r="W67" s="61"/>
      <c r="X67" s="61"/>
      <c r="AA67" s="33">
        <v>30</v>
      </c>
      <c r="AB67" s="58" t="str">
        <f t="shared" si="25"/>
        <v/>
      </c>
      <c r="AC67" s="55" t="str">
        <f t="shared" si="26"/>
        <v/>
      </c>
      <c r="AD67" s="29" t="str">
        <f t="shared" si="27"/>
        <v>:LLMM</v>
      </c>
      <c r="AE67" s="27" t="str">
        <f t="shared" si="28"/>
        <v>:RSCN:LLMM</v>
      </c>
      <c r="AF67" s="29" t="str">
        <f t="shared" si="29"/>
        <v>LLMM</v>
      </c>
      <c r="AG67" s="27" t="str">
        <f t="shared" si="30"/>
        <v>LLMM</v>
      </c>
      <c r="AH67" s="27" t="str">
        <f t="shared" si="31"/>
        <v>$(P):RSCN:</v>
      </c>
      <c r="AI67" s="27" t="str">
        <f t="shared" si="32"/>
        <v>$(P):RSCN:</v>
      </c>
      <c r="AJ67" s="27"/>
      <c r="AK67" s="27" t="str">
        <f t="shared" si="33"/>
        <v/>
      </c>
      <c r="AL67" s="27" t="str">
        <f t="shared" si="34"/>
        <v/>
      </c>
      <c r="AM67" s="27" t="str">
        <f t="shared" si="44"/>
        <v/>
      </c>
      <c r="AN67" s="27" t="str">
        <f t="shared" si="45"/>
        <v/>
      </c>
      <c r="AO67" s="27" t="e">
        <f t="shared" si="35"/>
        <v>#N/A</v>
      </c>
      <c r="AP67" s="27" t="str">
        <f t="shared" si="36"/>
        <v/>
      </c>
      <c r="AQ67" s="27" t="str">
        <f t="shared" si="22"/>
        <v/>
      </c>
      <c r="AR67" s="27" t="str">
        <f t="shared" si="37"/>
        <v/>
      </c>
      <c r="AS67" s="12" t="str">
        <f t="shared" si="38"/>
        <v/>
      </c>
      <c r="AT67" s="12" t="str">
        <f t="shared" si="39"/>
        <v/>
      </c>
      <c r="AU67" s="12" t="str">
        <f t="shared" si="40"/>
        <v/>
      </c>
      <c r="AV67" s="12" t="str">
        <f t="shared" si="41"/>
        <v/>
      </c>
      <c r="AW67" s="13" t="str">
        <f t="shared" si="42"/>
        <v>x</v>
      </c>
      <c r="AX67" s="23" t="str">
        <f t="shared" si="43"/>
        <v>SR05ID01FST01:RSCN:LLMM</v>
      </c>
    </row>
    <row r="68" spans="2:50" ht="15.75" customHeight="1" x14ac:dyDescent="0.25">
      <c r="B68" s="24" t="str">
        <f t="shared" ref="B68:B99" si="47">IF(AND(LEN(D68)&gt;3,D68&lt;&gt;E68),"&lt;FIND TYPE=ASC&gt;"&amp;AD68&amp;"&lt;/FIND&gt;&lt;REPLACE TYPE=ASC&gt;"&amp;AE68&amp;"&lt;/REPLACE&gt;"&amp;CHAR(10)&amp;"&lt;FIND TYPE=ASC&gt;"&amp;AF68&amp;"&lt;/FIND&gt;&lt;REPLACE TYPE=ASC&gt;"&amp;AG68&amp;"&lt;/REPLACE&gt;"&amp;CHAR(10)&amp;"&lt;FIND TYPE=ASC&gt;"&amp;D68&amp;"&lt;/FIND&gt;&lt;REPLACE TYPE=ASC&gt;"&amp;E68&amp;"&lt;/REPLACE&gt;",".")</f>
        <v>.</v>
      </c>
      <c r="C68" s="32" t="str">
        <f t="shared" si="46"/>
        <v>;</v>
      </c>
      <c r="D68" s="30" t="s">
        <v>510</v>
      </c>
      <c r="E68" s="23" t="s">
        <v>510</v>
      </c>
      <c r="F68" s="10" t="s">
        <v>427</v>
      </c>
      <c r="G68" s="10"/>
      <c r="H68" s="10"/>
      <c r="I68" s="11"/>
      <c r="J68" s="10"/>
      <c r="K68" s="10"/>
      <c r="L68" s="10"/>
      <c r="M68" s="10"/>
      <c r="N68" s="10"/>
      <c r="O68" s="16"/>
      <c r="P68" s="51"/>
      <c r="Q68" s="52"/>
      <c r="R68" s="52"/>
      <c r="S68" s="52"/>
      <c r="T68" s="52"/>
      <c r="U68" s="52"/>
      <c r="V68" s="52"/>
      <c r="W68" s="61"/>
      <c r="X68" s="61"/>
      <c r="AA68" s="33">
        <v>30</v>
      </c>
      <c r="AB68" s="58" t="str">
        <f t="shared" ref="AB68:AB99" si="48">IF(LEN(R68&amp;S68&amp;T68&amp;U68&amp;V68)&gt;0,"epics","")</f>
        <v/>
      </c>
      <c r="AC68" s="55" t="str">
        <f t="shared" ref="AC68:AC99" si="49">IF(NOT(ISBLANK(V68)),"base",IF(AB68="epics",IF(AND(ISBLANK(P68),ISBLANK(Q68)),"nmp","map"),""))</f>
        <v/>
      </c>
      <c r="AD68" s="29" t="str">
        <f t="shared" ref="AD68:AD99" si="50">UPPER(AD$1&amp;":"&amp;D68)</f>
        <v>:LLMM</v>
      </c>
      <c r="AE68" s="27" t="str">
        <f t="shared" ref="AE68:AE99" si="51">UPPER(AE$1&amp;":"&amp;E68)</f>
        <v>:RSCN:LLMM</v>
      </c>
      <c r="AF68" s="29" t="str">
        <f t="shared" ref="AF68:AF99" si="52">SUBSTITUTE(D68,"_","")</f>
        <v>LLMM</v>
      </c>
      <c r="AG68" s="27" t="str">
        <f t="shared" ref="AG68:AG99" si="53">SUBSTITUTE(E68,"_","")&amp;IF(AND(RIGHT(P68)&lt;&gt;"s",RIGHT(Q68)&lt;&gt;"s"),"","")</f>
        <v>LLMM</v>
      </c>
      <c r="AH68" s="27" t="str">
        <f t="shared" ref="AH68:AH99" si="54">IF(ISNUMBER(Y68),Y68,"$(P)"&amp;$AE$1&amp;":"&amp;Y68)</f>
        <v>$(P):RSCN:</v>
      </c>
      <c r="AI68" s="27" t="str">
        <f t="shared" ref="AI68:AI99" si="55">IF(ISNUMBER(Z68),Z68,"$(P)"&amp;$AE$1&amp;":"&amp;Z68)</f>
        <v>$(P):RSCN:</v>
      </c>
      <c r="AJ68" s="27"/>
      <c r="AK68" s="27" t="str">
        <f t="shared" ref="AK68:AK99" si="56">IF(LEN(AG68)&gt;2,SUBSTITUTE(SUBSTITUTE(SUBSTITUTE(IF(AC68="map",IF(G68="float",y_mapVarAnalog,IF(G68="int",y_mapVarLongint,IF(G68="bool",y_mapVarBool,IF(G68="string",y_mapVarString,IF(G68="option",y_mapVarOption,"#unknown Type"))))),IF(AC68="nmp",y_nonMappedAnalog,"")),"$(DTYP)",y_DTYPE),"$(SETPROTO)",y_setVarProto),"$(GETPROTO)",y_getVarProto),"")</f>
        <v/>
      </c>
      <c r="AL68" s="27" t="str">
        <f t="shared" ref="AL68:AL99" si="57">SUBSTITUTE(SUBSTITUTE(SUBSTITUTE(SUBSTITUTE(SUBSTITUTE(SUBSTITUTE(SUBSTITUTE(SUBSTITUTE(SUBSTITUTE(AK68,"$(Q)",AE68),"$(EGU)",K68),"$(PREC)",N68),"$(VAR)",TRIM(CLEAN(F68))),"$(GetSB)",AH68),"$(SetSB)",AI68),"$(DESC)",LEFT(I68,40)),"$(ENUMS)",AJ68),"$(DEFAULT)",H68)</f>
        <v/>
      </c>
      <c r="AM68" s="27" t="str">
        <f t="shared" si="44"/>
        <v/>
      </c>
      <c r="AN68" s="27" t="str">
        <f t="shared" si="45"/>
        <v/>
      </c>
      <c r="AO68" s="27" t="e">
        <f t="shared" ref="AO68:AO99" si="58">VLOOKUP(G68,y_EPICS_Formats,2,FALSE)</f>
        <v>#N/A</v>
      </c>
      <c r="AP68" s="27" t="str">
        <f t="shared" ref="AP68:AP99" si="59">IF(AB68="epics",y_Prefix&amp;AE68&amp;" = ","")</f>
        <v/>
      </c>
      <c r="AQ68" s="27" t="str">
        <f t="shared" si="22"/>
        <v/>
      </c>
      <c r="AR68" s="27" t="str">
        <f t="shared" ref="AR68:AR99" si="60">IF(IFERROR(AND(AA68&gt;0,LEN(AK68)&gt;0),FALSE),SUBSTITUTE(SUBSTITUTE(SUBSTITUTE(y_archiverXML,"~PVNAME",AE68),"~PREFIX",y_Prefix),"~PERIOD",MIN(30,AA68)),"")</f>
        <v/>
      </c>
      <c r="AS68" s="12" t="str">
        <f t="shared" ref="AS68:AS99" si="61">IF($AB68="epics",AS$1-LEN(AE68),"")</f>
        <v/>
      </c>
      <c r="AT68" s="12" t="str">
        <f t="shared" ref="AT68:AT99" si="62">IF($AB68="epics",AT$1-LEN(AH68),"")</f>
        <v/>
      </c>
      <c r="AU68" s="12" t="str">
        <f t="shared" ref="AU68:AU99" si="63">IF($AB68="epics",AU$1-LEN(AI68),"")</f>
        <v/>
      </c>
      <c r="AV68" s="12" t="str">
        <f t="shared" ref="AV68:AV99" si="64">IF($AB68="epics",AV$1-LEN(I68)-LEN(" readback"),"")</f>
        <v/>
      </c>
      <c r="AW68" s="13" t="str">
        <f t="shared" ref="AW68:AW99" si="65">IF(ISNUMBER(F68),"0"&amp;LEFT(E68,2)&amp;TEXT(F68,"#.0000"),F68)</f>
        <v>x</v>
      </c>
      <c r="AX68" s="23" t="str">
        <f t="shared" ref="AX68:AX99" si="66">y_Prefix&amp;AE68</f>
        <v>SR05ID01FST01:RSCN:LLMM</v>
      </c>
    </row>
    <row r="69" spans="2:50" ht="15.75" customHeight="1" x14ac:dyDescent="0.25">
      <c r="B69" s="24" t="str">
        <f t="shared" si="47"/>
        <v>.</v>
      </c>
      <c r="C69" s="32" t="str">
        <f t="shared" si="46"/>
        <v>;</v>
      </c>
      <c r="D69" s="30" t="s">
        <v>511</v>
      </c>
      <c r="E69" s="23" t="s">
        <v>511</v>
      </c>
      <c r="F69" s="10" t="s">
        <v>427</v>
      </c>
      <c r="G69" s="10"/>
      <c r="H69" s="10"/>
      <c r="I69" s="11"/>
      <c r="J69" s="10"/>
      <c r="K69" s="10"/>
      <c r="L69" s="10"/>
      <c r="M69" s="10"/>
      <c r="N69" s="10"/>
      <c r="O69" s="16"/>
      <c r="P69" s="52"/>
      <c r="Q69" s="52"/>
      <c r="R69" s="52"/>
      <c r="S69" s="52"/>
      <c r="T69" s="52"/>
      <c r="U69" s="52"/>
      <c r="V69" s="52"/>
      <c r="W69" s="61"/>
      <c r="X69" s="61"/>
      <c r="AB69" s="58" t="str">
        <f t="shared" si="48"/>
        <v/>
      </c>
      <c r="AC69" s="55" t="str">
        <f t="shared" si="49"/>
        <v/>
      </c>
      <c r="AD69" s="29" t="str">
        <f t="shared" si="50"/>
        <v>:MRES</v>
      </c>
      <c r="AE69" s="27" t="str">
        <f t="shared" si="51"/>
        <v>:RSCN:MRES</v>
      </c>
      <c r="AF69" s="29" t="str">
        <f t="shared" si="52"/>
        <v>MRES</v>
      </c>
      <c r="AG69" s="27" t="str">
        <f t="shared" si="53"/>
        <v>MRES</v>
      </c>
      <c r="AH69" s="27" t="str">
        <f t="shared" si="54"/>
        <v>$(P):RSCN:</v>
      </c>
      <c r="AI69" s="27" t="str">
        <f t="shared" si="55"/>
        <v>$(P):RSCN:</v>
      </c>
      <c r="AJ69" s="27"/>
      <c r="AK69" s="27" t="str">
        <f t="shared" si="56"/>
        <v/>
      </c>
      <c r="AL69" s="27" t="str">
        <f t="shared" si="57"/>
        <v/>
      </c>
      <c r="AM69" s="27" t="str">
        <f t="shared" ref="AM69:AM100" si="67">IF(ISNUMBER(W69),SUBSTITUTE(SUBSTITUTE(SUBSTITUTE(SUBSTITUTE(SUBSTITUTE(SUBSTITUTE(SUBSTITUTE(SUBSTITUTE(y_QLabel &amp; IF(RIGHT(R69)="s",y_QELineEdit,y_QELabel),"~PVNAME",$AE69&amp;IF($AC69="map","","")),"~EGU",$K69),"~PREC",$N69),"~VAR",$F69),"~CANGET",$AH69),"~CANSET",$AI69),"~ROW",W69),"~NAME",$E69),"")</f>
        <v/>
      </c>
      <c r="AN69" s="27" t="str">
        <f t="shared" ref="AN69:AN100" si="68">IF(ISNUMBER(X69),SUBSTITUTE(SUBSTITUTE(SUBSTITUTE(SUBSTITUTE(SUBSTITUTE(SUBSTITUTE(SUBSTITUTE(SUBSTITUTE(y_QLabel &amp; IF(RIGHT(S69)="s",y_QELineEdit,y_QELabel),"~PVNAME",$AE69&amp;IF($AC69="map","","")),"~EGU",$K69),"~PREC",$N69),"~VAR",$F69),"~CANGET",$AH69),"~CANSET",$AI69),"~ROW",X69),"~NAME",$E69),"")</f>
        <v/>
      </c>
      <c r="AO69" s="27" t="e">
        <f t="shared" si="58"/>
        <v>#N/A</v>
      </c>
      <c r="AP69" s="27" t="str">
        <f t="shared" si="59"/>
        <v/>
      </c>
      <c r="AQ69" s="27" t="str">
        <f t="shared" ref="AQ69:AQ125" si="69">IF(LEN(P69&amp;Q69)&gt;0,IFERROR(";"&amp;I69&amp;"["&amp;K69&amp;"]"&amp;AB69&amp;"("&amp;AC69&amp;")"&amp;CHAR(10)&amp;C69 &amp;CHAR(9)&amp;AG69&amp;CHAR(9)&amp;F69 &amp;CHAR(9),";;Error!"),"")</f>
        <v/>
      </c>
      <c r="AR69" s="27" t="str">
        <f t="shared" si="60"/>
        <v/>
      </c>
      <c r="AS69" s="12" t="str">
        <f t="shared" si="61"/>
        <v/>
      </c>
      <c r="AT69" s="12" t="str">
        <f t="shared" si="62"/>
        <v/>
      </c>
      <c r="AU69" s="12" t="str">
        <f t="shared" si="63"/>
        <v/>
      </c>
      <c r="AV69" s="12" t="str">
        <f t="shared" si="64"/>
        <v/>
      </c>
      <c r="AW69" s="13" t="str">
        <f t="shared" si="65"/>
        <v>x</v>
      </c>
      <c r="AX69" s="23" t="str">
        <f t="shared" si="66"/>
        <v>SR05ID01FST01:RSCN:MRES</v>
      </c>
    </row>
    <row r="70" spans="2:50" ht="15.75" customHeight="1" x14ac:dyDescent="0.25">
      <c r="B70" s="24" t="str">
        <f t="shared" si="47"/>
        <v>.</v>
      </c>
      <c r="C70" s="32" t="str">
        <f t="shared" ref="C70:C101" si="70">IF(AND(ISBLANK(P70),ISBLANK(Q70)),";","#define")</f>
        <v>;</v>
      </c>
      <c r="D70" s="30" t="s">
        <v>511</v>
      </c>
      <c r="E70" s="23" t="s">
        <v>511</v>
      </c>
      <c r="F70" s="10" t="s">
        <v>427</v>
      </c>
      <c r="G70" s="10"/>
      <c r="H70" s="10"/>
      <c r="I70" s="11"/>
      <c r="J70" s="10"/>
      <c r="K70" s="10"/>
      <c r="L70" s="10"/>
      <c r="M70" s="10"/>
      <c r="N70" s="10"/>
      <c r="O70" s="16"/>
      <c r="P70" s="52"/>
      <c r="Q70" s="52"/>
      <c r="R70" s="52"/>
      <c r="S70" s="52"/>
      <c r="T70" s="52"/>
      <c r="U70" s="52"/>
      <c r="V70" s="52"/>
      <c r="W70" s="61"/>
      <c r="X70" s="61"/>
      <c r="AB70" s="58" t="str">
        <f t="shared" si="48"/>
        <v/>
      </c>
      <c r="AC70" s="55" t="str">
        <f t="shared" si="49"/>
        <v/>
      </c>
      <c r="AD70" s="29" t="str">
        <f t="shared" si="50"/>
        <v>:MRES</v>
      </c>
      <c r="AE70" s="27" t="str">
        <f t="shared" si="51"/>
        <v>:RSCN:MRES</v>
      </c>
      <c r="AF70" s="29" t="str">
        <f t="shared" si="52"/>
        <v>MRES</v>
      </c>
      <c r="AG70" s="27" t="str">
        <f t="shared" si="53"/>
        <v>MRES</v>
      </c>
      <c r="AH70" s="27" t="str">
        <f t="shared" si="54"/>
        <v>$(P):RSCN:</v>
      </c>
      <c r="AI70" s="27" t="str">
        <f t="shared" si="55"/>
        <v>$(P):RSCN:</v>
      </c>
      <c r="AJ70" s="27"/>
      <c r="AK70" s="27" t="str">
        <f t="shared" si="56"/>
        <v/>
      </c>
      <c r="AL70" s="27" t="str">
        <f t="shared" si="57"/>
        <v/>
      </c>
      <c r="AM70" s="27" t="str">
        <f t="shared" si="67"/>
        <v/>
      </c>
      <c r="AN70" s="27" t="str">
        <f t="shared" si="68"/>
        <v/>
      </c>
      <c r="AO70" s="27" t="e">
        <f t="shared" si="58"/>
        <v>#N/A</v>
      </c>
      <c r="AP70" s="27" t="str">
        <f t="shared" si="59"/>
        <v/>
      </c>
      <c r="AQ70" s="27" t="str">
        <f t="shared" si="69"/>
        <v/>
      </c>
      <c r="AR70" s="27" t="str">
        <f t="shared" si="60"/>
        <v/>
      </c>
      <c r="AS70" s="12" t="str">
        <f t="shared" si="61"/>
        <v/>
      </c>
      <c r="AT70" s="12" t="str">
        <f t="shared" si="62"/>
        <v/>
      </c>
      <c r="AU70" s="12" t="str">
        <f t="shared" si="63"/>
        <v/>
      </c>
      <c r="AV70" s="12" t="str">
        <f t="shared" si="64"/>
        <v/>
      </c>
      <c r="AW70" s="13" t="str">
        <f t="shared" si="65"/>
        <v>x</v>
      </c>
      <c r="AX70" s="23" t="str">
        <f t="shared" si="66"/>
        <v>SR05ID01FST01:RSCN:MRES</v>
      </c>
    </row>
    <row r="71" spans="2:50" ht="15.75" customHeight="1" x14ac:dyDescent="0.25">
      <c r="B71" s="24" t="str">
        <f t="shared" si="47"/>
        <v>.</v>
      </c>
      <c r="C71" s="32" t="str">
        <f t="shared" si="70"/>
        <v>;</v>
      </c>
      <c r="D71" s="30" t="s">
        <v>511</v>
      </c>
      <c r="E71" s="23" t="s">
        <v>511</v>
      </c>
      <c r="F71" s="10" t="s">
        <v>427</v>
      </c>
      <c r="G71" s="10"/>
      <c r="H71" s="10"/>
      <c r="I71" s="11"/>
      <c r="J71" s="10"/>
      <c r="K71" s="10"/>
      <c r="L71" s="10"/>
      <c r="M71" s="10"/>
      <c r="N71" s="10"/>
      <c r="O71" s="16"/>
      <c r="P71" s="52"/>
      <c r="Q71" s="52"/>
      <c r="R71" s="52"/>
      <c r="S71" s="52"/>
      <c r="T71" s="52"/>
      <c r="U71" s="52"/>
      <c r="V71" s="52"/>
      <c r="W71" s="61"/>
      <c r="X71" s="61"/>
      <c r="AB71" s="58" t="str">
        <f t="shared" si="48"/>
        <v/>
      </c>
      <c r="AC71" s="55" t="str">
        <f t="shared" si="49"/>
        <v/>
      </c>
      <c r="AD71" s="29" t="str">
        <f t="shared" si="50"/>
        <v>:MRES</v>
      </c>
      <c r="AE71" s="27" t="str">
        <f t="shared" si="51"/>
        <v>:RSCN:MRES</v>
      </c>
      <c r="AF71" s="29" t="str">
        <f t="shared" si="52"/>
        <v>MRES</v>
      </c>
      <c r="AG71" s="27" t="str">
        <f t="shared" si="53"/>
        <v>MRES</v>
      </c>
      <c r="AH71" s="27" t="str">
        <f t="shared" si="54"/>
        <v>$(P):RSCN:</v>
      </c>
      <c r="AI71" s="27" t="str">
        <f t="shared" si="55"/>
        <v>$(P):RSCN:</v>
      </c>
      <c r="AJ71" s="27"/>
      <c r="AK71" s="27" t="str">
        <f t="shared" si="56"/>
        <v/>
      </c>
      <c r="AL71" s="27" t="str">
        <f t="shared" si="57"/>
        <v/>
      </c>
      <c r="AM71" s="27" t="str">
        <f t="shared" si="67"/>
        <v/>
      </c>
      <c r="AN71" s="27" t="str">
        <f t="shared" si="68"/>
        <v/>
      </c>
      <c r="AO71" s="27" t="e">
        <f t="shared" si="58"/>
        <v>#N/A</v>
      </c>
      <c r="AP71" s="27" t="str">
        <f t="shared" si="59"/>
        <v/>
      </c>
      <c r="AQ71" s="27" t="str">
        <f t="shared" si="69"/>
        <v/>
      </c>
      <c r="AR71" s="27" t="str">
        <f t="shared" si="60"/>
        <v/>
      </c>
      <c r="AS71" s="12" t="str">
        <f t="shared" si="61"/>
        <v/>
      </c>
      <c r="AT71" s="12" t="str">
        <f t="shared" si="62"/>
        <v/>
      </c>
      <c r="AU71" s="12" t="str">
        <f t="shared" si="63"/>
        <v/>
      </c>
      <c r="AV71" s="12" t="str">
        <f t="shared" si="64"/>
        <v/>
      </c>
      <c r="AW71" s="13" t="str">
        <f t="shared" si="65"/>
        <v>x</v>
      </c>
      <c r="AX71" s="23" t="str">
        <f t="shared" si="66"/>
        <v>SR05ID01FST01:RSCN:MRES</v>
      </c>
    </row>
    <row r="72" spans="2:50" ht="15.75" customHeight="1" x14ac:dyDescent="0.25">
      <c r="B72" s="24" t="str">
        <f t="shared" si="47"/>
        <v>.</v>
      </c>
      <c r="C72" s="32" t="str">
        <f t="shared" si="70"/>
        <v>;</v>
      </c>
      <c r="D72" s="30" t="s">
        <v>511</v>
      </c>
      <c r="E72" s="23" t="s">
        <v>511</v>
      </c>
      <c r="F72" s="10" t="s">
        <v>427</v>
      </c>
      <c r="G72" s="10"/>
      <c r="H72" s="10"/>
      <c r="I72" s="11"/>
      <c r="J72" s="10"/>
      <c r="K72" s="10"/>
      <c r="L72" s="10"/>
      <c r="M72" s="10"/>
      <c r="N72" s="10"/>
      <c r="O72" s="16"/>
      <c r="P72" s="52"/>
      <c r="Q72" s="52"/>
      <c r="R72" s="52"/>
      <c r="S72" s="52"/>
      <c r="T72" s="52"/>
      <c r="U72" s="52"/>
      <c r="V72" s="52"/>
      <c r="W72" s="61"/>
      <c r="X72" s="61"/>
      <c r="AB72" s="58" t="str">
        <f t="shared" si="48"/>
        <v/>
      </c>
      <c r="AC72" s="55" t="str">
        <f t="shared" si="49"/>
        <v/>
      </c>
      <c r="AD72" s="29" t="str">
        <f t="shared" si="50"/>
        <v>:MRES</v>
      </c>
      <c r="AE72" s="27" t="str">
        <f t="shared" si="51"/>
        <v>:RSCN:MRES</v>
      </c>
      <c r="AF72" s="29" t="str">
        <f t="shared" si="52"/>
        <v>MRES</v>
      </c>
      <c r="AG72" s="27" t="str">
        <f t="shared" si="53"/>
        <v>MRES</v>
      </c>
      <c r="AH72" s="27" t="str">
        <f t="shared" si="54"/>
        <v>$(P):RSCN:</v>
      </c>
      <c r="AI72" s="27" t="str">
        <f t="shared" si="55"/>
        <v>$(P):RSCN:</v>
      </c>
      <c r="AJ72" s="27"/>
      <c r="AK72" s="27" t="str">
        <f t="shared" si="56"/>
        <v/>
      </c>
      <c r="AL72" s="27" t="str">
        <f t="shared" si="57"/>
        <v/>
      </c>
      <c r="AM72" s="27" t="str">
        <f t="shared" si="67"/>
        <v/>
      </c>
      <c r="AN72" s="27" t="str">
        <f t="shared" si="68"/>
        <v/>
      </c>
      <c r="AO72" s="27" t="e">
        <f t="shared" si="58"/>
        <v>#N/A</v>
      </c>
      <c r="AP72" s="27" t="str">
        <f t="shared" si="59"/>
        <v/>
      </c>
      <c r="AQ72" s="27" t="str">
        <f t="shared" si="69"/>
        <v/>
      </c>
      <c r="AR72" s="27" t="str">
        <f t="shared" si="60"/>
        <v/>
      </c>
      <c r="AS72" s="12" t="str">
        <f t="shared" si="61"/>
        <v/>
      </c>
      <c r="AT72" s="12" t="str">
        <f t="shared" si="62"/>
        <v/>
      </c>
      <c r="AU72" s="12" t="str">
        <f t="shared" si="63"/>
        <v/>
      </c>
      <c r="AV72" s="12" t="str">
        <f t="shared" si="64"/>
        <v/>
      </c>
      <c r="AW72" s="13" t="str">
        <f t="shared" si="65"/>
        <v>x</v>
      </c>
      <c r="AX72" s="23" t="str">
        <f t="shared" si="66"/>
        <v>SR05ID01FST01:RSCN:MRES</v>
      </c>
    </row>
    <row r="73" spans="2:50" ht="15.75" customHeight="1" x14ac:dyDescent="0.25">
      <c r="B73" s="24" t="str">
        <f t="shared" si="47"/>
        <v>.</v>
      </c>
      <c r="C73" s="32" t="str">
        <f t="shared" si="70"/>
        <v>;</v>
      </c>
      <c r="D73" s="30" t="s">
        <v>512</v>
      </c>
      <c r="E73" s="23" t="s">
        <v>512</v>
      </c>
      <c r="F73" s="10" t="s">
        <v>427</v>
      </c>
      <c r="G73" s="10"/>
      <c r="H73" s="10"/>
      <c r="I73" s="11"/>
      <c r="J73" s="10"/>
      <c r="K73" s="10"/>
      <c r="L73" s="10"/>
      <c r="M73" s="10"/>
      <c r="N73" s="10"/>
      <c r="O73" s="16"/>
      <c r="P73" s="52"/>
      <c r="Q73" s="52"/>
      <c r="R73" s="52"/>
      <c r="S73" s="52"/>
      <c r="T73" s="52"/>
      <c r="U73" s="52"/>
      <c r="V73" s="52"/>
      <c r="W73" s="61"/>
      <c r="X73" s="61"/>
      <c r="AA73" s="33">
        <v>30</v>
      </c>
      <c r="AB73" s="58" t="str">
        <f t="shared" si="48"/>
        <v/>
      </c>
      <c r="AC73" s="55" t="str">
        <f t="shared" si="49"/>
        <v/>
      </c>
      <c r="AD73" s="29" t="str">
        <f t="shared" si="50"/>
        <v>:OFF</v>
      </c>
      <c r="AE73" s="27" t="str">
        <f t="shared" si="51"/>
        <v>:RSCN:OFF</v>
      </c>
      <c r="AF73" s="29" t="str">
        <f t="shared" si="52"/>
        <v>OFF</v>
      </c>
      <c r="AG73" s="27" t="str">
        <f t="shared" si="53"/>
        <v>OFF</v>
      </c>
      <c r="AH73" s="27" t="str">
        <f t="shared" si="54"/>
        <v>$(P):RSCN:</v>
      </c>
      <c r="AI73" s="27" t="str">
        <f t="shared" si="55"/>
        <v>$(P):RSCN:</v>
      </c>
      <c r="AJ73" s="27"/>
      <c r="AK73" s="27" t="str">
        <f t="shared" si="56"/>
        <v/>
      </c>
      <c r="AL73" s="27" t="str">
        <f t="shared" si="57"/>
        <v/>
      </c>
      <c r="AM73" s="27" t="str">
        <f t="shared" si="67"/>
        <v/>
      </c>
      <c r="AN73" s="27" t="str">
        <f t="shared" si="68"/>
        <v/>
      </c>
      <c r="AO73" s="27" t="e">
        <f t="shared" si="58"/>
        <v>#N/A</v>
      </c>
      <c r="AP73" s="27" t="str">
        <f t="shared" si="59"/>
        <v/>
      </c>
      <c r="AQ73" s="27" t="str">
        <f t="shared" si="69"/>
        <v/>
      </c>
      <c r="AR73" s="27" t="str">
        <f t="shared" si="60"/>
        <v/>
      </c>
      <c r="AS73" s="12" t="str">
        <f t="shared" si="61"/>
        <v/>
      </c>
      <c r="AT73" s="12" t="str">
        <f t="shared" si="62"/>
        <v/>
      </c>
      <c r="AU73" s="12" t="str">
        <f t="shared" si="63"/>
        <v/>
      </c>
      <c r="AV73" s="12" t="str">
        <f t="shared" si="64"/>
        <v/>
      </c>
      <c r="AW73" s="13" t="str">
        <f t="shared" si="65"/>
        <v>x</v>
      </c>
      <c r="AX73" s="23" t="str">
        <f t="shared" si="66"/>
        <v>SR05ID01FST01:RSCN:OFF</v>
      </c>
    </row>
    <row r="74" spans="2:50" ht="15.75" customHeight="1" x14ac:dyDescent="0.25">
      <c r="B74" s="24" t="str">
        <f t="shared" si="47"/>
        <v>.</v>
      </c>
      <c r="C74" s="32" t="str">
        <f t="shared" si="70"/>
        <v>;</v>
      </c>
      <c r="D74" s="30" t="s">
        <v>512</v>
      </c>
      <c r="E74" s="23" t="s">
        <v>512</v>
      </c>
      <c r="F74" s="10" t="s">
        <v>427</v>
      </c>
      <c r="G74" s="10"/>
      <c r="H74" s="10"/>
      <c r="I74" s="11"/>
      <c r="J74" s="10"/>
      <c r="K74" s="10"/>
      <c r="L74" s="10"/>
      <c r="M74" s="10"/>
      <c r="N74" s="10"/>
      <c r="O74" s="16"/>
      <c r="P74" s="52"/>
      <c r="Q74" s="52"/>
      <c r="R74" s="52"/>
      <c r="S74" s="52"/>
      <c r="T74" s="52"/>
      <c r="U74" s="52"/>
      <c r="V74" s="52"/>
      <c r="W74" s="61"/>
      <c r="X74" s="61"/>
      <c r="AA74" s="33">
        <v>30</v>
      </c>
      <c r="AB74" s="58" t="str">
        <f t="shared" si="48"/>
        <v/>
      </c>
      <c r="AC74" s="55" t="str">
        <f t="shared" si="49"/>
        <v/>
      </c>
      <c r="AD74" s="29" t="str">
        <f t="shared" si="50"/>
        <v>:OFF</v>
      </c>
      <c r="AE74" s="27" t="str">
        <f t="shared" si="51"/>
        <v>:RSCN:OFF</v>
      </c>
      <c r="AF74" s="29" t="str">
        <f t="shared" si="52"/>
        <v>OFF</v>
      </c>
      <c r="AG74" s="27" t="str">
        <f t="shared" si="53"/>
        <v>OFF</v>
      </c>
      <c r="AH74" s="27" t="str">
        <f t="shared" si="54"/>
        <v>$(P):RSCN:</v>
      </c>
      <c r="AI74" s="27" t="str">
        <f t="shared" si="55"/>
        <v>$(P):RSCN:</v>
      </c>
      <c r="AJ74" s="27"/>
      <c r="AK74" s="27" t="str">
        <f t="shared" si="56"/>
        <v/>
      </c>
      <c r="AL74" s="27" t="str">
        <f t="shared" si="57"/>
        <v/>
      </c>
      <c r="AM74" s="27" t="str">
        <f t="shared" si="67"/>
        <v/>
      </c>
      <c r="AN74" s="27" t="str">
        <f t="shared" si="68"/>
        <v/>
      </c>
      <c r="AO74" s="27" t="e">
        <f t="shared" si="58"/>
        <v>#N/A</v>
      </c>
      <c r="AP74" s="27" t="str">
        <f t="shared" si="59"/>
        <v/>
      </c>
      <c r="AQ74" s="27" t="str">
        <f t="shared" si="69"/>
        <v/>
      </c>
      <c r="AR74" s="27" t="str">
        <f t="shared" si="60"/>
        <v/>
      </c>
      <c r="AS74" s="12" t="str">
        <f t="shared" si="61"/>
        <v/>
      </c>
      <c r="AT74" s="12" t="str">
        <f t="shared" si="62"/>
        <v/>
      </c>
      <c r="AU74" s="12" t="str">
        <f t="shared" si="63"/>
        <v/>
      </c>
      <c r="AV74" s="12" t="str">
        <f t="shared" si="64"/>
        <v/>
      </c>
      <c r="AW74" s="13" t="str">
        <f t="shared" si="65"/>
        <v>x</v>
      </c>
      <c r="AX74" s="23" t="str">
        <f t="shared" si="66"/>
        <v>SR05ID01FST01:RSCN:OFF</v>
      </c>
    </row>
    <row r="75" spans="2:50" ht="15.75" customHeight="1" x14ac:dyDescent="0.25">
      <c r="B75" s="24" t="str">
        <f t="shared" si="47"/>
        <v>.</v>
      </c>
      <c r="C75" s="32" t="str">
        <f t="shared" si="70"/>
        <v>;</v>
      </c>
      <c r="D75" s="30" t="s">
        <v>512</v>
      </c>
      <c r="E75" s="23" t="s">
        <v>512</v>
      </c>
      <c r="F75" s="10" t="s">
        <v>427</v>
      </c>
      <c r="G75" s="10"/>
      <c r="H75" s="10"/>
      <c r="I75" s="11"/>
      <c r="J75" s="10"/>
      <c r="K75" s="10"/>
      <c r="L75" s="10"/>
      <c r="M75" s="10"/>
      <c r="N75" s="10"/>
      <c r="O75" s="16"/>
      <c r="P75" s="51"/>
      <c r="Q75" s="52"/>
      <c r="R75" s="52"/>
      <c r="S75" s="52"/>
      <c r="T75" s="52"/>
      <c r="U75" s="52"/>
      <c r="V75" s="52"/>
      <c r="W75" s="61"/>
      <c r="X75" s="61"/>
      <c r="AA75" s="33">
        <v>30</v>
      </c>
      <c r="AB75" s="58" t="str">
        <f t="shared" si="48"/>
        <v/>
      </c>
      <c r="AC75" s="55" t="str">
        <f t="shared" si="49"/>
        <v/>
      </c>
      <c r="AD75" s="29" t="str">
        <f t="shared" si="50"/>
        <v>:OFF</v>
      </c>
      <c r="AE75" s="27" t="str">
        <f t="shared" si="51"/>
        <v>:RSCN:OFF</v>
      </c>
      <c r="AF75" s="29" t="str">
        <f t="shared" si="52"/>
        <v>OFF</v>
      </c>
      <c r="AG75" s="27" t="str">
        <f t="shared" si="53"/>
        <v>OFF</v>
      </c>
      <c r="AH75" s="27" t="str">
        <f t="shared" si="54"/>
        <v>$(P):RSCN:</v>
      </c>
      <c r="AI75" s="27" t="str">
        <f t="shared" si="55"/>
        <v>$(P):RSCN:</v>
      </c>
      <c r="AJ75" s="27"/>
      <c r="AK75" s="27" t="str">
        <f t="shared" si="56"/>
        <v/>
      </c>
      <c r="AL75" s="27" t="str">
        <f t="shared" si="57"/>
        <v/>
      </c>
      <c r="AM75" s="27" t="str">
        <f t="shared" si="67"/>
        <v/>
      </c>
      <c r="AN75" s="27" t="str">
        <f t="shared" si="68"/>
        <v/>
      </c>
      <c r="AO75" s="27" t="e">
        <f t="shared" si="58"/>
        <v>#N/A</v>
      </c>
      <c r="AP75" s="27" t="str">
        <f t="shared" si="59"/>
        <v/>
      </c>
      <c r="AQ75" s="27" t="str">
        <f t="shared" si="69"/>
        <v/>
      </c>
      <c r="AR75" s="27" t="str">
        <f t="shared" si="60"/>
        <v/>
      </c>
      <c r="AS75" s="12" t="str">
        <f t="shared" si="61"/>
        <v/>
      </c>
      <c r="AT75" s="12" t="str">
        <f t="shared" si="62"/>
        <v/>
      </c>
      <c r="AU75" s="12" t="str">
        <f t="shared" si="63"/>
        <v/>
      </c>
      <c r="AV75" s="12" t="str">
        <f t="shared" si="64"/>
        <v/>
      </c>
      <c r="AW75" s="13" t="str">
        <f t="shared" si="65"/>
        <v>x</v>
      </c>
      <c r="AX75" s="23" t="str">
        <f t="shared" si="66"/>
        <v>SR05ID01FST01:RSCN:OFF</v>
      </c>
    </row>
    <row r="76" spans="2:50" ht="15.75" customHeight="1" x14ac:dyDescent="0.25">
      <c r="B76" s="24" t="str">
        <f t="shared" si="47"/>
        <v>.</v>
      </c>
      <c r="C76" s="32" t="str">
        <f t="shared" si="70"/>
        <v>;</v>
      </c>
      <c r="D76" s="30" t="s">
        <v>512</v>
      </c>
      <c r="E76" s="23" t="s">
        <v>512</v>
      </c>
      <c r="F76" s="10" t="s">
        <v>427</v>
      </c>
      <c r="G76" s="10"/>
      <c r="H76" s="10"/>
      <c r="I76" s="11"/>
      <c r="J76" s="10"/>
      <c r="K76" s="10"/>
      <c r="L76" s="10"/>
      <c r="M76" s="10"/>
      <c r="N76" s="10"/>
      <c r="O76" s="16"/>
      <c r="P76" s="52"/>
      <c r="Q76" s="52"/>
      <c r="R76" s="52"/>
      <c r="S76" s="52"/>
      <c r="T76" s="52"/>
      <c r="U76" s="52"/>
      <c r="V76" s="52"/>
      <c r="W76" s="61"/>
      <c r="X76" s="61"/>
      <c r="AA76" s="33">
        <v>30</v>
      </c>
      <c r="AB76" s="58" t="str">
        <f t="shared" si="48"/>
        <v/>
      </c>
      <c r="AC76" s="55" t="str">
        <f t="shared" si="49"/>
        <v/>
      </c>
      <c r="AD76" s="29" t="str">
        <f t="shared" si="50"/>
        <v>:OFF</v>
      </c>
      <c r="AE76" s="27" t="str">
        <f t="shared" si="51"/>
        <v>:RSCN:OFF</v>
      </c>
      <c r="AF76" s="29" t="str">
        <f t="shared" si="52"/>
        <v>OFF</v>
      </c>
      <c r="AG76" s="27" t="str">
        <f t="shared" si="53"/>
        <v>OFF</v>
      </c>
      <c r="AH76" s="27" t="str">
        <f t="shared" si="54"/>
        <v>$(P):RSCN:</v>
      </c>
      <c r="AI76" s="27" t="str">
        <f t="shared" si="55"/>
        <v>$(P):RSCN:</v>
      </c>
      <c r="AJ76" s="27"/>
      <c r="AK76" s="27" t="str">
        <f t="shared" si="56"/>
        <v/>
      </c>
      <c r="AL76" s="27" t="str">
        <f t="shared" si="57"/>
        <v/>
      </c>
      <c r="AM76" s="27" t="str">
        <f t="shared" si="67"/>
        <v/>
      </c>
      <c r="AN76" s="27" t="str">
        <f t="shared" si="68"/>
        <v/>
      </c>
      <c r="AO76" s="27" t="e">
        <f t="shared" si="58"/>
        <v>#N/A</v>
      </c>
      <c r="AP76" s="27" t="str">
        <f t="shared" si="59"/>
        <v/>
      </c>
      <c r="AQ76" s="27" t="str">
        <f t="shared" si="69"/>
        <v/>
      </c>
      <c r="AR76" s="27" t="str">
        <f t="shared" si="60"/>
        <v/>
      </c>
      <c r="AS76" s="12" t="str">
        <f t="shared" si="61"/>
        <v/>
      </c>
      <c r="AT76" s="12" t="str">
        <f t="shared" si="62"/>
        <v/>
      </c>
      <c r="AU76" s="12" t="str">
        <f t="shared" si="63"/>
        <v/>
      </c>
      <c r="AV76" s="12" t="str">
        <f t="shared" si="64"/>
        <v/>
      </c>
      <c r="AW76" s="13" t="str">
        <f t="shared" si="65"/>
        <v>x</v>
      </c>
      <c r="AX76" s="23" t="str">
        <f t="shared" si="66"/>
        <v>SR05ID01FST01:RSCN:OFF</v>
      </c>
    </row>
    <row r="77" spans="2:50" s="23" customFormat="1" ht="15.75" customHeight="1" x14ac:dyDescent="0.25">
      <c r="B77" s="24" t="str">
        <f t="shared" si="47"/>
        <v>.</v>
      </c>
      <c r="C77" s="32" t="str">
        <f t="shared" si="70"/>
        <v>#define</v>
      </c>
      <c r="D77" s="31"/>
      <c r="E77" s="25" t="s">
        <v>673</v>
      </c>
      <c r="F77" s="10" t="s">
        <v>607</v>
      </c>
      <c r="G77" s="10"/>
      <c r="H77" s="10"/>
      <c r="I77" s="11" t="s">
        <v>529</v>
      </c>
      <c r="J77" s="10" t="s">
        <v>597</v>
      </c>
      <c r="K77" s="10"/>
      <c r="L77" s="10"/>
      <c r="M77" s="10"/>
      <c r="N77" s="10"/>
      <c r="O77" s="16"/>
      <c r="P77" s="52" t="s">
        <v>563</v>
      </c>
      <c r="Q77" s="52"/>
      <c r="R77" s="52"/>
      <c r="S77" s="52"/>
      <c r="T77" s="52"/>
      <c r="U77" s="52"/>
      <c r="V77" s="52"/>
      <c r="W77" s="61"/>
      <c r="X77" s="61"/>
      <c r="Y77" s="33"/>
      <c r="Z77" s="33"/>
      <c r="AA77" s="33"/>
      <c r="AB77" s="58" t="str">
        <f t="shared" si="48"/>
        <v/>
      </c>
      <c r="AC77" s="55" t="str">
        <f t="shared" si="49"/>
        <v/>
      </c>
      <c r="AD77" s="29" t="str">
        <f t="shared" si="50"/>
        <v>:</v>
      </c>
      <c r="AE77" s="27" t="str">
        <f t="shared" si="51"/>
        <v>:RSCN:P_ALPHA</v>
      </c>
      <c r="AF77" s="29" t="str">
        <f t="shared" si="52"/>
        <v/>
      </c>
      <c r="AG77" s="27" t="str">
        <f t="shared" si="53"/>
        <v>palpha</v>
      </c>
      <c r="AH77" s="27" t="str">
        <f t="shared" si="54"/>
        <v>$(P):RSCN:</v>
      </c>
      <c r="AI77" s="27" t="str">
        <f t="shared" si="55"/>
        <v>$(P):RSCN:</v>
      </c>
      <c r="AJ77" s="27"/>
      <c r="AK77" s="27" t="str">
        <f t="shared" si="56"/>
        <v/>
      </c>
      <c r="AL77" s="27" t="str">
        <f t="shared" si="57"/>
        <v/>
      </c>
      <c r="AM77" s="27" t="str">
        <f t="shared" si="67"/>
        <v/>
      </c>
      <c r="AN77" s="27" t="str">
        <f t="shared" si="68"/>
        <v/>
      </c>
      <c r="AO77" s="27" t="e">
        <f t="shared" si="58"/>
        <v>#N/A</v>
      </c>
      <c r="AP77" s="27" t="str">
        <f t="shared" si="59"/>
        <v/>
      </c>
      <c r="AQ77" s="27" t="str">
        <f t="shared" si="69"/>
        <v xml:space="preserve">;Pmac internal variable[]()
#define	palpha	P2067	</v>
      </c>
      <c r="AR77" s="27" t="str">
        <f t="shared" si="60"/>
        <v/>
      </c>
      <c r="AS77" s="12" t="str">
        <f t="shared" si="61"/>
        <v/>
      </c>
      <c r="AT77" s="12" t="str">
        <f t="shared" si="62"/>
        <v/>
      </c>
      <c r="AU77" s="12" t="str">
        <f t="shared" si="63"/>
        <v/>
      </c>
      <c r="AV77" s="12" t="str">
        <f t="shared" si="64"/>
        <v/>
      </c>
      <c r="AW77" s="13" t="str">
        <f t="shared" si="65"/>
        <v>P2067</v>
      </c>
      <c r="AX77" s="23" t="str">
        <f t="shared" si="66"/>
        <v>SR05ID01FST01:RSCN:P_ALPHA</v>
      </c>
    </row>
    <row r="78" spans="2:50" s="23" customFormat="1" ht="15.75" customHeight="1" x14ac:dyDescent="0.25">
      <c r="B78" s="24" t="str">
        <f t="shared" si="47"/>
        <v>.</v>
      </c>
      <c r="C78" s="32" t="str">
        <f t="shared" si="70"/>
        <v>#define</v>
      </c>
      <c r="D78" s="30" t="s">
        <v>507</v>
      </c>
      <c r="E78" s="23" t="s">
        <v>507</v>
      </c>
      <c r="F78" s="10" t="s">
        <v>426</v>
      </c>
      <c r="G78" s="10"/>
      <c r="H78" s="10"/>
      <c r="I78" s="11" t="s">
        <v>557</v>
      </c>
      <c r="J78" s="10"/>
      <c r="K78" s="10"/>
      <c r="L78" s="10"/>
      <c r="M78" s="10"/>
      <c r="N78" s="10"/>
      <c r="O78" s="16"/>
      <c r="P78" s="52"/>
      <c r="Q78" s="52" t="s">
        <v>563</v>
      </c>
      <c r="R78" s="52"/>
      <c r="S78" s="52"/>
      <c r="T78" s="52"/>
      <c r="U78" s="52"/>
      <c r="V78" s="52"/>
      <c r="W78" s="61"/>
      <c r="X78" s="61"/>
      <c r="Y78" s="33"/>
      <c r="Z78" s="33"/>
      <c r="AA78" s="33"/>
      <c r="AB78" s="58" t="str">
        <f t="shared" si="48"/>
        <v/>
      </c>
      <c r="AC78" s="55" t="str">
        <f t="shared" si="49"/>
        <v/>
      </c>
      <c r="AD78" s="29" t="str">
        <f t="shared" si="50"/>
        <v>:P_COS</v>
      </c>
      <c r="AE78" s="27" t="str">
        <f t="shared" si="51"/>
        <v>:RSCN:P_COS</v>
      </c>
      <c r="AF78" s="29" t="str">
        <f t="shared" si="52"/>
        <v>pCos</v>
      </c>
      <c r="AG78" s="27" t="str">
        <f t="shared" si="53"/>
        <v>pCos</v>
      </c>
      <c r="AH78" s="27" t="str">
        <f t="shared" si="54"/>
        <v>$(P):RSCN:</v>
      </c>
      <c r="AI78" s="27" t="str">
        <f t="shared" si="55"/>
        <v>$(P):RSCN:</v>
      </c>
      <c r="AJ78" s="27"/>
      <c r="AK78" s="27" t="str">
        <f t="shared" si="56"/>
        <v/>
      </c>
      <c r="AL78" s="27" t="str">
        <f t="shared" si="57"/>
        <v/>
      </c>
      <c r="AM78" s="27" t="str">
        <f t="shared" si="67"/>
        <v/>
      </c>
      <c r="AN78" s="27" t="str">
        <f t="shared" si="68"/>
        <v/>
      </c>
      <c r="AO78" s="27" t="e">
        <f t="shared" si="58"/>
        <v>#N/A</v>
      </c>
      <c r="AP78" s="27" t="str">
        <f t="shared" si="59"/>
        <v/>
      </c>
      <c r="AQ78" s="27" t="str">
        <f t="shared" si="69"/>
        <v xml:space="preserve">;CS specific Cos(angle)[]()
#define	pCos	Q402	</v>
      </c>
      <c r="AR78" s="27" t="str">
        <f t="shared" si="60"/>
        <v/>
      </c>
      <c r="AS78" s="12" t="str">
        <f t="shared" si="61"/>
        <v/>
      </c>
      <c r="AT78" s="12" t="str">
        <f t="shared" si="62"/>
        <v/>
      </c>
      <c r="AU78" s="12" t="str">
        <f t="shared" si="63"/>
        <v/>
      </c>
      <c r="AV78" s="12" t="str">
        <f t="shared" si="64"/>
        <v/>
      </c>
      <c r="AW78" s="13" t="str">
        <f t="shared" si="65"/>
        <v>Q402</v>
      </c>
      <c r="AX78" s="23" t="str">
        <f t="shared" si="66"/>
        <v>SR05ID01FST01:RSCN:P_COS</v>
      </c>
    </row>
    <row r="79" spans="2:50" ht="15.75" customHeight="1" x14ac:dyDescent="0.25">
      <c r="B79" s="24" t="str">
        <f t="shared" si="47"/>
        <v>.</v>
      </c>
      <c r="C79" s="32" t="str">
        <f t="shared" si="70"/>
        <v>#define</v>
      </c>
      <c r="D79" s="30" t="s">
        <v>494</v>
      </c>
      <c r="E79" s="23" t="s">
        <v>494</v>
      </c>
      <c r="F79" s="10" t="s">
        <v>416</v>
      </c>
      <c r="G79" s="10"/>
      <c r="H79" s="10"/>
      <c r="I79" s="11" t="s">
        <v>529</v>
      </c>
      <c r="J79" s="10" t="s">
        <v>597</v>
      </c>
      <c r="K79" s="10"/>
      <c r="L79" s="10"/>
      <c r="M79" s="10"/>
      <c r="N79" s="10"/>
      <c r="O79" s="16"/>
      <c r="P79" s="52" t="s">
        <v>563</v>
      </c>
      <c r="Q79" s="52"/>
      <c r="R79" s="52"/>
      <c r="S79" s="52"/>
      <c r="T79" s="52"/>
      <c r="U79" s="52"/>
      <c r="V79" s="52"/>
      <c r="W79" s="61"/>
      <c r="X79" s="61"/>
      <c r="AB79" s="58" t="str">
        <f t="shared" si="48"/>
        <v/>
      </c>
      <c r="AC79" s="55" t="str">
        <f t="shared" si="49"/>
        <v/>
      </c>
      <c r="AD79" s="29" t="str">
        <f t="shared" si="50"/>
        <v>:P_DELTA</v>
      </c>
      <c r="AE79" s="27" t="str">
        <f t="shared" si="51"/>
        <v>:RSCN:P_DELTA</v>
      </c>
      <c r="AF79" s="29" t="str">
        <f t="shared" si="52"/>
        <v>pdelta</v>
      </c>
      <c r="AG79" s="27" t="str">
        <f t="shared" si="53"/>
        <v>pdelta</v>
      </c>
      <c r="AH79" s="27" t="str">
        <f t="shared" si="54"/>
        <v>$(P):RSCN:</v>
      </c>
      <c r="AI79" s="27" t="str">
        <f t="shared" si="55"/>
        <v>$(P):RSCN:</v>
      </c>
      <c r="AJ79" s="27"/>
      <c r="AK79" s="27" t="str">
        <f t="shared" si="56"/>
        <v/>
      </c>
      <c r="AL79" s="27" t="str">
        <f t="shared" si="57"/>
        <v/>
      </c>
      <c r="AM79" s="27" t="str">
        <f t="shared" si="67"/>
        <v/>
      </c>
      <c r="AN79" s="27" t="str">
        <f t="shared" si="68"/>
        <v/>
      </c>
      <c r="AO79" s="27" t="e">
        <f t="shared" si="58"/>
        <v>#N/A</v>
      </c>
      <c r="AP79" s="27" t="str">
        <f t="shared" si="59"/>
        <v/>
      </c>
      <c r="AQ79" s="27" t="str">
        <f t="shared" si="69"/>
        <v xml:space="preserve">;Pmac internal variable[]()
#define	pdelta	P2072	</v>
      </c>
      <c r="AR79" s="27" t="str">
        <f t="shared" si="60"/>
        <v/>
      </c>
      <c r="AS79" s="12" t="str">
        <f t="shared" si="61"/>
        <v/>
      </c>
      <c r="AT79" s="12" t="str">
        <f t="shared" si="62"/>
        <v/>
      </c>
      <c r="AU79" s="12" t="str">
        <f t="shared" si="63"/>
        <v/>
      </c>
      <c r="AV79" s="12" t="str">
        <f t="shared" si="64"/>
        <v/>
      </c>
      <c r="AW79" s="13" t="str">
        <f t="shared" si="65"/>
        <v>P2072</v>
      </c>
      <c r="AX79" s="23" t="str">
        <f t="shared" si="66"/>
        <v>SR05ID01FST01:RSCN:P_DELTA</v>
      </c>
    </row>
    <row r="80" spans="2:50" ht="15.75" customHeight="1" x14ac:dyDescent="0.25">
      <c r="B80" s="24" t="str">
        <f t="shared" si="47"/>
        <v>.</v>
      </c>
      <c r="C80" s="32" t="str">
        <f t="shared" si="70"/>
        <v>#define</v>
      </c>
      <c r="D80" s="30"/>
      <c r="E80" s="23" t="s">
        <v>675</v>
      </c>
      <c r="F80" s="10" t="s">
        <v>677</v>
      </c>
      <c r="G80" s="10"/>
      <c r="H80" s="10"/>
      <c r="I80" s="11" t="s">
        <v>674</v>
      </c>
      <c r="J80" s="10"/>
      <c r="K80" s="10"/>
      <c r="L80" s="10"/>
      <c r="M80" s="10"/>
      <c r="N80" s="10"/>
      <c r="O80" s="16"/>
      <c r="P80" s="52" t="s">
        <v>39</v>
      </c>
      <c r="Q80" s="52" t="s">
        <v>563</v>
      </c>
      <c r="R80" s="52"/>
      <c r="S80" s="52"/>
      <c r="T80" s="52"/>
      <c r="U80" s="52"/>
      <c r="V80" s="52"/>
      <c r="W80" s="61"/>
      <c r="X80" s="61"/>
      <c r="AB80" s="58" t="str">
        <f t="shared" si="48"/>
        <v/>
      </c>
      <c r="AC80" s="55" t="str">
        <f t="shared" si="49"/>
        <v/>
      </c>
      <c r="AD80" s="29" t="str">
        <f t="shared" si="50"/>
        <v>:</v>
      </c>
      <c r="AE80" s="27" t="str">
        <f t="shared" si="51"/>
        <v>:RSCN:P_E1RES</v>
      </c>
      <c r="AF80" s="29" t="str">
        <f t="shared" si="52"/>
        <v/>
      </c>
      <c r="AG80" s="27" t="str">
        <f t="shared" si="53"/>
        <v>pE1Res</v>
      </c>
      <c r="AH80" s="27" t="str">
        <f t="shared" si="54"/>
        <v>$(P):RSCN:</v>
      </c>
      <c r="AI80" s="27" t="str">
        <f t="shared" si="55"/>
        <v>$(P):RSCN:</v>
      </c>
      <c r="AJ80" s="27"/>
      <c r="AK80" s="27" t="str">
        <f t="shared" si="56"/>
        <v/>
      </c>
      <c r="AL80" s="27" t="str">
        <f t="shared" si="57"/>
        <v/>
      </c>
      <c r="AM80" s="27" t="str">
        <f t="shared" si="67"/>
        <v/>
      </c>
      <c r="AN80" s="27" t="str">
        <f t="shared" si="68"/>
        <v/>
      </c>
      <c r="AO80" s="27" t="e">
        <f t="shared" si="58"/>
        <v>#N/A</v>
      </c>
      <c r="AP80" s="27" t="str">
        <f t="shared" si="59"/>
        <v/>
      </c>
      <c r="AQ80" s="27" t="str">
        <f t="shared" si="69"/>
        <v xml:space="preserve">;CS specific axis1 resolution[]()
#define	pE1Res	Q403	</v>
      </c>
      <c r="AR80" s="27" t="str">
        <f t="shared" si="60"/>
        <v/>
      </c>
      <c r="AS80" s="12" t="str">
        <f t="shared" si="61"/>
        <v/>
      </c>
      <c r="AT80" s="12" t="str">
        <f t="shared" si="62"/>
        <v/>
      </c>
      <c r="AU80" s="12" t="str">
        <f t="shared" si="63"/>
        <v/>
      </c>
      <c r="AV80" s="12" t="str">
        <f t="shared" si="64"/>
        <v/>
      </c>
      <c r="AW80" s="13" t="str">
        <f t="shared" si="65"/>
        <v>Q403</v>
      </c>
      <c r="AX80" s="23" t="str">
        <f t="shared" si="66"/>
        <v>SR05ID01FST01:RSCN:P_E1RES</v>
      </c>
    </row>
    <row r="81" spans="2:50" ht="15.75" customHeight="1" x14ac:dyDescent="0.25">
      <c r="B81" s="24" t="str">
        <f t="shared" si="47"/>
        <v>.</v>
      </c>
      <c r="C81" s="32" t="str">
        <f t="shared" si="70"/>
        <v>#define</v>
      </c>
      <c r="D81" s="30"/>
      <c r="E81" s="23" t="s">
        <v>676</v>
      </c>
      <c r="F81" s="10" t="s">
        <v>678</v>
      </c>
      <c r="G81" s="10"/>
      <c r="H81" s="10"/>
      <c r="I81" s="11" t="s">
        <v>679</v>
      </c>
      <c r="J81" s="10"/>
      <c r="K81" s="10"/>
      <c r="L81" s="10"/>
      <c r="M81" s="10"/>
      <c r="N81" s="10"/>
      <c r="O81" s="16"/>
      <c r="P81" s="51" t="s">
        <v>39</v>
      </c>
      <c r="Q81" s="52" t="s">
        <v>563</v>
      </c>
      <c r="R81" s="52"/>
      <c r="S81" s="52"/>
      <c r="T81" s="52"/>
      <c r="U81" s="52"/>
      <c r="V81" s="52"/>
      <c r="W81" s="61"/>
      <c r="X81" s="61"/>
      <c r="AB81" s="58" t="str">
        <f t="shared" si="48"/>
        <v/>
      </c>
      <c r="AC81" s="55" t="str">
        <f t="shared" si="49"/>
        <v/>
      </c>
      <c r="AD81" s="29" t="str">
        <f t="shared" si="50"/>
        <v>:</v>
      </c>
      <c r="AE81" s="27" t="str">
        <f t="shared" si="51"/>
        <v>:RSCN:P_E2RES</v>
      </c>
      <c r="AF81" s="29" t="str">
        <f t="shared" si="52"/>
        <v/>
      </c>
      <c r="AG81" s="27" t="str">
        <f t="shared" si="53"/>
        <v>pE2Res</v>
      </c>
      <c r="AH81" s="27" t="str">
        <f t="shared" si="54"/>
        <v>$(P):RSCN:</v>
      </c>
      <c r="AI81" s="27" t="str">
        <f t="shared" si="55"/>
        <v>$(P):RSCN:</v>
      </c>
      <c r="AJ81" s="27"/>
      <c r="AK81" s="27" t="str">
        <f t="shared" si="56"/>
        <v/>
      </c>
      <c r="AL81" s="27" t="str">
        <f t="shared" si="57"/>
        <v/>
      </c>
      <c r="AM81" s="27" t="str">
        <f t="shared" si="67"/>
        <v/>
      </c>
      <c r="AN81" s="27" t="str">
        <f t="shared" si="68"/>
        <v/>
      </c>
      <c r="AO81" s="27" t="e">
        <f t="shared" si="58"/>
        <v>#N/A</v>
      </c>
      <c r="AP81" s="27" t="str">
        <f t="shared" si="59"/>
        <v/>
      </c>
      <c r="AQ81" s="27" t="str">
        <f t="shared" si="69"/>
        <v xml:space="preserve">;CS specific axis2 resolution[]()
#define	pE2Res	Q404	</v>
      </c>
      <c r="AR81" s="27" t="str">
        <f t="shared" si="60"/>
        <v/>
      </c>
      <c r="AS81" s="12" t="str">
        <f t="shared" si="61"/>
        <v/>
      </c>
      <c r="AT81" s="12" t="str">
        <f t="shared" si="62"/>
        <v/>
      </c>
      <c r="AU81" s="12" t="str">
        <f t="shared" si="63"/>
        <v/>
      </c>
      <c r="AV81" s="12" t="str">
        <f t="shared" si="64"/>
        <v/>
      </c>
      <c r="AW81" s="13" t="str">
        <f t="shared" si="65"/>
        <v>Q404</v>
      </c>
      <c r="AX81" s="23" t="str">
        <f t="shared" si="66"/>
        <v>SR05ID01FST01:RSCN:P_E2RES</v>
      </c>
    </row>
    <row r="82" spans="2:50" ht="15.75" customHeight="1" x14ac:dyDescent="0.25">
      <c r="B82" s="24" t="str">
        <f t="shared" si="47"/>
        <v>.</v>
      </c>
      <c r="C82" s="32" t="str">
        <f t="shared" si="70"/>
        <v>#define</v>
      </c>
      <c r="D82" s="30" t="s">
        <v>506</v>
      </c>
      <c r="E82" s="23" t="s">
        <v>506</v>
      </c>
      <c r="F82" s="10" t="s">
        <v>425</v>
      </c>
      <c r="G82" s="10"/>
      <c r="H82" s="10"/>
      <c r="I82" s="11" t="s">
        <v>556</v>
      </c>
      <c r="J82" s="10"/>
      <c r="K82" s="10"/>
      <c r="L82" s="10"/>
      <c r="M82" s="10"/>
      <c r="N82" s="10"/>
      <c r="O82" s="16"/>
      <c r="P82" s="52"/>
      <c r="Q82" s="52" t="s">
        <v>563</v>
      </c>
      <c r="R82" s="52"/>
      <c r="S82" s="52"/>
      <c r="T82" s="52"/>
      <c r="U82" s="52"/>
      <c r="V82" s="52"/>
      <c r="W82" s="61"/>
      <c r="X82" s="61"/>
      <c r="AB82" s="58" t="str">
        <f t="shared" si="48"/>
        <v/>
      </c>
      <c r="AC82" s="55" t="str">
        <f t="shared" si="49"/>
        <v/>
      </c>
      <c r="AD82" s="29" t="str">
        <f t="shared" si="50"/>
        <v>:P_SIN</v>
      </c>
      <c r="AE82" s="27" t="str">
        <f t="shared" si="51"/>
        <v>:RSCN:P_SIN</v>
      </c>
      <c r="AF82" s="29" t="str">
        <f t="shared" si="52"/>
        <v>pSin</v>
      </c>
      <c r="AG82" s="27" t="str">
        <f t="shared" si="53"/>
        <v>pSin</v>
      </c>
      <c r="AH82" s="27" t="str">
        <f t="shared" si="54"/>
        <v>$(P):RSCN:</v>
      </c>
      <c r="AI82" s="27" t="str">
        <f t="shared" si="55"/>
        <v>$(P):RSCN:</v>
      </c>
      <c r="AJ82" s="27"/>
      <c r="AK82" s="27" t="str">
        <f t="shared" si="56"/>
        <v/>
      </c>
      <c r="AL82" s="27" t="str">
        <f t="shared" si="57"/>
        <v/>
      </c>
      <c r="AM82" s="27" t="str">
        <f t="shared" si="67"/>
        <v/>
      </c>
      <c r="AN82" s="27" t="str">
        <f t="shared" si="68"/>
        <v/>
      </c>
      <c r="AO82" s="27" t="e">
        <f t="shared" si="58"/>
        <v>#N/A</v>
      </c>
      <c r="AP82" s="27" t="str">
        <f t="shared" si="59"/>
        <v/>
      </c>
      <c r="AQ82" s="27" t="str">
        <f t="shared" si="69"/>
        <v xml:space="preserve">;CS specific Sin(angle)[]()
#define	pSin	Q401	</v>
      </c>
      <c r="AR82" s="27" t="str">
        <f t="shared" si="60"/>
        <v/>
      </c>
      <c r="AS82" s="12" t="str">
        <f t="shared" si="61"/>
        <v/>
      </c>
      <c r="AT82" s="12" t="str">
        <f t="shared" si="62"/>
        <v/>
      </c>
      <c r="AU82" s="12" t="str">
        <f t="shared" si="63"/>
        <v/>
      </c>
      <c r="AV82" s="12" t="str">
        <f t="shared" si="64"/>
        <v/>
      </c>
      <c r="AW82" s="13" t="str">
        <f t="shared" si="65"/>
        <v>Q401</v>
      </c>
      <c r="AX82" s="23" t="str">
        <f t="shared" si="66"/>
        <v>SR05ID01FST01:RSCN:P_SIN</v>
      </c>
    </row>
    <row r="83" spans="2:50" ht="15.75" customHeight="1" x14ac:dyDescent="0.25">
      <c r="B83" s="24" t="str">
        <f t="shared" si="47"/>
        <v>.</v>
      </c>
      <c r="C83" s="32" t="str">
        <f t="shared" si="70"/>
        <v>#define</v>
      </c>
      <c r="D83" s="30" t="s">
        <v>495</v>
      </c>
      <c r="E83" s="23" t="s">
        <v>495</v>
      </c>
      <c r="F83" s="10" t="s">
        <v>417</v>
      </c>
      <c r="G83" s="10"/>
      <c r="H83" s="10"/>
      <c r="I83" s="11" t="s">
        <v>529</v>
      </c>
      <c r="J83" s="10" t="s">
        <v>597</v>
      </c>
      <c r="K83" s="10"/>
      <c r="L83" s="10"/>
      <c r="M83" s="10"/>
      <c r="N83" s="10"/>
      <c r="O83" s="16"/>
      <c r="P83" s="51" t="s">
        <v>563</v>
      </c>
      <c r="Q83" s="52"/>
      <c r="R83" s="52"/>
      <c r="S83" s="52"/>
      <c r="T83" s="52"/>
      <c r="U83" s="52"/>
      <c r="V83" s="52"/>
      <c r="W83" s="61"/>
      <c r="X83" s="61"/>
      <c r="AB83" s="58" t="str">
        <f t="shared" si="48"/>
        <v/>
      </c>
      <c r="AC83" s="55" t="str">
        <f t="shared" si="49"/>
        <v/>
      </c>
      <c r="AD83" s="29" t="str">
        <f t="shared" si="50"/>
        <v>:P_TAU</v>
      </c>
      <c r="AE83" s="27" t="str">
        <f t="shared" si="51"/>
        <v>:RSCN:P_TAU</v>
      </c>
      <c r="AF83" s="29" t="str">
        <f t="shared" si="52"/>
        <v>ptau</v>
      </c>
      <c r="AG83" s="27" t="str">
        <f t="shared" si="53"/>
        <v>ptau</v>
      </c>
      <c r="AH83" s="27" t="str">
        <f t="shared" si="54"/>
        <v>$(P):RSCN:</v>
      </c>
      <c r="AI83" s="27" t="str">
        <f t="shared" si="55"/>
        <v>$(P):RSCN:</v>
      </c>
      <c r="AJ83" s="27"/>
      <c r="AK83" s="27" t="str">
        <f t="shared" si="56"/>
        <v/>
      </c>
      <c r="AL83" s="27" t="str">
        <f t="shared" si="57"/>
        <v/>
      </c>
      <c r="AM83" s="27" t="str">
        <f t="shared" si="67"/>
        <v/>
      </c>
      <c r="AN83" s="27" t="str">
        <f t="shared" si="68"/>
        <v/>
      </c>
      <c r="AO83" s="27" t="e">
        <f t="shared" si="58"/>
        <v>#N/A</v>
      </c>
      <c r="AP83" s="27" t="str">
        <f t="shared" si="59"/>
        <v/>
      </c>
      <c r="AQ83" s="27" t="str">
        <f t="shared" si="69"/>
        <v xml:space="preserve">;Pmac internal variable[]()
#define	ptau	P2073	</v>
      </c>
      <c r="AR83" s="27" t="str">
        <f t="shared" si="60"/>
        <v/>
      </c>
      <c r="AS83" s="12" t="str">
        <f t="shared" si="61"/>
        <v/>
      </c>
      <c r="AT83" s="12" t="str">
        <f t="shared" si="62"/>
        <v/>
      </c>
      <c r="AU83" s="12" t="str">
        <f t="shared" si="63"/>
        <v/>
      </c>
      <c r="AV83" s="12" t="str">
        <f t="shared" si="64"/>
        <v/>
      </c>
      <c r="AW83" s="13" t="str">
        <f t="shared" si="65"/>
        <v>P2073</v>
      </c>
      <c r="AX83" s="23" t="str">
        <f t="shared" si="66"/>
        <v>SR05ID01FST01:RSCN:P_TAU</v>
      </c>
    </row>
    <row r="84" spans="2:50" ht="15.75" customHeight="1" x14ac:dyDescent="0.25">
      <c r="B84" s="24" t="str">
        <f t="shared" si="47"/>
        <v>.</v>
      </c>
      <c r="C84" s="32" t="str">
        <f t="shared" si="70"/>
        <v>#define</v>
      </c>
      <c r="D84" s="31" t="s">
        <v>484</v>
      </c>
      <c r="E84" s="25" t="s">
        <v>484</v>
      </c>
      <c r="F84" s="10" t="s">
        <v>405</v>
      </c>
      <c r="G84" s="10"/>
      <c r="H84" s="10"/>
      <c r="I84" s="11" t="s">
        <v>529</v>
      </c>
      <c r="J84" s="10" t="s">
        <v>597</v>
      </c>
      <c r="K84" s="10"/>
      <c r="L84" s="10"/>
      <c r="M84" s="10"/>
      <c r="N84" s="10"/>
      <c r="O84" s="16"/>
      <c r="P84" s="51" t="s">
        <v>563</v>
      </c>
      <c r="Q84" s="52"/>
      <c r="R84" s="52"/>
      <c r="S84" s="52"/>
      <c r="T84" s="52"/>
      <c r="U84" s="52"/>
      <c r="V84" s="52"/>
      <c r="W84" s="61"/>
      <c r="X84" s="61"/>
      <c r="AB84" s="58" t="str">
        <f t="shared" si="48"/>
        <v/>
      </c>
      <c r="AC84" s="55" t="str">
        <f t="shared" si="49"/>
        <v/>
      </c>
      <c r="AD84" s="29" t="str">
        <f t="shared" si="50"/>
        <v>:P_X0</v>
      </c>
      <c r="AE84" s="27" t="str">
        <f t="shared" si="51"/>
        <v>:RSCN:P_X0</v>
      </c>
      <c r="AF84" s="29" t="str">
        <f t="shared" si="52"/>
        <v>pX0</v>
      </c>
      <c r="AG84" s="27" t="str">
        <f t="shared" si="53"/>
        <v>pX0</v>
      </c>
      <c r="AH84" s="27" t="str">
        <f t="shared" si="54"/>
        <v>$(P):RSCN:</v>
      </c>
      <c r="AI84" s="27" t="str">
        <f t="shared" si="55"/>
        <v>$(P):RSCN:</v>
      </c>
      <c r="AJ84" s="27"/>
      <c r="AK84" s="27" t="str">
        <f t="shared" si="56"/>
        <v/>
      </c>
      <c r="AL84" s="27" t="str">
        <f t="shared" si="57"/>
        <v/>
      </c>
      <c r="AM84" s="27" t="str">
        <f t="shared" si="67"/>
        <v/>
      </c>
      <c r="AN84" s="27" t="str">
        <f t="shared" si="68"/>
        <v/>
      </c>
      <c r="AO84" s="27" t="e">
        <f t="shared" si="58"/>
        <v>#N/A</v>
      </c>
      <c r="AP84" s="27" t="str">
        <f t="shared" si="59"/>
        <v/>
      </c>
      <c r="AQ84" s="27" t="str">
        <f t="shared" si="69"/>
        <v xml:space="preserve">;Pmac internal variable[]()
#define	pX0	P2058	</v>
      </c>
      <c r="AR84" s="27" t="str">
        <f t="shared" si="60"/>
        <v/>
      </c>
      <c r="AS84" s="12" t="str">
        <f t="shared" si="61"/>
        <v/>
      </c>
      <c r="AT84" s="12" t="str">
        <f t="shared" si="62"/>
        <v/>
      </c>
      <c r="AU84" s="12" t="str">
        <f t="shared" si="63"/>
        <v/>
      </c>
      <c r="AV84" s="12" t="str">
        <f t="shared" si="64"/>
        <v/>
      </c>
      <c r="AW84" s="13" t="str">
        <f t="shared" si="65"/>
        <v>P2058</v>
      </c>
      <c r="AX84" s="23" t="str">
        <f t="shared" si="66"/>
        <v>SR05ID01FST01:RSCN:P_X0</v>
      </c>
    </row>
    <row r="85" spans="2:50" ht="15.75" customHeight="1" x14ac:dyDescent="0.25">
      <c r="B85" s="24" t="str">
        <f t="shared" si="47"/>
        <v>.</v>
      </c>
      <c r="C85" s="32" t="str">
        <f t="shared" si="70"/>
        <v>#define</v>
      </c>
      <c r="D85" s="31" t="s">
        <v>485</v>
      </c>
      <c r="E85" s="25" t="s">
        <v>485</v>
      </c>
      <c r="F85" s="10" t="s">
        <v>406</v>
      </c>
      <c r="G85" s="10"/>
      <c r="H85" s="10"/>
      <c r="I85" s="11" t="s">
        <v>529</v>
      </c>
      <c r="J85" s="10" t="s">
        <v>597</v>
      </c>
      <c r="K85" s="10"/>
      <c r="L85" s="10"/>
      <c r="M85" s="10"/>
      <c r="N85" s="10"/>
      <c r="O85" s="16"/>
      <c r="P85" s="52" t="s">
        <v>563</v>
      </c>
      <c r="Q85" s="52"/>
      <c r="R85" s="52"/>
      <c r="S85" s="52"/>
      <c r="T85" s="52"/>
      <c r="U85" s="52"/>
      <c r="V85" s="52"/>
      <c r="W85" s="61"/>
      <c r="X85" s="61"/>
      <c r="AB85" s="58" t="str">
        <f t="shared" si="48"/>
        <v/>
      </c>
      <c r="AC85" s="55" t="str">
        <f t="shared" si="49"/>
        <v/>
      </c>
      <c r="AD85" s="29" t="str">
        <f t="shared" si="50"/>
        <v>:P_X1</v>
      </c>
      <c r="AE85" s="27" t="str">
        <f t="shared" si="51"/>
        <v>:RSCN:P_X1</v>
      </c>
      <c r="AF85" s="29" t="str">
        <f t="shared" si="52"/>
        <v>pX1</v>
      </c>
      <c r="AG85" s="27" t="str">
        <f t="shared" si="53"/>
        <v>pX1</v>
      </c>
      <c r="AH85" s="27" t="str">
        <f t="shared" si="54"/>
        <v>$(P):RSCN:</v>
      </c>
      <c r="AI85" s="27" t="str">
        <f t="shared" si="55"/>
        <v>$(P):RSCN:</v>
      </c>
      <c r="AJ85" s="27"/>
      <c r="AK85" s="27" t="str">
        <f t="shared" si="56"/>
        <v/>
      </c>
      <c r="AL85" s="27" t="str">
        <f t="shared" si="57"/>
        <v/>
      </c>
      <c r="AM85" s="27" t="str">
        <f t="shared" si="67"/>
        <v/>
      </c>
      <c r="AN85" s="27" t="str">
        <f t="shared" si="68"/>
        <v/>
      </c>
      <c r="AO85" s="27" t="e">
        <f t="shared" si="58"/>
        <v>#N/A</v>
      </c>
      <c r="AP85" s="27" t="str">
        <f t="shared" si="59"/>
        <v/>
      </c>
      <c r="AQ85" s="27" t="str">
        <f t="shared" si="69"/>
        <v xml:space="preserve">;Pmac internal variable[]()
#define	pX1	P2059	</v>
      </c>
      <c r="AR85" s="27" t="str">
        <f t="shared" si="60"/>
        <v/>
      </c>
      <c r="AS85" s="12" t="str">
        <f t="shared" si="61"/>
        <v/>
      </c>
      <c r="AT85" s="12" t="str">
        <f t="shared" si="62"/>
        <v/>
      </c>
      <c r="AU85" s="12" t="str">
        <f t="shared" si="63"/>
        <v/>
      </c>
      <c r="AV85" s="12" t="str">
        <f t="shared" si="64"/>
        <v/>
      </c>
      <c r="AW85" s="13" t="str">
        <f t="shared" si="65"/>
        <v>P2059</v>
      </c>
      <c r="AX85" s="23" t="str">
        <f t="shared" si="66"/>
        <v>SR05ID01FST01:RSCN:P_X1</v>
      </c>
    </row>
    <row r="86" spans="2:50" ht="15.75" customHeight="1" x14ac:dyDescent="0.25">
      <c r="B86" s="24" t="str">
        <f t="shared" si="47"/>
        <v>.</v>
      </c>
      <c r="C86" s="32" t="str">
        <f t="shared" si="70"/>
        <v>#define</v>
      </c>
      <c r="D86" s="30" t="s">
        <v>492</v>
      </c>
      <c r="E86" s="23" t="s">
        <v>492</v>
      </c>
      <c r="F86" s="10" t="s">
        <v>414</v>
      </c>
      <c r="G86" s="10"/>
      <c r="H86" s="10"/>
      <c r="I86" s="11" t="s">
        <v>529</v>
      </c>
      <c r="J86" s="10" t="s">
        <v>597</v>
      </c>
      <c r="K86" s="10"/>
      <c r="L86" s="10"/>
      <c r="M86" s="10"/>
      <c r="N86" s="10"/>
      <c r="O86" s="16"/>
      <c r="P86" s="52" t="s">
        <v>563</v>
      </c>
      <c r="Q86" s="52"/>
      <c r="R86" s="52"/>
      <c r="S86" s="52"/>
      <c r="T86" s="52"/>
      <c r="U86" s="52"/>
      <c r="V86" s="52"/>
      <c r="W86" s="61"/>
      <c r="X86" s="61"/>
      <c r="AB86" s="58" t="str">
        <f t="shared" si="48"/>
        <v/>
      </c>
      <c r="AC86" s="55" t="str">
        <f t="shared" si="49"/>
        <v/>
      </c>
      <c r="AD86" s="29" t="str">
        <f t="shared" si="50"/>
        <v>:P_Y0</v>
      </c>
      <c r="AE86" s="27" t="str">
        <f t="shared" si="51"/>
        <v>:RSCN:P_Y0</v>
      </c>
      <c r="AF86" s="29" t="str">
        <f t="shared" si="52"/>
        <v>pY0</v>
      </c>
      <c r="AG86" s="27" t="str">
        <f t="shared" si="53"/>
        <v>pY0</v>
      </c>
      <c r="AH86" s="27" t="str">
        <f t="shared" si="54"/>
        <v>$(P):RSCN:</v>
      </c>
      <c r="AI86" s="27" t="str">
        <f t="shared" si="55"/>
        <v>$(P):RSCN:</v>
      </c>
      <c r="AJ86" s="27"/>
      <c r="AK86" s="27" t="str">
        <f t="shared" si="56"/>
        <v/>
      </c>
      <c r="AL86" s="27" t="str">
        <f t="shared" si="57"/>
        <v/>
      </c>
      <c r="AM86" s="27" t="str">
        <f t="shared" si="67"/>
        <v/>
      </c>
      <c r="AN86" s="27" t="str">
        <f t="shared" si="68"/>
        <v/>
      </c>
      <c r="AO86" s="27" t="e">
        <f t="shared" si="58"/>
        <v>#N/A</v>
      </c>
      <c r="AP86" s="27" t="str">
        <f t="shared" si="59"/>
        <v/>
      </c>
      <c r="AQ86" s="27" t="str">
        <f t="shared" si="69"/>
        <v xml:space="preserve">;Pmac internal variable[]()
#define	pY0	P2068	</v>
      </c>
      <c r="AR86" s="27" t="str">
        <f t="shared" si="60"/>
        <v/>
      </c>
      <c r="AS86" s="12" t="str">
        <f t="shared" si="61"/>
        <v/>
      </c>
      <c r="AT86" s="12" t="str">
        <f t="shared" si="62"/>
        <v/>
      </c>
      <c r="AU86" s="12" t="str">
        <f t="shared" si="63"/>
        <v/>
      </c>
      <c r="AV86" s="12" t="str">
        <f t="shared" si="64"/>
        <v/>
      </c>
      <c r="AW86" s="13" t="str">
        <f t="shared" si="65"/>
        <v>P2068</v>
      </c>
      <c r="AX86" s="23" t="str">
        <f t="shared" si="66"/>
        <v>SR05ID01FST01:RSCN:P_Y0</v>
      </c>
    </row>
    <row r="87" spans="2:50" ht="15.75" customHeight="1" x14ac:dyDescent="0.25">
      <c r="B87" s="24" t="str">
        <f t="shared" si="47"/>
        <v>.</v>
      </c>
      <c r="C87" s="32" t="str">
        <f t="shared" si="70"/>
        <v>#define</v>
      </c>
      <c r="D87" s="30" t="s">
        <v>493</v>
      </c>
      <c r="E87" s="23" t="s">
        <v>493</v>
      </c>
      <c r="F87" s="10" t="s">
        <v>415</v>
      </c>
      <c r="G87" s="10"/>
      <c r="H87" s="10"/>
      <c r="I87" s="11" t="s">
        <v>529</v>
      </c>
      <c r="J87" s="10" t="s">
        <v>597</v>
      </c>
      <c r="K87" s="10"/>
      <c r="L87" s="10"/>
      <c r="M87" s="10"/>
      <c r="N87" s="10"/>
      <c r="O87" s="16"/>
      <c r="P87" s="52" t="s">
        <v>563</v>
      </c>
      <c r="Q87" s="52"/>
      <c r="R87" s="52"/>
      <c r="S87" s="52"/>
      <c r="T87" s="52"/>
      <c r="U87" s="52"/>
      <c r="V87" s="52"/>
      <c r="W87" s="61"/>
      <c r="X87" s="61"/>
      <c r="AB87" s="58" t="str">
        <f t="shared" si="48"/>
        <v/>
      </c>
      <c r="AC87" s="55" t="str">
        <f t="shared" si="49"/>
        <v/>
      </c>
      <c r="AD87" s="29" t="str">
        <f t="shared" si="50"/>
        <v>:P_Y1</v>
      </c>
      <c r="AE87" s="27" t="str">
        <f t="shared" si="51"/>
        <v>:RSCN:P_Y1</v>
      </c>
      <c r="AF87" s="29" t="str">
        <f t="shared" si="52"/>
        <v>pY1</v>
      </c>
      <c r="AG87" s="27" t="str">
        <f t="shared" si="53"/>
        <v>pY1</v>
      </c>
      <c r="AH87" s="27" t="str">
        <f t="shared" si="54"/>
        <v>$(P):RSCN:</v>
      </c>
      <c r="AI87" s="27" t="str">
        <f t="shared" si="55"/>
        <v>$(P):RSCN:</v>
      </c>
      <c r="AJ87" s="27"/>
      <c r="AK87" s="27" t="str">
        <f t="shared" si="56"/>
        <v/>
      </c>
      <c r="AL87" s="27" t="str">
        <f t="shared" si="57"/>
        <v/>
      </c>
      <c r="AM87" s="27" t="str">
        <f t="shared" si="67"/>
        <v/>
      </c>
      <c r="AN87" s="27" t="str">
        <f t="shared" si="68"/>
        <v/>
      </c>
      <c r="AO87" s="27" t="e">
        <f t="shared" si="58"/>
        <v>#N/A</v>
      </c>
      <c r="AP87" s="27" t="str">
        <f t="shared" si="59"/>
        <v/>
      </c>
      <c r="AQ87" s="27" t="str">
        <f t="shared" si="69"/>
        <v xml:space="preserve">;Pmac internal variable[]()
#define	pY1	P2069	</v>
      </c>
      <c r="AR87" s="27" t="str">
        <f t="shared" si="60"/>
        <v/>
      </c>
      <c r="AS87" s="12" t="str">
        <f t="shared" si="61"/>
        <v/>
      </c>
      <c r="AT87" s="12" t="str">
        <f t="shared" si="62"/>
        <v/>
      </c>
      <c r="AU87" s="12" t="str">
        <f t="shared" si="63"/>
        <v/>
      </c>
      <c r="AV87" s="12" t="str">
        <f t="shared" si="64"/>
        <v/>
      </c>
      <c r="AW87" s="13" t="str">
        <f t="shared" si="65"/>
        <v>P2069</v>
      </c>
      <c r="AX87" s="23" t="str">
        <f t="shared" si="66"/>
        <v>SR05ID01FST01:RSCN:P_Y1</v>
      </c>
    </row>
    <row r="88" spans="2:50" ht="15.75" customHeight="1" x14ac:dyDescent="0.25">
      <c r="B88" s="24" t="str">
        <f t="shared" si="47"/>
        <v>.</v>
      </c>
      <c r="C88" s="32" t="str">
        <f t="shared" si="70"/>
        <v>;</v>
      </c>
      <c r="D88" s="30" t="s">
        <v>513</v>
      </c>
      <c r="E88" s="23" t="s">
        <v>513</v>
      </c>
      <c r="F88" s="10" t="s">
        <v>427</v>
      </c>
      <c r="G88" s="10"/>
      <c r="H88" s="10"/>
      <c r="I88" s="11"/>
      <c r="J88" s="10" t="s">
        <v>594</v>
      </c>
      <c r="K88" s="10"/>
      <c r="L88" s="10"/>
      <c r="M88" s="10"/>
      <c r="N88" s="10"/>
      <c r="O88" s="16"/>
      <c r="P88" s="52"/>
      <c r="Q88" s="52"/>
      <c r="R88" s="52"/>
      <c r="S88" s="52"/>
      <c r="T88" s="52"/>
      <c r="U88" s="52"/>
      <c r="V88" s="52" t="s">
        <v>563</v>
      </c>
      <c r="W88" s="61"/>
      <c r="X88" s="61"/>
      <c r="AB88" s="58" t="str">
        <f t="shared" si="48"/>
        <v>epics</v>
      </c>
      <c r="AC88" s="55" t="str">
        <f t="shared" si="49"/>
        <v>base</v>
      </c>
      <c r="AD88" s="29" t="str">
        <f t="shared" si="50"/>
        <v>:ST_ALWAYS</v>
      </c>
      <c r="AE88" s="27" t="str">
        <f t="shared" si="51"/>
        <v>:RSCN:ST_ALWAYS</v>
      </c>
      <c r="AF88" s="29" t="str">
        <f t="shared" si="52"/>
        <v>stAlways</v>
      </c>
      <c r="AG88" s="27" t="str">
        <f t="shared" si="53"/>
        <v>stAlways</v>
      </c>
      <c r="AH88" s="27" t="str">
        <f t="shared" si="54"/>
        <v>$(P):RSCN:</v>
      </c>
      <c r="AI88" s="27" t="str">
        <f t="shared" si="55"/>
        <v>$(P):RSCN:</v>
      </c>
      <c r="AJ88" s="27"/>
      <c r="AK88" s="27" t="str">
        <f t="shared" si="56"/>
        <v/>
      </c>
      <c r="AL88" s="27" t="str">
        <f t="shared" si="57"/>
        <v/>
      </c>
      <c r="AM88" s="27" t="str">
        <f t="shared" si="67"/>
        <v/>
      </c>
      <c r="AN88" s="27" t="str">
        <f t="shared" si="68"/>
        <v/>
      </c>
      <c r="AO88" s="27" t="e">
        <f t="shared" si="58"/>
        <v>#N/A</v>
      </c>
      <c r="AP88" s="27" t="str">
        <f t="shared" si="59"/>
        <v xml:space="preserve">SR05ID01FST01:RSCN:ST_ALWAYS = </v>
      </c>
      <c r="AQ88" s="27" t="str">
        <f t="shared" si="69"/>
        <v/>
      </c>
      <c r="AR88" s="27" t="str">
        <f t="shared" si="60"/>
        <v/>
      </c>
      <c r="AS88" s="12">
        <f t="shared" si="61"/>
        <v>4</v>
      </c>
      <c r="AT88" s="12">
        <f t="shared" si="62"/>
        <v>14</v>
      </c>
      <c r="AU88" s="12">
        <f t="shared" si="63"/>
        <v>14</v>
      </c>
      <c r="AV88" s="12">
        <f t="shared" si="64"/>
        <v>31</v>
      </c>
      <c r="AW88" s="13" t="str">
        <f t="shared" si="65"/>
        <v>x</v>
      </c>
      <c r="AX88" s="23" t="str">
        <f t="shared" si="66"/>
        <v>SR05ID01FST01:RSCN:ST_ALWAYS</v>
      </c>
    </row>
    <row r="89" spans="2:50" ht="15.75" customHeight="1" x14ac:dyDescent="0.25">
      <c r="B89" s="24" t="str">
        <f t="shared" si="47"/>
        <v>.</v>
      </c>
      <c r="C89" s="32" t="str">
        <f t="shared" si="70"/>
        <v>#define</v>
      </c>
      <c r="D89" s="9" t="s">
        <v>429</v>
      </c>
      <c r="E89" s="25" t="s">
        <v>429</v>
      </c>
      <c r="F89" s="10">
        <v>0</v>
      </c>
      <c r="G89" s="10"/>
      <c r="H89" s="10">
        <v>0</v>
      </c>
      <c r="I89" s="11"/>
      <c r="J89" s="10" t="s">
        <v>597</v>
      </c>
      <c r="K89" s="10"/>
      <c r="L89" s="10"/>
      <c r="M89" s="10"/>
      <c r="N89" s="10"/>
      <c r="O89" s="16"/>
      <c r="P89" s="52" t="s">
        <v>563</v>
      </c>
      <c r="Q89" s="52"/>
      <c r="R89" s="52"/>
      <c r="S89" s="52"/>
      <c r="T89" s="52"/>
      <c r="U89" s="52"/>
      <c r="V89" s="52"/>
      <c r="W89" s="61"/>
      <c r="X89" s="61"/>
      <c r="AB89" s="58" t="str">
        <f t="shared" si="48"/>
        <v/>
      </c>
      <c r="AC89" s="55" t="str">
        <f t="shared" si="49"/>
        <v/>
      </c>
      <c r="AD89" s="29" t="str">
        <f t="shared" si="50"/>
        <v>:ST_BLANK</v>
      </c>
      <c r="AE89" s="27" t="str">
        <f t="shared" si="51"/>
        <v>:RSCN:ST_BLANK</v>
      </c>
      <c r="AF89" s="29" t="str">
        <f t="shared" si="52"/>
        <v>stBlank</v>
      </c>
      <c r="AG89" s="27" t="str">
        <f t="shared" si="53"/>
        <v>stBlank</v>
      </c>
      <c r="AH89" s="27" t="str">
        <f t="shared" si="54"/>
        <v>$(P):RSCN:</v>
      </c>
      <c r="AI89" s="27" t="str">
        <f t="shared" si="55"/>
        <v>$(P):RSCN:</v>
      </c>
      <c r="AJ89" s="27"/>
      <c r="AK89" s="27" t="str">
        <f t="shared" si="56"/>
        <v/>
      </c>
      <c r="AL89" s="27" t="str">
        <f t="shared" si="57"/>
        <v/>
      </c>
      <c r="AM89" s="27" t="str">
        <f t="shared" si="67"/>
        <v/>
      </c>
      <c r="AN89" s="27" t="str">
        <f t="shared" si="68"/>
        <v/>
      </c>
      <c r="AO89" s="27" t="e">
        <f t="shared" si="58"/>
        <v>#N/A</v>
      </c>
      <c r="AP89" s="27" t="str">
        <f t="shared" si="59"/>
        <v/>
      </c>
      <c r="AQ89" s="27" t="str">
        <f t="shared" si="69"/>
        <v xml:space="preserve">;[]()
#define	stBlank	0	</v>
      </c>
      <c r="AR89" s="27" t="str">
        <f t="shared" si="60"/>
        <v/>
      </c>
      <c r="AS89" s="12" t="str">
        <f t="shared" si="61"/>
        <v/>
      </c>
      <c r="AT89" s="12" t="str">
        <f t="shared" si="62"/>
        <v/>
      </c>
      <c r="AU89" s="12" t="str">
        <f t="shared" si="63"/>
        <v/>
      </c>
      <c r="AV89" s="12" t="str">
        <f t="shared" si="64"/>
        <v/>
      </c>
      <c r="AW89" s="13" t="str">
        <f t="shared" si="65"/>
        <v>0st.0000</v>
      </c>
      <c r="AX89" s="23" t="str">
        <f t="shared" si="66"/>
        <v>SR05ID01FST01:RSCN:ST_BLANK</v>
      </c>
    </row>
    <row r="90" spans="2:50" ht="15.75" customHeight="1" x14ac:dyDescent="0.25">
      <c r="B90" s="24" t="str">
        <f t="shared" si="47"/>
        <v>.</v>
      </c>
      <c r="C90" s="32" t="str">
        <f t="shared" si="70"/>
        <v>#define</v>
      </c>
      <c r="D90" s="31" t="s">
        <v>435</v>
      </c>
      <c r="E90" s="25" t="s">
        <v>435</v>
      </c>
      <c r="F90" s="10">
        <v>3</v>
      </c>
      <c r="G90" s="10"/>
      <c r="H90" s="10">
        <v>3</v>
      </c>
      <c r="I90" s="11" t="s">
        <v>526</v>
      </c>
      <c r="J90" s="10" t="s">
        <v>597</v>
      </c>
      <c r="K90" s="10"/>
      <c r="L90" s="10"/>
      <c r="M90" s="10"/>
      <c r="N90" s="10"/>
      <c r="O90" s="16"/>
      <c r="P90" s="52" t="s">
        <v>563</v>
      </c>
      <c r="Q90" s="52"/>
      <c r="R90" s="52"/>
      <c r="S90" s="52"/>
      <c r="T90" s="52"/>
      <c r="U90" s="52"/>
      <c r="V90" s="52"/>
      <c r="W90" s="61"/>
      <c r="X90" s="61"/>
      <c r="AB90" s="58" t="str">
        <f t="shared" si="48"/>
        <v/>
      </c>
      <c r="AC90" s="55" t="str">
        <f t="shared" si="49"/>
        <v/>
      </c>
      <c r="AD90" s="29" t="str">
        <f t="shared" si="50"/>
        <v>:ST_COMPILING</v>
      </c>
      <c r="AE90" s="27" t="str">
        <f t="shared" si="51"/>
        <v>:RSCN:ST_COMPILING</v>
      </c>
      <c r="AF90" s="29" t="str">
        <f t="shared" si="52"/>
        <v>stCompiling</v>
      </c>
      <c r="AG90" s="27" t="str">
        <f t="shared" si="53"/>
        <v>stCompiling</v>
      </c>
      <c r="AH90" s="27" t="str">
        <f t="shared" si="54"/>
        <v>$(P):RSCN:</v>
      </c>
      <c r="AI90" s="27" t="str">
        <f t="shared" si="55"/>
        <v>$(P):RSCN:</v>
      </c>
      <c r="AJ90" s="27"/>
      <c r="AK90" s="27" t="str">
        <f t="shared" si="56"/>
        <v/>
      </c>
      <c r="AL90" s="27" t="str">
        <f t="shared" si="57"/>
        <v/>
      </c>
      <c r="AM90" s="27" t="str">
        <f t="shared" si="67"/>
        <v/>
      </c>
      <c r="AN90" s="27" t="str">
        <f t="shared" si="68"/>
        <v/>
      </c>
      <c r="AO90" s="27" t="e">
        <f t="shared" si="58"/>
        <v>#N/A</v>
      </c>
      <c r="AP90" s="27" t="str">
        <f t="shared" si="59"/>
        <v/>
      </c>
      <c r="AQ90" s="27" t="str">
        <f t="shared" si="69"/>
        <v xml:space="preserve">;Compiling scan[]()
#define	stCompiling	3	</v>
      </c>
      <c r="AR90" s="27" t="str">
        <f t="shared" si="60"/>
        <v/>
      </c>
      <c r="AS90" s="12" t="str">
        <f t="shared" si="61"/>
        <v/>
      </c>
      <c r="AT90" s="12" t="str">
        <f t="shared" si="62"/>
        <v/>
      </c>
      <c r="AU90" s="12" t="str">
        <f t="shared" si="63"/>
        <v/>
      </c>
      <c r="AV90" s="12" t="str">
        <f t="shared" si="64"/>
        <v/>
      </c>
      <c r="AW90" s="13" t="str">
        <f t="shared" si="65"/>
        <v>0st3.0000</v>
      </c>
      <c r="AX90" s="23" t="str">
        <f t="shared" si="66"/>
        <v>SR05ID01FST01:RSCN:ST_COMPILING</v>
      </c>
    </row>
    <row r="91" spans="2:50" ht="15.75" customHeight="1" x14ac:dyDescent="0.25">
      <c r="B91" s="24" t="str">
        <f t="shared" si="47"/>
        <v>.</v>
      </c>
      <c r="C91" s="32" t="str">
        <f t="shared" si="70"/>
        <v>;</v>
      </c>
      <c r="D91" s="30" t="s">
        <v>514</v>
      </c>
      <c r="E91" s="23" t="s">
        <v>514</v>
      </c>
      <c r="F91" s="10" t="s">
        <v>427</v>
      </c>
      <c r="G91" s="10"/>
      <c r="H91" s="10"/>
      <c r="I91" s="11" t="s">
        <v>558</v>
      </c>
      <c r="J91" s="10" t="s">
        <v>594</v>
      </c>
      <c r="K91" s="10"/>
      <c r="L91" s="10"/>
      <c r="M91" s="10"/>
      <c r="N91" s="10"/>
      <c r="O91" s="16"/>
      <c r="P91" s="52"/>
      <c r="Q91" s="52"/>
      <c r="R91" s="52"/>
      <c r="S91" s="52"/>
      <c r="T91" s="52"/>
      <c r="U91" s="52"/>
      <c r="V91" s="52" t="s">
        <v>563</v>
      </c>
      <c r="W91" s="61"/>
      <c r="X91" s="61"/>
      <c r="AB91" s="58" t="str">
        <f t="shared" si="48"/>
        <v>epics</v>
      </c>
      <c r="AC91" s="55" t="str">
        <f t="shared" si="49"/>
        <v>base</v>
      </c>
      <c r="AD91" s="29" t="str">
        <f t="shared" si="50"/>
        <v>:ST_CSSETUP</v>
      </c>
      <c r="AE91" s="27" t="str">
        <f t="shared" si="51"/>
        <v>:RSCN:ST_CSSETUP</v>
      </c>
      <c r="AF91" s="29" t="str">
        <f t="shared" si="52"/>
        <v>stCSSetup</v>
      </c>
      <c r="AG91" s="27" t="str">
        <f t="shared" si="53"/>
        <v>stCSSetup</v>
      </c>
      <c r="AH91" s="27" t="str">
        <f t="shared" si="54"/>
        <v>$(P):RSCN:</v>
      </c>
      <c r="AI91" s="27" t="str">
        <f t="shared" si="55"/>
        <v>$(P):RSCN:</v>
      </c>
      <c r="AJ91" s="27"/>
      <c r="AK91" s="27" t="str">
        <f t="shared" si="56"/>
        <v/>
      </c>
      <c r="AL91" s="27" t="str">
        <f t="shared" si="57"/>
        <v/>
      </c>
      <c r="AM91" s="27" t="str">
        <f t="shared" si="67"/>
        <v/>
      </c>
      <c r="AN91" s="27" t="str">
        <f t="shared" si="68"/>
        <v/>
      </c>
      <c r="AO91" s="27" t="e">
        <f t="shared" si="58"/>
        <v>#N/A</v>
      </c>
      <c r="AP91" s="27" t="str">
        <f t="shared" si="59"/>
        <v xml:space="preserve">SR05ID01FST01:RSCN:ST_CSSETUP = </v>
      </c>
      <c r="AQ91" s="27" t="str">
        <f t="shared" si="69"/>
        <v/>
      </c>
      <c r="AR91" s="27" t="str">
        <f t="shared" si="60"/>
        <v/>
      </c>
      <c r="AS91" s="12">
        <f t="shared" si="61"/>
        <v>3</v>
      </c>
      <c r="AT91" s="12">
        <f t="shared" si="62"/>
        <v>14</v>
      </c>
      <c r="AU91" s="12">
        <f t="shared" si="63"/>
        <v>14</v>
      </c>
      <c r="AV91" s="12">
        <f t="shared" si="64"/>
        <v>1</v>
      </c>
      <c r="AW91" s="13" t="str">
        <f t="shared" si="65"/>
        <v>x</v>
      </c>
      <c r="AX91" s="23" t="str">
        <f t="shared" si="66"/>
        <v>SR05ID01FST01:RSCN:ST_CSSETUP</v>
      </c>
    </row>
    <row r="92" spans="2:50" ht="15.75" customHeight="1" x14ac:dyDescent="0.25">
      <c r="B92" s="24" t="str">
        <f t="shared" si="47"/>
        <v>.</v>
      </c>
      <c r="C92" s="32" t="str">
        <f t="shared" si="70"/>
        <v>;</v>
      </c>
      <c r="D92" s="30" t="s">
        <v>515</v>
      </c>
      <c r="E92" s="23" t="s">
        <v>515</v>
      </c>
      <c r="F92" s="10" t="s">
        <v>427</v>
      </c>
      <c r="G92" s="10"/>
      <c r="H92" s="10"/>
      <c r="I92" s="11"/>
      <c r="J92" s="10" t="s">
        <v>594</v>
      </c>
      <c r="K92" s="10"/>
      <c r="L92" s="10"/>
      <c r="M92" s="10"/>
      <c r="N92" s="10"/>
      <c r="O92" s="16"/>
      <c r="P92" s="52"/>
      <c r="Q92" s="52"/>
      <c r="R92" s="52"/>
      <c r="S92" s="52"/>
      <c r="T92" s="52"/>
      <c r="U92" s="52"/>
      <c r="V92" s="52" t="s">
        <v>563</v>
      </c>
      <c r="W92" s="61"/>
      <c r="X92" s="61"/>
      <c r="AB92" s="58" t="str">
        <f t="shared" si="48"/>
        <v>epics</v>
      </c>
      <c r="AC92" s="55" t="str">
        <f t="shared" si="49"/>
        <v>base</v>
      </c>
      <c r="AD92" s="29" t="str">
        <f t="shared" si="50"/>
        <v>:ST_GLOBAL</v>
      </c>
      <c r="AE92" s="27" t="str">
        <f t="shared" si="51"/>
        <v>:RSCN:ST_GLOBAL</v>
      </c>
      <c r="AF92" s="29" t="str">
        <f t="shared" si="52"/>
        <v>stGlobal</v>
      </c>
      <c r="AG92" s="27" t="str">
        <f t="shared" si="53"/>
        <v>stGlobal</v>
      </c>
      <c r="AH92" s="27" t="str">
        <f t="shared" si="54"/>
        <v>$(P):RSCN:</v>
      </c>
      <c r="AI92" s="27" t="str">
        <f t="shared" si="55"/>
        <v>$(P):RSCN:</v>
      </c>
      <c r="AJ92" s="27"/>
      <c r="AK92" s="27" t="str">
        <f t="shared" si="56"/>
        <v/>
      </c>
      <c r="AL92" s="27" t="str">
        <f t="shared" si="57"/>
        <v/>
      </c>
      <c r="AM92" s="27" t="str">
        <f t="shared" si="67"/>
        <v/>
      </c>
      <c r="AN92" s="27" t="str">
        <f t="shared" si="68"/>
        <v/>
      </c>
      <c r="AO92" s="27" t="e">
        <f t="shared" si="58"/>
        <v>#N/A</v>
      </c>
      <c r="AP92" s="27" t="str">
        <f t="shared" si="59"/>
        <v xml:space="preserve">SR05ID01FST01:RSCN:ST_GLOBAL = </v>
      </c>
      <c r="AQ92" s="27" t="str">
        <f t="shared" si="69"/>
        <v/>
      </c>
      <c r="AR92" s="27" t="str">
        <f t="shared" si="60"/>
        <v/>
      </c>
      <c r="AS92" s="12">
        <f t="shared" si="61"/>
        <v>4</v>
      </c>
      <c r="AT92" s="12">
        <f t="shared" si="62"/>
        <v>14</v>
      </c>
      <c r="AU92" s="12">
        <f t="shared" si="63"/>
        <v>14</v>
      </c>
      <c r="AV92" s="12">
        <f t="shared" si="64"/>
        <v>31</v>
      </c>
      <c r="AW92" s="13" t="str">
        <f t="shared" si="65"/>
        <v>x</v>
      </c>
      <c r="AX92" s="23" t="str">
        <f t="shared" si="66"/>
        <v>SR05ID01FST01:RSCN:ST_GLOBAL</v>
      </c>
    </row>
    <row r="93" spans="2:50" ht="15.75" customHeight="1" x14ac:dyDescent="0.25">
      <c r="B93" s="24" t="str">
        <f t="shared" si="47"/>
        <v>.</v>
      </c>
      <c r="C93" s="32" t="str">
        <f t="shared" si="70"/>
        <v>;</v>
      </c>
      <c r="D93" s="30" t="s">
        <v>516</v>
      </c>
      <c r="E93" s="23" t="s">
        <v>516</v>
      </c>
      <c r="F93" s="10" t="s">
        <v>427</v>
      </c>
      <c r="G93" s="10"/>
      <c r="H93" s="10"/>
      <c r="I93" s="11"/>
      <c r="J93" s="10" t="s">
        <v>594</v>
      </c>
      <c r="K93" s="10"/>
      <c r="L93" s="10"/>
      <c r="M93" s="10"/>
      <c r="N93" s="10"/>
      <c r="O93" s="16"/>
      <c r="P93" s="52"/>
      <c r="Q93" s="52"/>
      <c r="R93" s="52"/>
      <c r="S93" s="52"/>
      <c r="T93" s="52"/>
      <c r="U93" s="52"/>
      <c r="V93" s="52" t="s">
        <v>563</v>
      </c>
      <c r="W93" s="61"/>
      <c r="X93" s="61"/>
      <c r="AB93" s="58" t="str">
        <f t="shared" si="48"/>
        <v>epics</v>
      </c>
      <c r="AC93" s="55" t="str">
        <f t="shared" si="49"/>
        <v>base</v>
      </c>
      <c r="AD93" s="29" t="str">
        <f t="shared" si="50"/>
        <v>:ST_INPROG</v>
      </c>
      <c r="AE93" s="27" t="str">
        <f t="shared" si="51"/>
        <v>:RSCN:ST_INPROG</v>
      </c>
      <c r="AF93" s="29" t="str">
        <f t="shared" si="52"/>
        <v>stInProg</v>
      </c>
      <c r="AG93" s="27" t="str">
        <f t="shared" si="53"/>
        <v>stInProg</v>
      </c>
      <c r="AH93" s="27" t="str">
        <f t="shared" si="54"/>
        <v>$(P):RSCN:</v>
      </c>
      <c r="AI93" s="27" t="str">
        <f t="shared" si="55"/>
        <v>$(P):RSCN:</v>
      </c>
      <c r="AJ93" s="27"/>
      <c r="AK93" s="27" t="str">
        <f t="shared" si="56"/>
        <v/>
      </c>
      <c r="AL93" s="27" t="str">
        <f t="shared" si="57"/>
        <v/>
      </c>
      <c r="AM93" s="27" t="str">
        <f t="shared" si="67"/>
        <v/>
      </c>
      <c r="AN93" s="27" t="str">
        <f t="shared" si="68"/>
        <v/>
      </c>
      <c r="AO93" s="27" t="e">
        <f t="shared" si="58"/>
        <v>#N/A</v>
      </c>
      <c r="AP93" s="27" t="str">
        <f t="shared" si="59"/>
        <v xml:space="preserve">SR05ID01FST01:RSCN:ST_INPROG = </v>
      </c>
      <c r="AQ93" s="27" t="str">
        <f t="shared" si="69"/>
        <v/>
      </c>
      <c r="AR93" s="27" t="str">
        <f t="shared" si="60"/>
        <v/>
      </c>
      <c r="AS93" s="12">
        <f t="shared" si="61"/>
        <v>4</v>
      </c>
      <c r="AT93" s="12">
        <f t="shared" si="62"/>
        <v>14</v>
      </c>
      <c r="AU93" s="12">
        <f t="shared" si="63"/>
        <v>14</v>
      </c>
      <c r="AV93" s="12">
        <f t="shared" si="64"/>
        <v>31</v>
      </c>
      <c r="AW93" s="13" t="str">
        <f t="shared" si="65"/>
        <v>x</v>
      </c>
      <c r="AX93" s="23" t="str">
        <f t="shared" si="66"/>
        <v>SR05ID01FST01:RSCN:ST_INPROG</v>
      </c>
    </row>
    <row r="94" spans="2:50" ht="15.75" customHeight="1" x14ac:dyDescent="0.25">
      <c r="B94" s="24" t="str">
        <f t="shared" si="47"/>
        <v>.</v>
      </c>
      <c r="C94" s="32" t="str">
        <f t="shared" si="70"/>
        <v>;</v>
      </c>
      <c r="D94" s="30" t="s">
        <v>517</v>
      </c>
      <c r="E94" s="23" t="s">
        <v>517</v>
      </c>
      <c r="F94" s="10" t="s">
        <v>427</v>
      </c>
      <c r="G94" s="10"/>
      <c r="H94" s="10"/>
      <c r="I94" s="11" t="s">
        <v>559</v>
      </c>
      <c r="J94" s="10" t="s">
        <v>594</v>
      </c>
      <c r="K94" s="10"/>
      <c r="L94" s="10"/>
      <c r="M94" s="10"/>
      <c r="N94" s="10"/>
      <c r="O94" s="16"/>
      <c r="P94" s="52"/>
      <c r="Q94" s="52"/>
      <c r="R94" s="52"/>
      <c r="S94" s="52"/>
      <c r="T94" s="52"/>
      <c r="U94" s="52"/>
      <c r="V94" s="52" t="s">
        <v>563</v>
      </c>
      <c r="W94" s="61"/>
      <c r="X94" s="61"/>
      <c r="AB94" s="58" t="str">
        <f t="shared" si="48"/>
        <v>epics</v>
      </c>
      <c r="AC94" s="55" t="str">
        <f t="shared" si="49"/>
        <v>base</v>
      </c>
      <c r="AD94" s="29" t="str">
        <f t="shared" si="50"/>
        <v>:ST_MONITOR</v>
      </c>
      <c r="AE94" s="27" t="str">
        <f t="shared" si="51"/>
        <v>:RSCN:ST_MONITOR</v>
      </c>
      <c r="AF94" s="29" t="str">
        <f t="shared" si="52"/>
        <v>stMonitor</v>
      </c>
      <c r="AG94" s="27" t="str">
        <f t="shared" si="53"/>
        <v>stMonitor</v>
      </c>
      <c r="AH94" s="27" t="str">
        <f t="shared" si="54"/>
        <v>$(P):RSCN:</v>
      </c>
      <c r="AI94" s="27" t="str">
        <f t="shared" si="55"/>
        <v>$(P):RSCN:</v>
      </c>
      <c r="AJ94" s="27"/>
      <c r="AK94" s="27" t="str">
        <f t="shared" si="56"/>
        <v/>
      </c>
      <c r="AL94" s="27" t="str">
        <f t="shared" si="57"/>
        <v/>
      </c>
      <c r="AM94" s="27" t="str">
        <f t="shared" si="67"/>
        <v/>
      </c>
      <c r="AN94" s="27" t="str">
        <f t="shared" si="68"/>
        <v/>
      </c>
      <c r="AO94" s="27" t="e">
        <f t="shared" si="58"/>
        <v>#N/A</v>
      </c>
      <c r="AP94" s="27" t="str">
        <f t="shared" si="59"/>
        <v xml:space="preserve">SR05ID01FST01:RSCN:ST_MONITOR = </v>
      </c>
      <c r="AQ94" s="27" t="str">
        <f t="shared" si="69"/>
        <v/>
      </c>
      <c r="AR94" s="27" t="str">
        <f t="shared" si="60"/>
        <v/>
      </c>
      <c r="AS94" s="12">
        <f t="shared" si="61"/>
        <v>3</v>
      </c>
      <c r="AT94" s="12">
        <f t="shared" si="62"/>
        <v>14</v>
      </c>
      <c r="AU94" s="12">
        <f t="shared" si="63"/>
        <v>14</v>
      </c>
      <c r="AV94" s="12">
        <f t="shared" si="64"/>
        <v>17</v>
      </c>
      <c r="AW94" s="13" t="str">
        <f t="shared" si="65"/>
        <v>x</v>
      </c>
      <c r="AX94" s="23" t="str">
        <f t="shared" si="66"/>
        <v>SR05ID01FST01:RSCN:ST_MONITOR</v>
      </c>
    </row>
    <row r="95" spans="2:50" ht="15.75" customHeight="1" x14ac:dyDescent="0.25">
      <c r="B95" s="24" t="str">
        <f t="shared" si="47"/>
        <v>.</v>
      </c>
      <c r="C95" s="32" t="str">
        <f t="shared" si="70"/>
        <v>;</v>
      </c>
      <c r="D95" s="30" t="s">
        <v>518</v>
      </c>
      <c r="E95" s="23" t="s">
        <v>518</v>
      </c>
      <c r="F95" s="10" t="s">
        <v>427</v>
      </c>
      <c r="G95" s="10"/>
      <c r="H95" s="10"/>
      <c r="I95" s="11"/>
      <c r="J95" s="10" t="s">
        <v>594</v>
      </c>
      <c r="K95" s="10"/>
      <c r="L95" s="10"/>
      <c r="M95" s="10"/>
      <c r="N95" s="10"/>
      <c r="O95" s="16"/>
      <c r="P95" s="52"/>
      <c r="Q95" s="52"/>
      <c r="R95" s="52"/>
      <c r="S95" s="52"/>
      <c r="T95" s="52"/>
      <c r="U95" s="52"/>
      <c r="V95" s="52" t="s">
        <v>563</v>
      </c>
      <c r="W95" s="61"/>
      <c r="X95" s="61"/>
      <c r="AB95" s="58" t="str">
        <f t="shared" si="48"/>
        <v>epics</v>
      </c>
      <c r="AC95" s="55" t="str">
        <f t="shared" si="49"/>
        <v>base</v>
      </c>
      <c r="AD95" s="29" t="str">
        <f t="shared" si="50"/>
        <v>:ST_NEVER</v>
      </c>
      <c r="AE95" s="27" t="str">
        <f t="shared" si="51"/>
        <v>:RSCN:ST_NEVER</v>
      </c>
      <c r="AF95" s="29" t="str">
        <f t="shared" si="52"/>
        <v>stNever</v>
      </c>
      <c r="AG95" s="27" t="str">
        <f t="shared" si="53"/>
        <v>stNever</v>
      </c>
      <c r="AH95" s="27" t="str">
        <f t="shared" si="54"/>
        <v>$(P):RSCN:</v>
      </c>
      <c r="AI95" s="27" t="str">
        <f t="shared" si="55"/>
        <v>$(P):RSCN:</v>
      </c>
      <c r="AJ95" s="27"/>
      <c r="AK95" s="27" t="str">
        <f t="shared" si="56"/>
        <v/>
      </c>
      <c r="AL95" s="27" t="str">
        <f t="shared" si="57"/>
        <v/>
      </c>
      <c r="AM95" s="27" t="str">
        <f t="shared" si="67"/>
        <v/>
      </c>
      <c r="AN95" s="27" t="str">
        <f t="shared" si="68"/>
        <v/>
      </c>
      <c r="AO95" s="27" t="e">
        <f t="shared" si="58"/>
        <v>#N/A</v>
      </c>
      <c r="AP95" s="27" t="str">
        <f t="shared" si="59"/>
        <v xml:space="preserve">SR05ID01FST01:RSCN:ST_NEVER = </v>
      </c>
      <c r="AQ95" s="27" t="str">
        <f t="shared" si="69"/>
        <v/>
      </c>
      <c r="AR95" s="27" t="str">
        <f t="shared" si="60"/>
        <v/>
      </c>
      <c r="AS95" s="12">
        <f t="shared" si="61"/>
        <v>5</v>
      </c>
      <c r="AT95" s="12">
        <f t="shared" si="62"/>
        <v>14</v>
      </c>
      <c r="AU95" s="12">
        <f t="shared" si="63"/>
        <v>14</v>
      </c>
      <c r="AV95" s="12">
        <f t="shared" si="64"/>
        <v>31</v>
      </c>
      <c r="AW95" s="13" t="str">
        <f t="shared" si="65"/>
        <v>x</v>
      </c>
      <c r="AX95" s="23" t="str">
        <f t="shared" si="66"/>
        <v>SR05ID01FST01:RSCN:ST_NEVER</v>
      </c>
    </row>
    <row r="96" spans="2:50" ht="15.75" customHeight="1" x14ac:dyDescent="0.25">
      <c r="B96" s="24" t="str">
        <f t="shared" si="47"/>
        <v>.</v>
      </c>
      <c r="C96" s="32" t="str">
        <f t="shared" si="70"/>
        <v>#define</v>
      </c>
      <c r="D96" s="31" t="s">
        <v>437</v>
      </c>
      <c r="E96" s="25" t="s">
        <v>437</v>
      </c>
      <c r="F96" s="10">
        <v>4</v>
      </c>
      <c r="G96" s="10"/>
      <c r="H96" s="10">
        <v>4</v>
      </c>
      <c r="I96" s="11" t="s">
        <v>528</v>
      </c>
      <c r="J96" s="10" t="s">
        <v>597</v>
      </c>
      <c r="K96" s="10"/>
      <c r="L96" s="10"/>
      <c r="M96" s="10"/>
      <c r="N96" s="10"/>
      <c r="O96" s="16"/>
      <c r="P96" s="52" t="s">
        <v>563</v>
      </c>
      <c r="Q96" s="52"/>
      <c r="R96" s="52"/>
      <c r="S96" s="52"/>
      <c r="T96" s="52"/>
      <c r="U96" s="52"/>
      <c r="V96" s="52"/>
      <c r="W96" s="61"/>
      <c r="X96" s="61"/>
      <c r="AB96" s="58" t="str">
        <f t="shared" si="48"/>
        <v/>
      </c>
      <c r="AC96" s="55" t="str">
        <f t="shared" si="49"/>
        <v/>
      </c>
      <c r="AD96" s="29" t="str">
        <f t="shared" si="50"/>
        <v>:ST_READY</v>
      </c>
      <c r="AE96" s="27" t="str">
        <f t="shared" si="51"/>
        <v>:RSCN:ST_READY</v>
      </c>
      <c r="AF96" s="29" t="str">
        <f t="shared" si="52"/>
        <v>stReady</v>
      </c>
      <c r="AG96" s="27" t="str">
        <f t="shared" si="53"/>
        <v>stReady</v>
      </c>
      <c r="AH96" s="27" t="str">
        <f t="shared" si="54"/>
        <v>$(P):RSCN:</v>
      </c>
      <c r="AI96" s="27" t="str">
        <f t="shared" si="55"/>
        <v>$(P):RSCN:</v>
      </c>
      <c r="AJ96" s="27"/>
      <c r="AK96" s="27" t="str">
        <f t="shared" si="56"/>
        <v/>
      </c>
      <c r="AL96" s="27" t="str">
        <f t="shared" si="57"/>
        <v/>
      </c>
      <c r="AM96" s="27" t="str">
        <f t="shared" si="67"/>
        <v/>
      </c>
      <c r="AN96" s="27" t="str">
        <f t="shared" si="68"/>
        <v/>
      </c>
      <c r="AO96" s="27" t="e">
        <f t="shared" si="58"/>
        <v>#N/A</v>
      </c>
      <c r="AP96" s="27" t="str">
        <f t="shared" si="59"/>
        <v/>
      </c>
      <c r="AQ96" s="27" t="str">
        <f t="shared" si="69"/>
        <v xml:space="preserve">;Setup is being verified[]()
#define	stReady	4	</v>
      </c>
      <c r="AR96" s="27" t="str">
        <f t="shared" si="60"/>
        <v/>
      </c>
      <c r="AS96" s="12" t="str">
        <f t="shared" si="61"/>
        <v/>
      </c>
      <c r="AT96" s="12" t="str">
        <f t="shared" si="62"/>
        <v/>
      </c>
      <c r="AU96" s="12" t="str">
        <f t="shared" si="63"/>
        <v/>
      </c>
      <c r="AV96" s="12" t="str">
        <f t="shared" si="64"/>
        <v/>
      </c>
      <c r="AW96" s="13" t="str">
        <f t="shared" si="65"/>
        <v>0st4.0000</v>
      </c>
      <c r="AX96" s="23" t="str">
        <f t="shared" si="66"/>
        <v>SR05ID01FST01:RSCN:ST_READY</v>
      </c>
    </row>
    <row r="97" spans="2:50" ht="15.75" customHeight="1" x14ac:dyDescent="0.25">
      <c r="B97" s="24" t="str">
        <f t="shared" si="47"/>
        <v>.</v>
      </c>
      <c r="C97" s="32" t="str">
        <f t="shared" si="70"/>
        <v>#define</v>
      </c>
      <c r="D97" s="31" t="s">
        <v>446</v>
      </c>
      <c r="E97" s="28" t="s">
        <v>446</v>
      </c>
      <c r="F97" s="10">
        <v>8</v>
      </c>
      <c r="G97" s="10"/>
      <c r="H97" s="10">
        <v>8</v>
      </c>
      <c r="I97" s="11" t="s">
        <v>533</v>
      </c>
      <c r="J97" s="10" t="s">
        <v>597</v>
      </c>
      <c r="K97" s="10"/>
      <c r="L97" s="10"/>
      <c r="M97" s="10"/>
      <c r="N97" s="10"/>
      <c r="O97" s="16"/>
      <c r="P97" s="52" t="s">
        <v>563</v>
      </c>
      <c r="Q97" s="52"/>
      <c r="R97" s="52"/>
      <c r="S97" s="52"/>
      <c r="T97" s="52"/>
      <c r="U97" s="52"/>
      <c r="V97" s="52"/>
      <c r="W97" s="61"/>
      <c r="X97" s="61"/>
      <c r="AB97" s="58" t="str">
        <f t="shared" si="48"/>
        <v/>
      </c>
      <c r="AC97" s="55" t="str">
        <f t="shared" si="49"/>
        <v/>
      </c>
      <c r="AD97" s="29" t="str">
        <f t="shared" si="50"/>
        <v>:ST_RESERVED</v>
      </c>
      <c r="AE97" s="27" t="str">
        <f t="shared" si="51"/>
        <v>:RSCN:ST_RESERVED</v>
      </c>
      <c r="AF97" s="29" t="str">
        <f t="shared" si="52"/>
        <v>stReserved</v>
      </c>
      <c r="AG97" s="27" t="str">
        <f t="shared" si="53"/>
        <v>stReserved</v>
      </c>
      <c r="AH97" s="27" t="str">
        <f t="shared" si="54"/>
        <v>$(P):RSCN:</v>
      </c>
      <c r="AI97" s="27" t="str">
        <f t="shared" si="55"/>
        <v>$(P):RSCN:</v>
      </c>
      <c r="AJ97" s="27"/>
      <c r="AK97" s="27" t="str">
        <f t="shared" si="56"/>
        <v/>
      </c>
      <c r="AL97" s="27" t="str">
        <f t="shared" si="57"/>
        <v/>
      </c>
      <c r="AM97" s="27" t="str">
        <f t="shared" si="67"/>
        <v/>
      </c>
      <c r="AN97" s="27" t="str">
        <f t="shared" si="68"/>
        <v/>
      </c>
      <c r="AO97" s="27" t="e">
        <f t="shared" si="58"/>
        <v>#N/A</v>
      </c>
      <c r="AP97" s="27" t="str">
        <f t="shared" si="59"/>
        <v/>
      </c>
      <c r="AQ97" s="27" t="str">
        <f t="shared" si="69"/>
        <v xml:space="preserve">;rscn program terminated via CTRL[]()
#define	stReserved	8	</v>
      </c>
      <c r="AR97" s="27" t="str">
        <f t="shared" si="60"/>
        <v/>
      </c>
      <c r="AS97" s="12" t="str">
        <f t="shared" si="61"/>
        <v/>
      </c>
      <c r="AT97" s="12" t="str">
        <f t="shared" si="62"/>
        <v/>
      </c>
      <c r="AU97" s="12" t="str">
        <f t="shared" si="63"/>
        <v/>
      </c>
      <c r="AV97" s="12" t="str">
        <f t="shared" si="64"/>
        <v/>
      </c>
      <c r="AW97" s="13" t="str">
        <f t="shared" si="65"/>
        <v>0st8.0000</v>
      </c>
      <c r="AX97" s="23" t="str">
        <f t="shared" si="66"/>
        <v>SR05ID01FST01:RSCN:ST_RESERVED</v>
      </c>
    </row>
    <row r="98" spans="2:50" ht="15.75" customHeight="1" x14ac:dyDescent="0.25">
      <c r="B98" s="24" t="str">
        <f t="shared" si="47"/>
        <v>.</v>
      </c>
      <c r="C98" s="32" t="str">
        <f t="shared" si="70"/>
        <v>#define</v>
      </c>
      <c r="D98" s="31" t="s">
        <v>448</v>
      </c>
      <c r="E98" s="25" t="s">
        <v>448</v>
      </c>
      <c r="F98" s="10">
        <v>9</v>
      </c>
      <c r="G98" s="10"/>
      <c r="H98" s="10">
        <v>9</v>
      </c>
      <c r="I98" s="11"/>
      <c r="J98" s="10" t="s">
        <v>597</v>
      </c>
      <c r="K98" s="10"/>
      <c r="L98" s="10"/>
      <c r="M98" s="10"/>
      <c r="N98" s="10"/>
      <c r="O98" s="16"/>
      <c r="P98" s="52" t="s">
        <v>563</v>
      </c>
      <c r="Q98" s="52"/>
      <c r="R98" s="52"/>
      <c r="S98" s="52"/>
      <c r="T98" s="52"/>
      <c r="U98" s="52"/>
      <c r="V98" s="52"/>
      <c r="W98" s="61"/>
      <c r="X98" s="61"/>
      <c r="AB98" s="58" t="str">
        <f t="shared" si="48"/>
        <v/>
      </c>
      <c r="AC98" s="55" t="str">
        <f t="shared" si="49"/>
        <v/>
      </c>
      <c r="AD98" s="29" t="str">
        <f t="shared" si="50"/>
        <v>:ST_RESETTING</v>
      </c>
      <c r="AE98" s="27" t="str">
        <f t="shared" si="51"/>
        <v>:RSCN:ST_RESETTING</v>
      </c>
      <c r="AF98" s="29" t="str">
        <f t="shared" si="52"/>
        <v>stResetting</v>
      </c>
      <c r="AG98" s="27" t="str">
        <f t="shared" si="53"/>
        <v>stResetting</v>
      </c>
      <c r="AH98" s="27" t="str">
        <f t="shared" si="54"/>
        <v>$(P):RSCN:</v>
      </c>
      <c r="AI98" s="27" t="str">
        <f t="shared" si="55"/>
        <v>$(P):RSCN:</v>
      </c>
      <c r="AJ98" s="27"/>
      <c r="AK98" s="27" t="str">
        <f t="shared" si="56"/>
        <v/>
      </c>
      <c r="AL98" s="27" t="str">
        <f t="shared" si="57"/>
        <v/>
      </c>
      <c r="AM98" s="27" t="str">
        <f t="shared" si="67"/>
        <v/>
      </c>
      <c r="AN98" s="27" t="str">
        <f t="shared" si="68"/>
        <v/>
      </c>
      <c r="AO98" s="27" t="e">
        <f t="shared" si="58"/>
        <v>#N/A</v>
      </c>
      <c r="AP98" s="27" t="str">
        <f t="shared" si="59"/>
        <v/>
      </c>
      <c r="AQ98" s="27" t="str">
        <f t="shared" si="69"/>
        <v xml:space="preserve">;[]()
#define	stResetting	9	</v>
      </c>
      <c r="AR98" s="27" t="str">
        <f t="shared" si="60"/>
        <v/>
      </c>
      <c r="AS98" s="12" t="str">
        <f t="shared" si="61"/>
        <v/>
      </c>
      <c r="AT98" s="12" t="str">
        <f t="shared" si="62"/>
        <v/>
      </c>
      <c r="AU98" s="12" t="str">
        <f t="shared" si="63"/>
        <v/>
      </c>
      <c r="AV98" s="12" t="str">
        <f t="shared" si="64"/>
        <v/>
      </c>
      <c r="AW98" s="13" t="str">
        <f t="shared" si="65"/>
        <v>0st9.0000</v>
      </c>
      <c r="AX98" s="23" t="str">
        <f t="shared" si="66"/>
        <v>SR05ID01FST01:RSCN:ST_RESETTING</v>
      </c>
    </row>
    <row r="99" spans="2:50" ht="15.75" customHeight="1" x14ac:dyDescent="0.25">
      <c r="B99" s="24" t="str">
        <f t="shared" si="47"/>
        <v>.</v>
      </c>
      <c r="C99" s="32" t="str">
        <f t="shared" si="70"/>
        <v>#define</v>
      </c>
      <c r="D99" s="9" t="s">
        <v>444</v>
      </c>
      <c r="E99" s="25" t="s">
        <v>444</v>
      </c>
      <c r="F99" s="10">
        <v>7</v>
      </c>
      <c r="G99" s="10"/>
      <c r="H99" s="10">
        <v>7</v>
      </c>
      <c r="I99" s="11" t="s">
        <v>532</v>
      </c>
      <c r="J99" s="10" t="s">
        <v>597</v>
      </c>
      <c r="K99" s="10"/>
      <c r="L99" s="10"/>
      <c r="M99" s="10"/>
      <c r="N99" s="10"/>
      <c r="O99" s="16"/>
      <c r="P99" s="52" t="s">
        <v>563</v>
      </c>
      <c r="Q99" s="52"/>
      <c r="R99" s="52"/>
      <c r="S99" s="52"/>
      <c r="T99" s="52"/>
      <c r="U99" s="52"/>
      <c r="V99" s="52"/>
      <c r="W99" s="61"/>
      <c r="X99" s="61"/>
      <c r="AB99" s="58" t="str">
        <f t="shared" si="48"/>
        <v/>
      </c>
      <c r="AC99" s="55" t="str">
        <f t="shared" si="49"/>
        <v/>
      </c>
      <c r="AD99" s="29" t="str">
        <f t="shared" si="50"/>
        <v>:ST_RUNNING</v>
      </c>
      <c r="AE99" s="27" t="str">
        <f t="shared" si="51"/>
        <v>:RSCN:ST_RUNNING</v>
      </c>
      <c r="AF99" s="29" t="str">
        <f t="shared" si="52"/>
        <v>stRunning</v>
      </c>
      <c r="AG99" s="27" t="str">
        <f t="shared" si="53"/>
        <v>stRunning</v>
      </c>
      <c r="AH99" s="27" t="str">
        <f t="shared" si="54"/>
        <v>$(P):RSCN:</v>
      </c>
      <c r="AI99" s="27" t="str">
        <f t="shared" si="55"/>
        <v>$(P):RSCN:</v>
      </c>
      <c r="AJ99" s="27"/>
      <c r="AK99" s="27" t="str">
        <f t="shared" si="56"/>
        <v/>
      </c>
      <c r="AL99" s="27" t="str">
        <f t="shared" si="57"/>
        <v/>
      </c>
      <c r="AM99" s="27" t="str">
        <f t="shared" si="67"/>
        <v/>
      </c>
      <c r="AN99" s="27" t="str">
        <f t="shared" si="68"/>
        <v/>
      </c>
      <c r="AO99" s="27" t="e">
        <f t="shared" si="58"/>
        <v>#N/A</v>
      </c>
      <c r="AP99" s="27" t="str">
        <f t="shared" si="59"/>
        <v/>
      </c>
      <c r="AQ99" s="27" t="str">
        <f t="shared" si="69"/>
        <v xml:space="preserve">;Running scan[]()
#define	stRunning	7	</v>
      </c>
      <c r="AR99" s="27" t="str">
        <f t="shared" si="60"/>
        <v/>
      </c>
      <c r="AS99" s="12" t="str">
        <f t="shared" si="61"/>
        <v/>
      </c>
      <c r="AT99" s="12" t="str">
        <f t="shared" si="62"/>
        <v/>
      </c>
      <c r="AU99" s="12" t="str">
        <f t="shared" si="63"/>
        <v/>
      </c>
      <c r="AV99" s="12" t="str">
        <f t="shared" si="64"/>
        <v/>
      </c>
      <c r="AW99" s="13" t="str">
        <f t="shared" si="65"/>
        <v>0st7.0000</v>
      </c>
      <c r="AX99" s="23" t="str">
        <f t="shared" si="66"/>
        <v>SR05ID01FST01:RSCN:ST_RUNNING</v>
      </c>
    </row>
    <row r="100" spans="2:50" ht="15.75" customHeight="1" x14ac:dyDescent="0.25">
      <c r="B100" s="24" t="str">
        <f t="shared" ref="B100:B125" si="71">IF(AND(LEN(D100)&gt;3,D100&lt;&gt;E100),"&lt;FIND TYPE=ASC&gt;"&amp;AD100&amp;"&lt;/FIND&gt;&lt;REPLACE TYPE=ASC&gt;"&amp;AE100&amp;"&lt;/REPLACE&gt;"&amp;CHAR(10)&amp;"&lt;FIND TYPE=ASC&gt;"&amp;AF100&amp;"&lt;/FIND&gt;&lt;REPLACE TYPE=ASC&gt;"&amp;AG100&amp;"&lt;/REPLACE&gt;"&amp;CHAR(10)&amp;"&lt;FIND TYPE=ASC&gt;"&amp;D100&amp;"&lt;/FIND&gt;&lt;REPLACE TYPE=ASC&gt;"&amp;E100&amp;"&lt;/REPLACE&gt;",".")</f>
        <v>.</v>
      </c>
      <c r="C100" s="32" t="str">
        <f t="shared" si="70"/>
        <v>#define</v>
      </c>
      <c r="D100" s="9" t="s">
        <v>442</v>
      </c>
      <c r="E100" s="25" t="s">
        <v>442</v>
      </c>
      <c r="F100" s="10">
        <v>6</v>
      </c>
      <c r="G100" s="10"/>
      <c r="H100" s="10">
        <v>6</v>
      </c>
      <c r="I100" s="11" t="s">
        <v>531</v>
      </c>
      <c r="J100" s="10" t="s">
        <v>597</v>
      </c>
      <c r="K100" s="10"/>
      <c r="L100" s="10"/>
      <c r="M100" s="10"/>
      <c r="N100" s="10"/>
      <c r="O100" s="16"/>
      <c r="P100" s="52" t="s">
        <v>563</v>
      </c>
      <c r="Q100" s="52"/>
      <c r="R100" s="52"/>
      <c r="S100" s="52"/>
      <c r="T100" s="52"/>
      <c r="U100" s="52"/>
      <c r="V100" s="52"/>
      <c r="W100" s="61"/>
      <c r="X100" s="61"/>
      <c r="AB100" s="58" t="str">
        <f t="shared" ref="AB100:AB125" si="72">IF(LEN(R100&amp;S100&amp;T100&amp;U100&amp;V100)&gt;0,"epics","")</f>
        <v/>
      </c>
      <c r="AC100" s="55" t="str">
        <f t="shared" ref="AC100:AC131" si="73">IF(NOT(ISBLANK(V100)),"base",IF(AB100="epics",IF(AND(ISBLANK(P100),ISBLANK(Q100)),"nmp","map"),""))</f>
        <v/>
      </c>
      <c r="AD100" s="29" t="str">
        <f t="shared" ref="AD100:AD125" si="74">UPPER(AD$1&amp;":"&amp;D100)</f>
        <v>:ST_SET</v>
      </c>
      <c r="AE100" s="27" t="str">
        <f t="shared" ref="AE100:AE125" si="75">UPPER(AE$1&amp;":"&amp;E100)</f>
        <v>:RSCN:ST_SET</v>
      </c>
      <c r="AF100" s="29" t="str">
        <f t="shared" ref="AF100:AF125" si="76">SUBSTITUTE(D100,"_","")</f>
        <v>stSet</v>
      </c>
      <c r="AG100" s="27" t="str">
        <f t="shared" ref="AG100:AG125" si="77">SUBSTITUTE(E100,"_","")&amp;IF(AND(RIGHT(P100)&lt;&gt;"s",RIGHT(Q100)&lt;&gt;"s"),"","")</f>
        <v>stSet</v>
      </c>
      <c r="AH100" s="27" t="str">
        <f t="shared" ref="AH100:AH125" si="78">IF(ISNUMBER(Y100),Y100,"$(P)"&amp;$AE$1&amp;":"&amp;Y100)</f>
        <v>$(P):RSCN:</v>
      </c>
      <c r="AI100" s="27" t="str">
        <f t="shared" ref="AI100:AI125" si="79">IF(ISNUMBER(Z100),Z100,"$(P)"&amp;$AE$1&amp;":"&amp;Z100)</f>
        <v>$(P):RSCN:</v>
      </c>
      <c r="AJ100" s="27"/>
      <c r="AK100" s="27" t="str">
        <f t="shared" ref="AK100:AK125" si="80">IF(LEN(AG100)&gt;2,SUBSTITUTE(SUBSTITUTE(SUBSTITUTE(IF(AC100="map",IF(G100="float",y_mapVarAnalog,IF(G100="int",y_mapVarLongint,IF(G100="bool",y_mapVarBool,IF(G100="string",y_mapVarString,IF(G100="option",y_mapVarOption,"#unknown Type"))))),IF(AC100="nmp",y_nonMappedAnalog,"")),"$(DTYP)",y_DTYPE),"$(SETPROTO)",y_setVarProto),"$(GETPROTO)",y_getVarProto),"")</f>
        <v/>
      </c>
      <c r="AL100" s="27" t="str">
        <f t="shared" ref="AL100:AL131" si="81">SUBSTITUTE(SUBSTITUTE(SUBSTITUTE(SUBSTITUTE(SUBSTITUTE(SUBSTITUTE(SUBSTITUTE(SUBSTITUTE(SUBSTITUTE(AK100,"$(Q)",AE100),"$(EGU)",K100),"$(PREC)",N100),"$(VAR)",TRIM(CLEAN(F100))),"$(GetSB)",AH100),"$(SetSB)",AI100),"$(DESC)",LEFT(I100,40)),"$(ENUMS)",AJ100),"$(DEFAULT)",H100)</f>
        <v/>
      </c>
      <c r="AM100" s="27" t="str">
        <f t="shared" si="67"/>
        <v/>
      </c>
      <c r="AN100" s="27" t="str">
        <f t="shared" si="68"/>
        <v/>
      </c>
      <c r="AO100" s="27" t="e">
        <f t="shared" ref="AO100:AO125" si="82">VLOOKUP(G100,y_EPICS_Formats,2,FALSE)</f>
        <v>#N/A</v>
      </c>
      <c r="AP100" s="27" t="str">
        <f t="shared" ref="AP100:AP125" si="83">IF(AB100="epics",y_Prefix&amp;AE100&amp;" = ","")</f>
        <v/>
      </c>
      <c r="AQ100" s="27" t="str">
        <f t="shared" si="69"/>
        <v xml:space="preserve">;Compiled and moved into position to start scan[]()
#define	stSet	6	</v>
      </c>
      <c r="AR100" s="27" t="str">
        <f t="shared" ref="AR100:AR125" si="84">IF(IFERROR(AND(AA100&gt;0,LEN(AK100)&gt;0),FALSE),SUBSTITUTE(SUBSTITUTE(SUBSTITUTE(y_archiverXML,"~PVNAME",AE100),"~PREFIX",y_Prefix),"~PERIOD",MIN(30,AA100)),"")</f>
        <v/>
      </c>
      <c r="AS100" s="12" t="str">
        <f t="shared" ref="AS100:AS125" si="85">IF($AB100="epics",AS$1-LEN(AE100),"")</f>
        <v/>
      </c>
      <c r="AT100" s="12" t="str">
        <f t="shared" ref="AT100:AT125" si="86">IF($AB100="epics",AT$1-LEN(AH100),"")</f>
        <v/>
      </c>
      <c r="AU100" s="12" t="str">
        <f t="shared" ref="AU100:AU125" si="87">IF($AB100="epics",AU$1-LEN(AI100),"")</f>
        <v/>
      </c>
      <c r="AV100" s="12" t="str">
        <f t="shared" ref="AV100:AV125" si="88">IF($AB100="epics",AV$1-LEN(I100)-LEN(" readback"),"")</f>
        <v/>
      </c>
      <c r="AW100" s="13" t="str">
        <f t="shared" ref="AW100:AW125" si="89">IF(ISNUMBER(F100),"0"&amp;LEFT(E100,2)&amp;TEXT(F100,"#.0000"),F100)</f>
        <v>0st6.0000</v>
      </c>
      <c r="AX100" s="23" t="str">
        <f t="shared" ref="AX100:AX125" si="90">y_Prefix&amp;AE100</f>
        <v>SR05ID01FST01:RSCN:ST_SET</v>
      </c>
    </row>
    <row r="101" spans="2:50" ht="15.75" customHeight="1" x14ac:dyDescent="0.25">
      <c r="B101" s="24" t="str">
        <f t="shared" si="71"/>
        <v>.</v>
      </c>
      <c r="C101" s="32" t="str">
        <f t="shared" si="70"/>
        <v>#define</v>
      </c>
      <c r="D101" s="31" t="s">
        <v>440</v>
      </c>
      <c r="E101" s="25" t="s">
        <v>440</v>
      </c>
      <c r="F101" s="10">
        <v>5</v>
      </c>
      <c r="G101" s="10"/>
      <c r="H101" s="10">
        <v>5</v>
      </c>
      <c r="I101" s="11" t="s">
        <v>530</v>
      </c>
      <c r="J101" s="10" t="s">
        <v>597</v>
      </c>
      <c r="K101" s="10"/>
      <c r="L101" s="10"/>
      <c r="M101" s="10"/>
      <c r="N101" s="10"/>
      <c r="O101" s="16"/>
      <c r="P101" s="52" t="s">
        <v>563</v>
      </c>
      <c r="Q101" s="52"/>
      <c r="R101" s="52"/>
      <c r="S101" s="52"/>
      <c r="T101" s="52"/>
      <c r="U101" s="52"/>
      <c r="V101" s="52"/>
      <c r="W101" s="61"/>
      <c r="X101" s="61"/>
      <c r="AB101" s="58" t="str">
        <f t="shared" si="72"/>
        <v/>
      </c>
      <c r="AC101" s="55" t="str">
        <f t="shared" si="73"/>
        <v/>
      </c>
      <c r="AD101" s="29" t="str">
        <f t="shared" si="74"/>
        <v>:ST_SETTING</v>
      </c>
      <c r="AE101" s="27" t="str">
        <f t="shared" si="75"/>
        <v>:RSCN:ST_SETTING</v>
      </c>
      <c r="AF101" s="29" t="str">
        <f t="shared" si="76"/>
        <v>stSetting</v>
      </c>
      <c r="AG101" s="27" t="str">
        <f t="shared" si="77"/>
        <v>stSetting</v>
      </c>
      <c r="AH101" s="27" t="str">
        <f t="shared" si="78"/>
        <v>$(P):RSCN:</v>
      </c>
      <c r="AI101" s="27" t="str">
        <f t="shared" si="79"/>
        <v>$(P):RSCN:</v>
      </c>
      <c r="AJ101" s="27"/>
      <c r="AK101" s="27" t="str">
        <f t="shared" si="80"/>
        <v/>
      </c>
      <c r="AL101" s="27" t="str">
        <f t="shared" si="81"/>
        <v/>
      </c>
      <c r="AM101" s="27" t="str">
        <f t="shared" ref="AM101:AM124" si="91">IF(ISNUMBER(W101),SUBSTITUTE(SUBSTITUTE(SUBSTITUTE(SUBSTITUTE(SUBSTITUTE(SUBSTITUTE(SUBSTITUTE(SUBSTITUTE(y_QLabel &amp; IF(RIGHT(R101)="s",y_QELineEdit,y_QELabel),"~PVNAME",$AE101&amp;IF($AC101="map","","")),"~EGU",$K101),"~PREC",$N101),"~VAR",$F101),"~CANGET",$AH101),"~CANSET",$AI101),"~ROW",W101),"~NAME",$E101),"")</f>
        <v/>
      </c>
      <c r="AN101" s="27" t="str">
        <f t="shared" ref="AN101:AN124" si="92">IF(ISNUMBER(X101),SUBSTITUTE(SUBSTITUTE(SUBSTITUTE(SUBSTITUTE(SUBSTITUTE(SUBSTITUTE(SUBSTITUTE(SUBSTITUTE(y_QLabel &amp; IF(RIGHT(S101)="s",y_QELineEdit,y_QELabel),"~PVNAME",$AE101&amp;IF($AC101="map","","")),"~EGU",$K101),"~PREC",$N101),"~VAR",$F101),"~CANGET",$AH101),"~CANSET",$AI101),"~ROW",X101),"~NAME",$E101),"")</f>
        <v/>
      </c>
      <c r="AO101" s="27" t="e">
        <f t="shared" si="82"/>
        <v>#N/A</v>
      </c>
      <c r="AP101" s="27" t="str">
        <f t="shared" si="83"/>
        <v/>
      </c>
      <c r="AQ101" s="27" t="str">
        <f t="shared" si="69"/>
        <v xml:space="preserve">;Moving to begin position to start scan[]()
#define	stSetting	5	</v>
      </c>
      <c r="AR101" s="27" t="str">
        <f t="shared" si="84"/>
        <v/>
      </c>
      <c r="AS101" s="12" t="str">
        <f t="shared" si="85"/>
        <v/>
      </c>
      <c r="AT101" s="12" t="str">
        <f t="shared" si="86"/>
        <v/>
      </c>
      <c r="AU101" s="12" t="str">
        <f t="shared" si="87"/>
        <v/>
      </c>
      <c r="AV101" s="12" t="str">
        <f t="shared" si="88"/>
        <v/>
      </c>
      <c r="AW101" s="13" t="str">
        <f t="shared" si="89"/>
        <v>0st5.0000</v>
      </c>
      <c r="AX101" s="23" t="str">
        <f t="shared" si="90"/>
        <v>SR05ID01FST01:RSCN:ST_SETTING</v>
      </c>
    </row>
    <row r="102" spans="2:50" ht="15.75" customHeight="1" x14ac:dyDescent="0.25">
      <c r="B102" s="24" t="str">
        <f t="shared" si="71"/>
        <v>.</v>
      </c>
      <c r="C102" s="32" t="str">
        <f t="shared" ref="C102:C125" si="93">IF(AND(ISBLANK(P102),ISBLANK(Q102)),";","#define")</f>
        <v>#define</v>
      </c>
      <c r="D102" s="9" t="s">
        <v>433</v>
      </c>
      <c r="E102" s="25" t="s">
        <v>433</v>
      </c>
      <c r="F102" s="10">
        <v>2</v>
      </c>
      <c r="G102" s="10"/>
      <c r="H102" s="10">
        <v>2</v>
      </c>
      <c r="I102" s="11" t="s">
        <v>524</v>
      </c>
      <c r="J102" s="10" t="s">
        <v>597</v>
      </c>
      <c r="K102" s="10"/>
      <c r="L102" s="10"/>
      <c r="M102" s="10"/>
      <c r="N102" s="10"/>
      <c r="O102" s="16"/>
      <c r="P102" s="52" t="s">
        <v>563</v>
      </c>
      <c r="Q102" s="52"/>
      <c r="R102" s="52"/>
      <c r="S102" s="52"/>
      <c r="T102" s="52"/>
      <c r="U102" s="52"/>
      <c r="V102" s="52"/>
      <c r="W102" s="61"/>
      <c r="X102" s="61"/>
      <c r="AB102" s="58" t="str">
        <f t="shared" si="72"/>
        <v/>
      </c>
      <c r="AC102" s="55" t="str">
        <f t="shared" si="73"/>
        <v/>
      </c>
      <c r="AD102" s="29" t="str">
        <f t="shared" si="74"/>
        <v>:ST_STANDBY</v>
      </c>
      <c r="AE102" s="27" t="str">
        <f t="shared" si="75"/>
        <v>:RSCN:ST_STANDBY</v>
      </c>
      <c r="AF102" s="29" t="str">
        <f t="shared" si="76"/>
        <v>stStandby</v>
      </c>
      <c r="AG102" s="27" t="str">
        <f t="shared" si="77"/>
        <v>stStandby</v>
      </c>
      <c r="AH102" s="27" t="str">
        <f t="shared" si="78"/>
        <v>$(P):RSCN:</v>
      </c>
      <c r="AI102" s="27" t="str">
        <f t="shared" si="79"/>
        <v>$(P):RSCN:</v>
      </c>
      <c r="AJ102" s="27"/>
      <c r="AK102" s="27" t="str">
        <f t="shared" si="80"/>
        <v/>
      </c>
      <c r="AL102" s="27" t="str">
        <f t="shared" si="81"/>
        <v/>
      </c>
      <c r="AM102" s="27" t="str">
        <f t="shared" si="91"/>
        <v/>
      </c>
      <c r="AN102" s="27" t="str">
        <f t="shared" si="92"/>
        <v/>
      </c>
      <c r="AO102" s="27" t="e">
        <f t="shared" si="82"/>
        <v>#N/A</v>
      </c>
      <c r="AP102" s="27" t="str">
        <f t="shared" si="83"/>
        <v/>
      </c>
      <c r="AQ102" s="27" t="str">
        <f t="shared" si="69"/>
        <v xml:space="preserve">;Standby, waiting for user setup[]()
#define	stStandby	2	</v>
      </c>
      <c r="AR102" s="27" t="str">
        <f t="shared" si="84"/>
        <v/>
      </c>
      <c r="AS102" s="12" t="str">
        <f t="shared" si="85"/>
        <v/>
      </c>
      <c r="AT102" s="12" t="str">
        <f t="shared" si="86"/>
        <v/>
      </c>
      <c r="AU102" s="12" t="str">
        <f t="shared" si="87"/>
        <v/>
      </c>
      <c r="AV102" s="12" t="str">
        <f t="shared" si="88"/>
        <v/>
      </c>
      <c r="AW102" s="13" t="str">
        <f t="shared" si="89"/>
        <v>0st2.0000</v>
      </c>
      <c r="AX102" s="23" t="str">
        <f t="shared" si="90"/>
        <v>SR05ID01FST01:RSCN:ST_STANDBY</v>
      </c>
    </row>
    <row r="103" spans="2:50" ht="15.75" customHeight="1" x14ac:dyDescent="0.25">
      <c r="B103" s="24" t="str">
        <f t="shared" si="71"/>
        <v>.</v>
      </c>
      <c r="C103" s="32" t="str">
        <f t="shared" si="93"/>
        <v>#define</v>
      </c>
      <c r="D103" s="9" t="s">
        <v>431</v>
      </c>
      <c r="E103" s="25" t="s">
        <v>431</v>
      </c>
      <c r="F103" s="10">
        <v>1</v>
      </c>
      <c r="G103" s="10"/>
      <c r="H103" s="10">
        <v>1</v>
      </c>
      <c r="I103" s="11"/>
      <c r="J103" s="10" t="s">
        <v>597</v>
      </c>
      <c r="K103" s="10"/>
      <c r="L103" s="10"/>
      <c r="M103" s="10"/>
      <c r="N103" s="10"/>
      <c r="O103" s="16"/>
      <c r="P103" s="52" t="s">
        <v>563</v>
      </c>
      <c r="Q103" s="52"/>
      <c r="R103" s="52"/>
      <c r="S103" s="52"/>
      <c r="T103" s="52"/>
      <c r="U103" s="52"/>
      <c r="V103" s="52"/>
      <c r="W103" s="61"/>
      <c r="X103" s="61"/>
      <c r="AB103" s="58" t="str">
        <f t="shared" si="72"/>
        <v/>
      </c>
      <c r="AC103" s="55" t="str">
        <f t="shared" si="73"/>
        <v/>
      </c>
      <c r="AD103" s="29" t="str">
        <f t="shared" si="74"/>
        <v>:ST_TERMINATED</v>
      </c>
      <c r="AE103" s="27" t="str">
        <f t="shared" si="75"/>
        <v>:RSCN:ST_TERMINATED</v>
      </c>
      <c r="AF103" s="29" t="str">
        <f t="shared" si="76"/>
        <v>stTerminated</v>
      </c>
      <c r="AG103" s="27" t="str">
        <f t="shared" si="77"/>
        <v>stTerminated</v>
      </c>
      <c r="AH103" s="27" t="str">
        <f t="shared" si="78"/>
        <v>$(P):RSCN:</v>
      </c>
      <c r="AI103" s="27" t="str">
        <f t="shared" si="79"/>
        <v>$(P):RSCN:</v>
      </c>
      <c r="AJ103" s="27"/>
      <c r="AK103" s="27" t="str">
        <f t="shared" si="80"/>
        <v/>
      </c>
      <c r="AL103" s="27" t="str">
        <f t="shared" si="81"/>
        <v/>
      </c>
      <c r="AM103" s="27" t="str">
        <f t="shared" si="91"/>
        <v/>
      </c>
      <c r="AN103" s="27" t="str">
        <f t="shared" si="92"/>
        <v/>
      </c>
      <c r="AO103" s="27" t="e">
        <f t="shared" si="82"/>
        <v>#N/A</v>
      </c>
      <c r="AP103" s="27" t="str">
        <f t="shared" si="83"/>
        <v/>
      </c>
      <c r="AQ103" s="27" t="str">
        <f t="shared" si="69"/>
        <v xml:space="preserve">;[]()
#define	stTerminated	1	</v>
      </c>
      <c r="AR103" s="27" t="str">
        <f t="shared" si="84"/>
        <v/>
      </c>
      <c r="AS103" s="12" t="str">
        <f t="shared" si="85"/>
        <v/>
      </c>
      <c r="AT103" s="12" t="str">
        <f t="shared" si="86"/>
        <v/>
      </c>
      <c r="AU103" s="12" t="str">
        <f t="shared" si="87"/>
        <v/>
      </c>
      <c r="AV103" s="12" t="str">
        <f t="shared" si="88"/>
        <v/>
      </c>
      <c r="AW103" s="13" t="str">
        <f t="shared" si="89"/>
        <v>0st1.0000</v>
      </c>
      <c r="AX103" s="23" t="str">
        <f t="shared" si="90"/>
        <v>SR05ID01FST01:RSCN:ST_TERMINATED</v>
      </c>
    </row>
    <row r="104" spans="2:50" ht="15.75" customHeight="1" x14ac:dyDescent="0.25">
      <c r="B104" s="24" t="str">
        <f t="shared" si="71"/>
        <v>.</v>
      </c>
      <c r="C104" s="32" t="str">
        <f t="shared" si="93"/>
        <v>;</v>
      </c>
      <c r="D104" s="30" t="s">
        <v>519</v>
      </c>
      <c r="E104" s="23" t="s">
        <v>519</v>
      </c>
      <c r="F104" s="10" t="s">
        <v>427</v>
      </c>
      <c r="G104" s="10"/>
      <c r="H104" s="10"/>
      <c r="I104" s="11"/>
      <c r="J104" s="10" t="s">
        <v>594</v>
      </c>
      <c r="K104" s="10"/>
      <c r="L104" s="10"/>
      <c r="M104" s="10"/>
      <c r="N104" s="10"/>
      <c r="O104" s="16"/>
      <c r="P104" s="52"/>
      <c r="Q104" s="52"/>
      <c r="R104" s="52"/>
      <c r="S104" s="52"/>
      <c r="T104" s="52"/>
      <c r="U104" s="52"/>
      <c r="V104" s="52" t="s">
        <v>563</v>
      </c>
      <c r="W104" s="61"/>
      <c r="X104" s="61"/>
      <c r="AB104" s="58" t="str">
        <f t="shared" si="72"/>
        <v>epics</v>
      </c>
      <c r="AC104" s="55" t="str">
        <f t="shared" si="73"/>
        <v>base</v>
      </c>
      <c r="AD104" s="29" t="str">
        <f t="shared" si="74"/>
        <v>:ST_TRAJSET</v>
      </c>
      <c r="AE104" s="27" t="str">
        <f t="shared" si="75"/>
        <v>:RSCN:ST_TRAJSET</v>
      </c>
      <c r="AF104" s="29" t="str">
        <f t="shared" si="76"/>
        <v>stTrajSet</v>
      </c>
      <c r="AG104" s="27" t="str">
        <f t="shared" si="77"/>
        <v>stTrajSet</v>
      </c>
      <c r="AH104" s="27" t="str">
        <f t="shared" si="78"/>
        <v>$(P):RSCN:</v>
      </c>
      <c r="AI104" s="27" t="str">
        <f t="shared" si="79"/>
        <v>$(P):RSCN:</v>
      </c>
      <c r="AJ104" s="27"/>
      <c r="AK104" s="27" t="str">
        <f t="shared" si="80"/>
        <v/>
      </c>
      <c r="AL104" s="27" t="str">
        <f t="shared" si="81"/>
        <v/>
      </c>
      <c r="AM104" s="27" t="str">
        <f t="shared" si="91"/>
        <v/>
      </c>
      <c r="AN104" s="27" t="str">
        <f t="shared" si="92"/>
        <v/>
      </c>
      <c r="AO104" s="27" t="e">
        <f t="shared" si="82"/>
        <v>#N/A</v>
      </c>
      <c r="AP104" s="27" t="str">
        <f t="shared" si="83"/>
        <v xml:space="preserve">SR05ID01FST01:RSCN:ST_TRAJSET = </v>
      </c>
      <c r="AQ104" s="27" t="str">
        <f t="shared" si="69"/>
        <v/>
      </c>
      <c r="AR104" s="27" t="str">
        <f t="shared" si="84"/>
        <v/>
      </c>
      <c r="AS104" s="12">
        <f t="shared" si="85"/>
        <v>3</v>
      </c>
      <c r="AT104" s="12">
        <f t="shared" si="86"/>
        <v>14</v>
      </c>
      <c r="AU104" s="12">
        <f t="shared" si="87"/>
        <v>14</v>
      </c>
      <c r="AV104" s="12">
        <f t="shared" si="88"/>
        <v>31</v>
      </c>
      <c r="AW104" s="13" t="str">
        <f t="shared" si="89"/>
        <v>x</v>
      </c>
      <c r="AX104" s="23" t="str">
        <f t="shared" si="90"/>
        <v>SR05ID01FST01:RSCN:ST_TRAJSET</v>
      </c>
    </row>
    <row r="105" spans="2:50" ht="15.75" customHeight="1" x14ac:dyDescent="0.25">
      <c r="B105" s="24" t="str">
        <f t="shared" si="71"/>
        <v>.</v>
      </c>
      <c r="C105" s="32" t="str">
        <f t="shared" si="93"/>
        <v>#define</v>
      </c>
      <c r="D105" s="30"/>
      <c r="E105" s="23" t="s">
        <v>602</v>
      </c>
      <c r="F105" s="10">
        <v>4.0949999999999998</v>
      </c>
      <c r="G105" s="10" t="s">
        <v>86</v>
      </c>
      <c r="H105" s="10">
        <v>4.0949999999999998</v>
      </c>
      <c r="I105" s="10" t="s">
        <v>652</v>
      </c>
      <c r="J105" s="18" t="s">
        <v>597</v>
      </c>
      <c r="K105" s="10"/>
      <c r="L105" s="10"/>
      <c r="M105" s="10"/>
      <c r="N105" s="10"/>
      <c r="O105" s="16"/>
      <c r="P105" s="52" t="s">
        <v>563</v>
      </c>
      <c r="Q105" s="52"/>
      <c r="R105" s="52"/>
      <c r="S105" s="52"/>
      <c r="T105" s="52"/>
      <c r="U105" s="52"/>
      <c r="V105" s="52"/>
      <c r="W105" s="61"/>
      <c r="X105" s="61"/>
      <c r="AB105" s="58" t="str">
        <f t="shared" si="72"/>
        <v/>
      </c>
      <c r="AC105" s="55" t="str">
        <f t="shared" si="73"/>
        <v/>
      </c>
      <c r="AD105" s="29" t="str">
        <f t="shared" si="74"/>
        <v>:</v>
      </c>
      <c r="AE105" s="27" t="str">
        <f t="shared" si="75"/>
        <v>:RSCN:T_AHLM</v>
      </c>
      <c r="AF105" s="29" t="str">
        <f t="shared" si="76"/>
        <v/>
      </c>
      <c r="AG105" s="27" t="str">
        <f t="shared" si="77"/>
        <v>tAHLM</v>
      </c>
      <c r="AH105" s="27" t="str">
        <f t="shared" si="78"/>
        <v>$(P):RSCN:</v>
      </c>
      <c r="AI105" s="27" t="str">
        <f t="shared" si="79"/>
        <v>$(P):RSCN:</v>
      </c>
      <c r="AJ105" s="27"/>
      <c r="AK105" s="27" t="str">
        <f t="shared" si="80"/>
        <v/>
      </c>
      <c r="AL105" s="27" t="str">
        <f t="shared" si="81"/>
        <v/>
      </c>
      <c r="AM105" s="27" t="str">
        <f t="shared" si="91"/>
        <v/>
      </c>
      <c r="AN105" s="27" t="str">
        <f t="shared" si="92"/>
        <v/>
      </c>
      <c r="AO105" s="27" t="e">
        <f t="shared" si="82"/>
        <v>#N/A</v>
      </c>
      <c r="AP105" s="27" t="str">
        <f t="shared" si="83"/>
        <v/>
      </c>
      <c r="AQ105" s="27" t="str">
        <f t="shared" si="69"/>
        <v xml:space="preserve">;Absolute high limit for time vars[]()
#define	tAHLM	4.095	</v>
      </c>
      <c r="AR105" s="27" t="str">
        <f t="shared" si="84"/>
        <v/>
      </c>
      <c r="AS105" s="12" t="str">
        <f t="shared" si="85"/>
        <v/>
      </c>
      <c r="AT105" s="12" t="str">
        <f t="shared" si="86"/>
        <v/>
      </c>
      <c r="AU105" s="12" t="str">
        <f t="shared" si="87"/>
        <v/>
      </c>
      <c r="AV105" s="12" t="str">
        <f t="shared" si="88"/>
        <v/>
      </c>
      <c r="AW105" s="13" t="str">
        <f t="shared" si="89"/>
        <v>0t_4.0950</v>
      </c>
      <c r="AX105" s="23" t="str">
        <f t="shared" si="90"/>
        <v>SR05ID01FST01:RSCN:T_AHLM</v>
      </c>
    </row>
    <row r="106" spans="2:50" ht="15.75" customHeight="1" x14ac:dyDescent="0.25">
      <c r="B106" s="24" t="str">
        <f t="shared" si="71"/>
        <v>.</v>
      </c>
      <c r="C106" s="32" t="str">
        <f t="shared" si="93"/>
        <v>#define</v>
      </c>
      <c r="D106" s="31"/>
      <c r="E106" s="28" t="s">
        <v>603</v>
      </c>
      <c r="F106" s="10">
        <v>1E-3</v>
      </c>
      <c r="G106" s="10" t="s">
        <v>86</v>
      </c>
      <c r="H106" s="10"/>
      <c r="I106" s="10" t="s">
        <v>611</v>
      </c>
      <c r="J106" s="18" t="s">
        <v>597</v>
      </c>
      <c r="K106" s="10"/>
      <c r="L106" s="10"/>
      <c r="M106" s="10"/>
      <c r="N106" s="10"/>
      <c r="O106" s="16"/>
      <c r="P106" s="52" t="s">
        <v>563</v>
      </c>
      <c r="Q106" s="52"/>
      <c r="R106" s="52"/>
      <c r="S106" s="52"/>
      <c r="T106" s="52"/>
      <c r="U106" s="52"/>
      <c r="V106" s="52"/>
      <c r="W106" s="61"/>
      <c r="X106" s="61"/>
      <c r="AB106" s="58" t="str">
        <f t="shared" si="72"/>
        <v/>
      </c>
      <c r="AC106" s="55" t="str">
        <f t="shared" si="73"/>
        <v/>
      </c>
      <c r="AD106" s="29" t="str">
        <f t="shared" si="74"/>
        <v>:</v>
      </c>
      <c r="AE106" s="27" t="str">
        <f t="shared" si="75"/>
        <v>:RSCN:T_ALLM</v>
      </c>
      <c r="AF106" s="29" t="str">
        <f t="shared" si="76"/>
        <v/>
      </c>
      <c r="AG106" s="27" t="str">
        <f t="shared" si="77"/>
        <v>tALLM</v>
      </c>
      <c r="AH106" s="27" t="str">
        <f t="shared" si="78"/>
        <v>$(P):RSCN:</v>
      </c>
      <c r="AI106" s="27" t="str">
        <f t="shared" si="79"/>
        <v>$(P):RSCN:</v>
      </c>
      <c r="AJ106" s="27"/>
      <c r="AK106" s="27" t="str">
        <f t="shared" si="80"/>
        <v/>
      </c>
      <c r="AL106" s="27" t="str">
        <f t="shared" si="81"/>
        <v/>
      </c>
      <c r="AM106" s="27" t="str">
        <f t="shared" si="91"/>
        <v/>
      </c>
      <c r="AN106" s="27" t="str">
        <f t="shared" si="92"/>
        <v/>
      </c>
      <c r="AO106" s="27" t="e">
        <f t="shared" si="82"/>
        <v>#N/A</v>
      </c>
      <c r="AP106" s="27" t="str">
        <f t="shared" si="83"/>
        <v/>
      </c>
      <c r="AQ106" s="27" t="str">
        <f t="shared" si="69"/>
        <v xml:space="preserve">;absolute low limit for time vars[]()
#define	tALLM	0.001	</v>
      </c>
      <c r="AR106" s="27" t="str">
        <f t="shared" si="84"/>
        <v/>
      </c>
      <c r="AS106" s="12" t="str">
        <f t="shared" si="85"/>
        <v/>
      </c>
      <c r="AT106" s="12" t="str">
        <f t="shared" si="86"/>
        <v/>
      </c>
      <c r="AU106" s="12" t="str">
        <f t="shared" si="87"/>
        <v/>
      </c>
      <c r="AV106" s="12" t="str">
        <f t="shared" si="88"/>
        <v/>
      </c>
      <c r="AW106" s="13" t="str">
        <f t="shared" si="89"/>
        <v>0t_.0010</v>
      </c>
      <c r="AX106" s="23" t="str">
        <f t="shared" si="90"/>
        <v>SR05ID01FST01:RSCN:T_ALLM</v>
      </c>
    </row>
    <row r="107" spans="2:50" ht="15.75" customHeight="1" x14ac:dyDescent="0.25">
      <c r="B107" s="24" t="str">
        <f t="shared" si="71"/>
        <v>.</v>
      </c>
      <c r="C107" s="32" t="str">
        <f t="shared" si="93"/>
        <v>#define</v>
      </c>
      <c r="D107" s="30" t="s">
        <v>489</v>
      </c>
      <c r="E107" s="23" t="s">
        <v>489</v>
      </c>
      <c r="F107" s="10" t="s">
        <v>411</v>
      </c>
      <c r="G107" s="10" t="s">
        <v>86</v>
      </c>
      <c r="H107" s="10"/>
      <c r="I107" s="11" t="s">
        <v>552</v>
      </c>
      <c r="J107" s="10" t="s">
        <v>39</v>
      </c>
      <c r="K107" s="10" t="s">
        <v>563</v>
      </c>
      <c r="L107" s="10">
        <v>0</v>
      </c>
      <c r="M107" s="10">
        <v>5</v>
      </c>
      <c r="N107" s="10">
        <v>4</v>
      </c>
      <c r="O107" s="16"/>
      <c r="P107" s="52" t="s">
        <v>39</v>
      </c>
      <c r="Q107" s="52"/>
      <c r="R107" s="52" t="s">
        <v>39</v>
      </c>
      <c r="S107" s="52"/>
      <c r="T107" s="52" t="s">
        <v>563</v>
      </c>
      <c r="U107" s="52"/>
      <c r="V107" s="52"/>
      <c r="W107" s="61">
        <v>28</v>
      </c>
      <c r="X107" s="61"/>
      <c r="Y107" s="33" t="s">
        <v>570</v>
      </c>
      <c r="Z107" s="33" t="s">
        <v>570</v>
      </c>
      <c r="AA107" s="33">
        <v>30</v>
      </c>
      <c r="AB107" s="58" t="str">
        <f t="shared" si="72"/>
        <v>epics</v>
      </c>
      <c r="AC107" s="55" t="str">
        <f t="shared" si="73"/>
        <v>map</v>
      </c>
      <c r="AD107" s="29" t="str">
        <f t="shared" si="74"/>
        <v>:T_EDGE</v>
      </c>
      <c r="AE107" s="27" t="str">
        <f t="shared" si="75"/>
        <v>:RSCN:T_EDGE</v>
      </c>
      <c r="AF107" s="29" t="str">
        <f t="shared" si="76"/>
        <v>tEdge</v>
      </c>
      <c r="AG107" s="27" t="str">
        <f t="shared" si="77"/>
        <v>tEdge</v>
      </c>
      <c r="AH107" s="27" t="str">
        <f t="shared" si="78"/>
        <v>$(P):RSCN:ST_MONITOR</v>
      </c>
      <c r="AI107" s="27" t="str">
        <f t="shared" si="79"/>
        <v>$(P):RSCN:ST_MONITOR</v>
      </c>
      <c r="AJ107" s="27"/>
      <c r="AK107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07" s="27" t="str">
        <f t="shared" si="81"/>
        <v>_x000D_
# PVs mapping to P2064_x000D_
record(ao, "$(P):RSCN:T_EDGE") {_x000D_
  field(DESC, "Edge-skip move time")_x000D_
  field(OUT, "$(P):RSCN:T_EDGE:SET PP MS")_x000D_
  field(PINI, "NO")_x000D_
  field(EGU, "s")_x000D_
  field(PREC, "4")  _x000D_
}_x000D_
record(ai, "$(P):RSCN:T_EDGE:RBV") {_x000D_
  field(DESC, "Edge-skip move time readback")_x000D_
  field(DTYP, "stream")_x000D_
  field(FLNK, "$(P):RSCN:T_EDGE:SYN")_x000D_
  field(INP, "@pmac.proto getVar(P2064) $(PORT)")_x000D_
  field(SDIS, "$(P):RSCN:ST_MONITOR CP MS")_x000D_
  field(DISV, "0")_x000D_
  field(PINI, "NO")_x000D_
  field(DISS, "INVALID")_x000D_
  field(EGU, "s")_x000D_
  field(PREC, "4")  _x000D_
}_x000D_
record(ao, "$(P):RSCN:T_EDGE:SET") {_x000D_
  field(DTYP, "stream")_x000D_
  field(SDIS, "$(P):RSCN:T_EDGE:ROL PP MS")_x000D_
  field(OUT, "@pmac.proto setVar(P2064) $(PORT)")_x000D_
  field(PINI, "NO")_x000D_
  field(DISS, "INVALID")_x000D_
}_x000D_
record(calc, "$(P):RSCN:T_EDGE:ROL") {_x000D_
  field(CALC, "(!B) || A")_x000D_
  field(INPA, "$(P):RSCN:T_EDGE:SYN.PACT")_x000D_
  field(INPB, "$(P):RSCN:ST_MONITOR NPP MS")_x000D_
  field(PINI, "NO")_x000D_
}_x000D_
record(calcout, "$(P):RSCN:T_EDGE:SYN") {_x000D_
  field(INPA, "$(P):RSCN:T_EDGE:RBV PP")_x000D_
  field(INPB, "$(P):RSCN:ST_MONITOR NPP MS")_x000D_
  field(INPC, "$(P):RSCN:ST_MONITOR NPP MS")_x000D_
  field(CALC, "A")_x000D_
  field(OUT, "$(P):RSCN:T_EDGE PP MS")_x000D_
  field(PINI, "NO")_x000D_
}_x000D_
#--------------------</v>
      </c>
      <c r="AM107" s="27" t="str">
        <f t="shared" si="91"/>
        <v xml:space="preserve">&lt;item row="28" column="0"&gt;
         &lt;widget class="QLabel" name="L_t_Edge"&gt;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&lt;string&gt;t_Edge&lt;/string&gt;
          &lt;/property&gt;
          &lt;property name="margin"&gt;
           &lt;number&gt;3&lt;/number&gt;
          &lt;/property&gt;
         &lt;/widget&gt;
        &lt;/item&gt;
&lt;item row="28" column="1"&gt;
         &lt;widget class="QELabel" name="QL_t_Edge"&gt;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&lt;string&gt;$(P)$(R):RSCN:T_EDGE&lt;/string&gt;
          &lt;/property&gt;
         &lt;/widget&gt;
   &lt;/item&gt;
</v>
      </c>
      <c r="AN107" s="27" t="str">
        <f t="shared" si="92"/>
        <v/>
      </c>
      <c r="AO107" s="27" t="e">
        <f t="shared" si="82"/>
        <v>#N/A</v>
      </c>
      <c r="AP107" s="27" t="str">
        <f t="shared" si="83"/>
        <v xml:space="preserve">SR05ID01FST01:RSCN:T_EDGE = </v>
      </c>
      <c r="AQ107" s="27" t="str">
        <f t="shared" si="69"/>
        <v xml:space="preserve">;Edge-skip move time[s]epics(map)
#define	tEdge	P2064	</v>
      </c>
      <c r="AR107" s="27" t="str">
        <f t="shared" si="84"/>
        <v xml:space="preserve">      &lt;channel&gt;
         &lt;name&gt;SR05ID01FST01:RSCN:T_EDGE&lt;/name&gt;
         &lt;period&gt;30&lt;/period&gt;
         &lt;monitor/&gt;
      &lt;/channel&gt;</v>
      </c>
      <c r="AS107" s="12">
        <f t="shared" si="85"/>
        <v>7</v>
      </c>
      <c r="AT107" s="12">
        <f t="shared" si="86"/>
        <v>4</v>
      </c>
      <c r="AU107" s="12">
        <f t="shared" si="87"/>
        <v>4</v>
      </c>
      <c r="AV107" s="12">
        <f t="shared" si="88"/>
        <v>12</v>
      </c>
      <c r="AW107" s="13" t="str">
        <f t="shared" si="89"/>
        <v>P2064</v>
      </c>
      <c r="AX107" s="23" t="str">
        <f t="shared" si="90"/>
        <v>SR05ID01FST01:RSCN:T_EDGE</v>
      </c>
    </row>
    <row r="108" spans="2:50" ht="15.75" customHeight="1" x14ac:dyDescent="0.25">
      <c r="B108" s="24" t="str">
        <f t="shared" si="71"/>
        <v>&lt;FIND TYPE=ASC&gt;:T_MAX&lt;/FIND&gt;&lt;REPLACE TYPE=ASC&gt;:RSCN:T_HLM&lt;/REPLACE&gt;
&lt;FIND TYPE=ASC&gt;tMax&lt;/FIND&gt;&lt;REPLACE TYPE=ASC&gt;tHLM&lt;/REPLACE&gt;
&lt;FIND TYPE=ASC&gt;t_Max&lt;/FIND&gt;&lt;REPLACE TYPE=ASC&gt;t_HLM&lt;/REPLACE&gt;</v>
      </c>
      <c r="C108" s="32" t="str">
        <f t="shared" si="93"/>
        <v>#define</v>
      </c>
      <c r="D108" s="31" t="s">
        <v>438</v>
      </c>
      <c r="E108" s="25" t="s">
        <v>601</v>
      </c>
      <c r="F108" s="10">
        <v>4</v>
      </c>
      <c r="G108" s="10"/>
      <c r="H108" s="10">
        <v>4</v>
      </c>
      <c r="I108" s="11" t="s">
        <v>651</v>
      </c>
      <c r="J108" s="10" t="s">
        <v>597</v>
      </c>
      <c r="K108" s="10" t="s">
        <v>563</v>
      </c>
      <c r="L108" s="10"/>
      <c r="M108" s="10"/>
      <c r="N108" s="10"/>
      <c r="O108" s="16"/>
      <c r="P108" s="52" t="s">
        <v>563</v>
      </c>
      <c r="Q108" s="52"/>
      <c r="R108" s="52"/>
      <c r="S108" s="52"/>
      <c r="T108" s="52"/>
      <c r="U108" s="52"/>
      <c r="V108" s="52"/>
      <c r="W108" s="61"/>
      <c r="X108" s="61">
        <v>14</v>
      </c>
      <c r="AB108" s="58" t="str">
        <f t="shared" si="72"/>
        <v/>
      </c>
      <c r="AC108" s="55" t="str">
        <f t="shared" si="73"/>
        <v/>
      </c>
      <c r="AD108" s="29" t="str">
        <f t="shared" si="74"/>
        <v>:T_MAX</v>
      </c>
      <c r="AE108" s="27" t="str">
        <f t="shared" si="75"/>
        <v>:RSCN:T_HLM</v>
      </c>
      <c r="AF108" s="29" t="str">
        <f t="shared" si="76"/>
        <v>tMax</v>
      </c>
      <c r="AG108" s="27" t="str">
        <f t="shared" si="77"/>
        <v>tHLM</v>
      </c>
      <c r="AH108" s="27" t="str">
        <f t="shared" si="78"/>
        <v>$(P):RSCN:</v>
      </c>
      <c r="AI108" s="27" t="str">
        <f t="shared" si="79"/>
        <v>$(P):RSCN:</v>
      </c>
      <c r="AJ108" s="27"/>
      <c r="AK108" s="27" t="str">
        <f t="shared" si="80"/>
        <v/>
      </c>
      <c r="AL108" s="27" t="str">
        <f t="shared" si="81"/>
        <v/>
      </c>
      <c r="AM108" s="27" t="str">
        <f t="shared" si="91"/>
        <v/>
      </c>
      <c r="AN108" s="27" t="str">
        <f t="shared" si="92"/>
        <v xml:space="preserve">&lt;item row="14" column="0"&gt;
         &lt;widget class="QLabel" name="L_t_HLM"&gt;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&lt;string&gt;t_HLM&lt;/string&gt;
          &lt;/property&gt;
          &lt;property name="margin"&gt;
           &lt;number&gt;3&lt;/number&gt;
          &lt;/property&gt;
         &lt;/widget&gt;
        &lt;/item&gt;
&lt;item row="14" column="1"&gt;
         &lt;widget class="QELabel" name="QL_t_HLM"&gt;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&lt;string&gt;$(P)$(R):RSCN:T_HLM&lt;/string&gt;
          &lt;/property&gt;
         &lt;/widget&gt;
   &lt;/item&gt;
</v>
      </c>
      <c r="AO108" s="27" t="e">
        <f t="shared" si="82"/>
        <v>#N/A</v>
      </c>
      <c r="AP108" s="27" t="str">
        <f t="shared" si="83"/>
        <v/>
      </c>
      <c r="AQ108" s="27" t="str">
        <f t="shared" si="69"/>
        <v xml:space="preserve">;High limit for time vars[s]()
#define	tHLM	4	</v>
      </c>
      <c r="AR108" s="27" t="str">
        <f t="shared" si="84"/>
        <v/>
      </c>
      <c r="AS108" s="12" t="str">
        <f t="shared" si="85"/>
        <v/>
      </c>
      <c r="AT108" s="12" t="str">
        <f t="shared" si="86"/>
        <v/>
      </c>
      <c r="AU108" s="12" t="str">
        <f t="shared" si="87"/>
        <v/>
      </c>
      <c r="AV108" s="12" t="str">
        <f t="shared" si="88"/>
        <v/>
      </c>
      <c r="AW108" s="13" t="str">
        <f t="shared" si="89"/>
        <v>0t_4.0000</v>
      </c>
      <c r="AX108" s="23" t="str">
        <f t="shared" si="90"/>
        <v>SR05ID01FST01:RSCN:T_HLM</v>
      </c>
    </row>
    <row r="109" spans="2:50" ht="15.75" customHeight="1" x14ac:dyDescent="0.25">
      <c r="B109" s="24" t="str">
        <f t="shared" si="71"/>
        <v>.</v>
      </c>
      <c r="C109" s="32" t="str">
        <f t="shared" si="93"/>
        <v>#define</v>
      </c>
      <c r="D109" s="31" t="s">
        <v>470</v>
      </c>
      <c r="E109" s="25" t="s">
        <v>470</v>
      </c>
      <c r="F109" s="10" t="s">
        <v>391</v>
      </c>
      <c r="G109" s="10" t="s">
        <v>86</v>
      </c>
      <c r="H109" s="10"/>
      <c r="I109" s="11" t="s">
        <v>545</v>
      </c>
      <c r="J109" s="10" t="s">
        <v>39</v>
      </c>
      <c r="K109" s="10" t="s">
        <v>563</v>
      </c>
      <c r="L109" s="10">
        <v>1E-3</v>
      </c>
      <c r="M109" s="10">
        <v>4</v>
      </c>
      <c r="N109" s="10">
        <v>4</v>
      </c>
      <c r="O109" s="16"/>
      <c r="P109" s="52" t="s">
        <v>39</v>
      </c>
      <c r="Q109" s="52"/>
      <c r="R109" s="52"/>
      <c r="S109" s="52" t="s">
        <v>39</v>
      </c>
      <c r="T109" s="52" t="s">
        <v>563</v>
      </c>
      <c r="U109" s="52"/>
      <c r="V109" s="52"/>
      <c r="W109" s="61"/>
      <c r="X109" s="61">
        <v>15</v>
      </c>
      <c r="Y109" s="33" t="s">
        <v>570</v>
      </c>
      <c r="Z109" s="33" t="s">
        <v>570</v>
      </c>
      <c r="AA109" s="33">
        <v>30</v>
      </c>
      <c r="AB109" s="58" t="str">
        <f t="shared" si="72"/>
        <v>epics</v>
      </c>
      <c r="AC109" s="55" t="str">
        <f t="shared" si="73"/>
        <v>map</v>
      </c>
      <c r="AD109" s="29" t="str">
        <f t="shared" si="74"/>
        <v>:T_IN</v>
      </c>
      <c r="AE109" s="27" t="str">
        <f t="shared" si="75"/>
        <v>:RSCN:T_IN</v>
      </c>
      <c r="AF109" s="29" t="str">
        <f t="shared" si="76"/>
        <v>tIn</v>
      </c>
      <c r="AG109" s="27" t="str">
        <f t="shared" si="77"/>
        <v>tIn</v>
      </c>
      <c r="AH109" s="27" t="str">
        <f t="shared" si="78"/>
        <v>$(P):RSCN:ST_MONITOR</v>
      </c>
      <c r="AI109" s="27" t="str">
        <f t="shared" si="79"/>
        <v>$(P):RSCN:ST_MONITOR</v>
      </c>
      <c r="AJ109" s="27"/>
      <c r="AK109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09" s="27" t="str">
        <f t="shared" si="81"/>
        <v>_x000D_
# PVs mapping to P2044_x000D_
record(ao, "$(P):RSCN:T_IN") {_x000D_
  field(DESC, "inner-skip move time")_x000D_
  field(OUT, "$(P):RSCN:T_IN:SET PP MS")_x000D_
  field(PINI, "NO")_x000D_
  field(EGU, "s")_x000D_
  field(PREC, "4")  _x000D_
}_x000D_
record(ai, "$(P):RSCN:T_IN:RBV") {_x000D_
  field(DESC, "inner-skip move time readback")_x000D_
  field(DTYP, "stream")_x000D_
  field(FLNK, "$(P):RSCN:T_IN:SYN")_x000D_
  field(INP, "@pmac.proto getVar(P2044) $(PORT)")_x000D_
  field(SDIS, "$(P):RSCN:ST_MONITOR CP MS")_x000D_
  field(DISV, "0")_x000D_
  field(PINI, "NO")_x000D_
  field(DISS, "INVALID")_x000D_
  field(EGU, "s")_x000D_
  field(PREC, "4")  _x000D_
}_x000D_
record(ao, "$(P):RSCN:T_IN:SET") {_x000D_
  field(DTYP, "stream")_x000D_
  field(SDIS, "$(P):RSCN:T_IN:ROL PP MS")_x000D_
  field(OUT, "@pmac.proto setVar(P2044) $(PORT)")_x000D_
  field(PINI, "NO")_x000D_
  field(DISS, "INVALID")_x000D_
}_x000D_
record(calc, "$(P):RSCN:T_IN:ROL") {_x000D_
  field(CALC, "(!B) || A")_x000D_
  field(INPA, "$(P):RSCN:T_IN:SYN.PACT")_x000D_
  field(INPB, "$(P):RSCN:ST_MONITOR NPP MS")_x000D_
  field(PINI, "NO")_x000D_
}_x000D_
record(calcout, "$(P):RSCN:T_IN:SYN") {_x000D_
  field(INPA, "$(P):RSCN:T_IN:RBV PP")_x000D_
  field(INPB, "$(P):RSCN:ST_MONITOR NPP MS")_x000D_
  field(INPC, "$(P):RSCN:ST_MONITOR NPP MS")_x000D_
  field(CALC, "A")_x000D_
  field(OUT, "$(P):RSCN:T_IN PP MS")_x000D_
  field(PINI, "NO")_x000D_
}_x000D_
#--------------------</v>
      </c>
      <c r="AM109" s="27" t="str">
        <f t="shared" si="91"/>
        <v/>
      </c>
      <c r="AN109" s="27" t="str">
        <f t="shared" si="92"/>
        <v xml:space="preserve">&lt;item row="15" column="0"&gt;
         &lt;widget class="QLabel" name="L_t_In"&gt;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&lt;string&gt;t_In&lt;/string&gt;
          &lt;/property&gt;
          &lt;property name="margin"&gt;
           &lt;number&gt;3&lt;/number&gt;
          &lt;/property&gt;
         &lt;/widget&gt;
        &lt;/item&gt;
&lt;item row="15" column="1"&gt;
         &lt;widget class="QELabel" name="QL_t_In"&gt;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&lt;string&gt;$(P)$(R):RSCN:T_IN&lt;/string&gt;
          &lt;/property&gt;
         &lt;/widget&gt;
   &lt;/item&gt;
</v>
      </c>
      <c r="AO109" s="27" t="e">
        <f t="shared" si="82"/>
        <v>#N/A</v>
      </c>
      <c r="AP109" s="27" t="str">
        <f t="shared" si="83"/>
        <v xml:space="preserve">SR05ID01FST01:RSCN:T_IN = </v>
      </c>
      <c r="AQ109" s="27" t="str">
        <f t="shared" si="69"/>
        <v xml:space="preserve">;inner-skip move time[s]epics(map)
#define	tIn	P2044	</v>
      </c>
      <c r="AR109" s="27" t="str">
        <f t="shared" si="84"/>
        <v xml:space="preserve">      &lt;channel&gt;
         &lt;name&gt;SR05ID01FST01:RSCN:T_IN&lt;/name&gt;
         &lt;period&gt;30&lt;/period&gt;
         &lt;monitor/&gt;
      &lt;/channel&gt;</v>
      </c>
      <c r="AS109" s="12">
        <f t="shared" si="85"/>
        <v>9</v>
      </c>
      <c r="AT109" s="12">
        <f t="shared" si="86"/>
        <v>4</v>
      </c>
      <c r="AU109" s="12">
        <f t="shared" si="87"/>
        <v>4</v>
      </c>
      <c r="AV109" s="12">
        <f t="shared" si="88"/>
        <v>11</v>
      </c>
      <c r="AW109" s="13" t="str">
        <f t="shared" si="89"/>
        <v>P2044</v>
      </c>
      <c r="AX109" s="23" t="str">
        <f t="shared" si="90"/>
        <v>SR05ID01FST01:RSCN:T_IN</v>
      </c>
    </row>
    <row r="110" spans="2:50" ht="15.75" customHeight="1" x14ac:dyDescent="0.25">
      <c r="B110" s="24" t="str">
        <f t="shared" si="71"/>
        <v>.</v>
      </c>
      <c r="C110" s="32" t="str">
        <f t="shared" si="93"/>
        <v>#define</v>
      </c>
      <c r="D110" s="31" t="s">
        <v>456</v>
      </c>
      <c r="E110" s="28" t="s">
        <v>456</v>
      </c>
      <c r="F110" s="10" t="s">
        <v>376</v>
      </c>
      <c r="G110" s="10" t="s">
        <v>86</v>
      </c>
      <c r="H110" s="10"/>
      <c r="I110" s="11" t="s">
        <v>639</v>
      </c>
      <c r="J110" s="10" t="s">
        <v>561</v>
      </c>
      <c r="K110" s="10" t="s">
        <v>563</v>
      </c>
      <c r="L110" s="10">
        <v>1E-3</v>
      </c>
      <c r="M110" s="10">
        <v>4</v>
      </c>
      <c r="N110" s="10">
        <v>4</v>
      </c>
      <c r="O110" s="16"/>
      <c r="P110" s="52" t="s">
        <v>39</v>
      </c>
      <c r="Q110" s="52"/>
      <c r="R110" s="52" t="s">
        <v>563</v>
      </c>
      <c r="S110" s="52"/>
      <c r="T110" s="52" t="s">
        <v>39</v>
      </c>
      <c r="U110" s="52"/>
      <c r="V110" s="52"/>
      <c r="W110" s="61">
        <v>29</v>
      </c>
      <c r="X110" s="61"/>
      <c r="Y110" s="33" t="s">
        <v>570</v>
      </c>
      <c r="Z110" s="33" t="s">
        <v>571</v>
      </c>
      <c r="AA110" s="33">
        <v>30</v>
      </c>
      <c r="AB110" s="58" t="str">
        <f t="shared" si="72"/>
        <v>epics</v>
      </c>
      <c r="AC110" s="55" t="str">
        <f t="shared" si="73"/>
        <v>map</v>
      </c>
      <c r="AD110" s="29" t="str">
        <f t="shared" si="74"/>
        <v>:T_IN_LLM</v>
      </c>
      <c r="AE110" s="27" t="str">
        <f t="shared" si="75"/>
        <v>:RSCN:T_IN_LLM</v>
      </c>
      <c r="AF110" s="29" t="str">
        <f t="shared" si="76"/>
        <v>tInLLM</v>
      </c>
      <c r="AG110" s="27" t="str">
        <f t="shared" si="77"/>
        <v>tInLLM</v>
      </c>
      <c r="AH110" s="27" t="str">
        <f t="shared" si="78"/>
        <v>$(P):RSCN:ST_MONITOR</v>
      </c>
      <c r="AI110" s="27" t="str">
        <f t="shared" si="79"/>
        <v>$(P):RSCN:ST_TRAJSET</v>
      </c>
      <c r="AJ110" s="27"/>
      <c r="AK110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0" s="27" t="str">
        <f t="shared" si="81"/>
        <v>_x000D_
# PVs mapping to P2005_x000D_
record(ao, "$(P):RSCN:T_IN_LLM") {_x000D_
  field(DESC, "Fly axis inner-skip time LLM")_x000D_
  field(OUT, "$(P):RSCN:T_IN_LLM:SET PP MS")_x000D_
  field(PINI, "NO")_x000D_
  field(EGU, "s")_x000D_
  field(PREC, "4")  _x000D_
}_x000D_
record(ai, "$(P):RSCN:T_IN_LLM:RBV") {_x000D_
  field(DESC, "Fly axis inner-skip time LLM readback")_x000D_
  field(DTYP, "stream")_x000D_
  field(FLNK, "$(P):RSCN:T_IN_LLM:SYN")_x000D_
  field(INP, "@pmac.proto getVar(P2005) $(PORT)")_x000D_
  field(SDIS, "$(P):RSCN:ST_MONITOR CP MS")_x000D_
  field(DISV, "0")_x000D_
  field(PINI, "NO")_x000D_
  field(DISS, "INVALID")_x000D_
  field(EGU, "s")_x000D_
  field(PREC, "4")  _x000D_
}_x000D_
record(ao, "$(P):RSCN:T_IN_LLM:SET") {_x000D_
  field(DTYP, "stream")_x000D_
  field(SDIS, "$(P):RSCN:T_IN_LLM:ROL PP MS")_x000D_
  field(OUT, "@pmac.proto setVar(P2005) $(PORT)")_x000D_
  field(PINI, "NO")_x000D_
  field(DISS, "INVALID")_x000D_
}_x000D_
record(calc, "$(P):RSCN:T_IN_LLM:ROL") {_x000D_
  field(CALC, "(!B) || A")_x000D_
  field(INPA, "$(P):RSCN:T_IN_LLM:SYN.PACT")_x000D_
  field(INPB, "$(P):RSCN:ST_TRAJSET NPP MS")_x000D_
  field(PINI, "NO")_x000D_
}_x000D_
record(calcout, "$(P):RSCN:T_IN_LLM:SYN") {_x000D_
  field(INPA, "$(P):RSCN:T_IN_LLM:RBV PP")_x000D_
  field(INPB, "$(P):RSCN:ST_MONITOR NPP MS")_x000D_
  field(INPC, "$(P):RSCN:ST_TRAJSET NPP MS")_x000D_
  field(CALC, "A")_x000D_
  field(OUT, "$(P):RSCN:T_IN_LLM PP MS")_x000D_
  field(PINI, "NO")_x000D_
}_x000D_
#--------------------</v>
      </c>
      <c r="AM110" s="27" t="str">
        <f t="shared" si="91"/>
        <v>&lt;item row="29" column="0"&gt;
         &lt;widget class="QLabel" name="L_t_In_LLM"&gt;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&lt;string&gt;t_In_LLM&lt;/string&gt;
          &lt;/property&gt;
          &lt;property name="margin"&gt;
           &lt;number&gt;3&lt;/number&gt;
          &lt;/property&gt;
         &lt;/widget&gt;
        &lt;/item&gt;
&lt;item row="29" column="2"&gt;
            &lt;widget class="QELineEdit" name="QLD_t_In_LLM"&gt;
             &lt;property name="variable" stdset="0"&gt;
              &lt;string&gt;$(P)$(R):RSCN:T_IN_LLM&lt;/string&gt;
             &lt;/property&gt;
             &lt;property name="addUnits"&gt;
             &lt;bool&gt;true&lt;/bool&gt;
             &lt;/property&gt;
            &lt;/widget&gt;
           &lt;/item&gt;</v>
      </c>
      <c r="AN110" s="27" t="str">
        <f t="shared" si="92"/>
        <v/>
      </c>
      <c r="AO110" s="27" t="e">
        <f t="shared" si="82"/>
        <v>#N/A</v>
      </c>
      <c r="AP110" s="27" t="str">
        <f t="shared" si="83"/>
        <v xml:space="preserve">SR05ID01FST01:RSCN:T_IN_LLM = </v>
      </c>
      <c r="AQ110" s="27" t="str">
        <f t="shared" si="69"/>
        <v xml:space="preserve">;Fly axis inner-skip time LLM[s]epics(map)
#define	tInLLM	P2005	</v>
      </c>
      <c r="AR110" s="27" t="str">
        <f t="shared" si="84"/>
        <v xml:space="preserve">      &lt;channel&gt;
         &lt;name&gt;SR05ID01FST01:RSCN:T_IN_LLM&lt;/name&gt;
         &lt;period&gt;30&lt;/period&gt;
         &lt;monitor/&gt;
      &lt;/channel&gt;</v>
      </c>
      <c r="AS110" s="12">
        <f t="shared" si="85"/>
        <v>5</v>
      </c>
      <c r="AT110" s="12">
        <f t="shared" si="86"/>
        <v>4</v>
      </c>
      <c r="AU110" s="12">
        <f t="shared" si="87"/>
        <v>4</v>
      </c>
      <c r="AV110" s="12">
        <f t="shared" si="88"/>
        <v>3</v>
      </c>
      <c r="AW110" s="13" t="str">
        <f t="shared" si="89"/>
        <v>P2005</v>
      </c>
      <c r="AX110" s="23" t="str">
        <f t="shared" si="90"/>
        <v>SR05ID01FST01:RSCN:T_IN_LLM</v>
      </c>
    </row>
    <row r="111" spans="2:50" ht="15.75" customHeight="1" x14ac:dyDescent="0.25">
      <c r="B111" s="24" t="str">
        <f t="shared" si="71"/>
        <v>.</v>
      </c>
      <c r="C111" s="32" t="str">
        <f t="shared" si="93"/>
        <v>#define</v>
      </c>
      <c r="D111" s="31" t="s">
        <v>468</v>
      </c>
      <c r="E111" s="25" t="s">
        <v>468</v>
      </c>
      <c r="F111" s="10" t="s">
        <v>389</v>
      </c>
      <c r="G111" s="10" t="s">
        <v>86</v>
      </c>
      <c r="H111" s="10"/>
      <c r="I111" s="11" t="s">
        <v>634</v>
      </c>
      <c r="J111" s="10" t="s">
        <v>39</v>
      </c>
      <c r="K111" s="10" t="s">
        <v>563</v>
      </c>
      <c r="L111" s="10">
        <v>0</v>
      </c>
      <c r="M111" s="10">
        <v>1000</v>
      </c>
      <c r="N111" s="10">
        <v>4</v>
      </c>
      <c r="O111" s="16"/>
      <c r="P111" s="52" t="s">
        <v>563</v>
      </c>
      <c r="Q111" s="52"/>
      <c r="R111" s="52" t="s">
        <v>39</v>
      </c>
      <c r="S111" s="52"/>
      <c r="T111" s="52"/>
      <c r="U111" s="52"/>
      <c r="V111" s="52"/>
      <c r="W111" s="61">
        <v>30</v>
      </c>
      <c r="X111" s="61"/>
      <c r="Y111" s="33" t="s">
        <v>569</v>
      </c>
      <c r="Z111" s="33" t="s">
        <v>368</v>
      </c>
      <c r="AA111" s="33">
        <v>30</v>
      </c>
      <c r="AB111" s="58" t="str">
        <f t="shared" si="72"/>
        <v>epics</v>
      </c>
      <c r="AC111" s="55" t="str">
        <f t="shared" si="73"/>
        <v>map</v>
      </c>
      <c r="AD111" s="29" t="str">
        <f t="shared" si="74"/>
        <v>:T_MID</v>
      </c>
      <c r="AE111" s="27" t="str">
        <f t="shared" si="75"/>
        <v>:RSCN:T_MID</v>
      </c>
      <c r="AF111" s="29" t="str">
        <f t="shared" si="76"/>
        <v>tMid</v>
      </c>
      <c r="AG111" s="27" t="str">
        <f t="shared" si="77"/>
        <v>tMid</v>
      </c>
      <c r="AH111" s="27" t="str">
        <f t="shared" si="78"/>
        <v>$(P):RSCN:ST_INPROG</v>
      </c>
      <c r="AI111" s="27" t="str">
        <f t="shared" si="79"/>
        <v>$(P):RSCN:ST_NEVER</v>
      </c>
      <c r="AJ111" s="27"/>
      <c r="AK111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1" s="27" t="str">
        <f t="shared" si="81"/>
        <v>_x000D_
# PVs mapping to P2042_x000D_
record(ao, "$(P):RSCN:T_MID") {_x000D_
  field(DESC, "Scanline middle segnment time")_x000D_
  field(OUT, "$(P):RSCN:T_MID:SET PP MS")_x000D_
  field(PINI, "NO")_x000D_
  field(EGU, "s")_x000D_
  field(PREC, "4")  _x000D_
}_x000D_
record(ai, "$(P):RSCN:T_MID:RBV") {_x000D_
  field(DESC, "Scanline middle segnment time readback")_x000D_
  field(DTYP, "stream")_x000D_
  field(FLNK, "$(P):RSCN:T_MID:SYN")_x000D_
  field(INP, "@pmac.proto getVar(P2042) $(PORT)")_x000D_
  field(SDIS, "$(P):RSCN:ST_INPROG CP MS")_x000D_
  field(DISV, "0")_x000D_
  field(PINI, "NO")_x000D_
  field(DISS, "INVALID")_x000D_
  field(EGU, "s")_x000D_
  field(PREC, "4")  _x000D_
}_x000D_
record(ao, "$(P):RSCN:T_MID:SET") {_x000D_
  field(DTYP, "stream")_x000D_
  field(SDIS, "$(P):RSCN:T_MID:ROL PP MS")_x000D_
  field(OUT, "@pmac.proto setVar(P2042) $(PORT)")_x000D_
  field(PINI, "NO")_x000D_
  field(DISS, "INVALID")_x000D_
}_x000D_
record(calc, "$(P):RSCN:T_MID:ROL") {_x000D_
  field(CALC, "(!B) || A")_x000D_
  field(INPA, "$(P):RSCN:T_MID:SYN.PACT")_x000D_
  field(INPB, "$(P):RSCN:ST_NEVER NPP MS")_x000D_
  field(PINI, "NO")_x000D_
}_x000D_
record(calcout, "$(P):RSCN:T_MID:SYN") {_x000D_
  field(INPA, "$(P):RSCN:T_MID:RBV PP")_x000D_
  field(INPB, "$(P):RSCN:ST_INPROG NPP MS")_x000D_
  field(INPC, "$(P):RSCN:ST_NEVER NPP MS")_x000D_
  field(CALC, "A")_x000D_
  field(OUT, "$(P):RSCN:T_MID PP MS")_x000D_
  field(PINI, "NO")_x000D_
}_x000D_
#--------------------</v>
      </c>
      <c r="AM111" s="27" t="str">
        <f t="shared" si="91"/>
        <v xml:space="preserve">&lt;item row="30" column="0"&gt;
         &lt;widget class="QLabel" name="L_t_Mid"&gt;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&lt;string&gt;t_Mid&lt;/string&gt;
          &lt;/property&gt;
          &lt;property name="margin"&gt;
           &lt;number&gt;3&lt;/number&gt;
          &lt;/property&gt;
         &lt;/widget&gt;
        &lt;/item&gt;
&lt;item row="30" column="1"&gt;
         &lt;widget class="QELabel" name="QL_t_Mid"&gt;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&lt;string&gt;$(P)$(R):RSCN:T_MID&lt;/string&gt;
          &lt;/property&gt;
         &lt;/widget&gt;
   &lt;/item&gt;
</v>
      </c>
      <c r="AN111" s="27" t="str">
        <f t="shared" si="92"/>
        <v/>
      </c>
      <c r="AO111" s="27" t="e">
        <f t="shared" si="82"/>
        <v>#N/A</v>
      </c>
      <c r="AP111" s="27" t="str">
        <f t="shared" si="83"/>
        <v xml:space="preserve">SR05ID01FST01:RSCN:T_MID = </v>
      </c>
      <c r="AQ111" s="27" t="str">
        <f t="shared" si="69"/>
        <v xml:space="preserve">;Scanline middle segnment time[s]epics(map)
#define	tMid	P2042	</v>
      </c>
      <c r="AR111" s="27" t="str">
        <f t="shared" si="84"/>
        <v xml:space="preserve">      &lt;channel&gt;
         &lt;name&gt;SR05ID01FST01:RSCN:T_MID&lt;/name&gt;
         &lt;period&gt;30&lt;/period&gt;
         &lt;monitor/&gt;
      &lt;/channel&gt;</v>
      </c>
      <c r="AS111" s="12">
        <f t="shared" si="85"/>
        <v>8</v>
      </c>
      <c r="AT111" s="12">
        <f t="shared" si="86"/>
        <v>5</v>
      </c>
      <c r="AU111" s="12">
        <f t="shared" si="87"/>
        <v>6</v>
      </c>
      <c r="AV111" s="12">
        <f t="shared" si="88"/>
        <v>2</v>
      </c>
      <c r="AW111" s="13" t="str">
        <f t="shared" si="89"/>
        <v>P2042</v>
      </c>
      <c r="AX111" s="23" t="str">
        <f t="shared" si="90"/>
        <v>SR05ID01FST01:RSCN:T_MID</v>
      </c>
    </row>
    <row r="112" spans="2:50" ht="15.75" customHeight="1" x14ac:dyDescent="0.25">
      <c r="B112" s="24" t="str">
        <f t="shared" si="71"/>
        <v>&lt;FIND TYPE=ASC&gt;:T_MIN&lt;/FIND&gt;&lt;REPLACE TYPE=ASC&gt;:RSCN:T_MID_LLM&lt;/REPLACE&gt;
&lt;FIND TYPE=ASC&gt;tMin&lt;/FIND&gt;&lt;REPLACE TYPE=ASC&gt;tMidLLM&lt;/REPLACE&gt;
&lt;FIND TYPE=ASC&gt;t_Min&lt;/FIND&gt;&lt;REPLACE TYPE=ASC&gt;t_Mid_LLM&lt;/REPLACE&gt;</v>
      </c>
      <c r="C112" s="32" t="str">
        <f t="shared" si="93"/>
        <v>#define</v>
      </c>
      <c r="D112" s="30" t="s">
        <v>476</v>
      </c>
      <c r="E112" s="23" t="s">
        <v>600</v>
      </c>
      <c r="F112" s="10">
        <v>0.05</v>
      </c>
      <c r="G112" s="10" t="s">
        <v>86</v>
      </c>
      <c r="H112" s="10">
        <v>0.05</v>
      </c>
      <c r="I112" s="11" t="s">
        <v>650</v>
      </c>
      <c r="J112" s="10" t="s">
        <v>597</v>
      </c>
      <c r="K112" s="10" t="s">
        <v>563</v>
      </c>
      <c r="L112" s="10">
        <v>1E-3</v>
      </c>
      <c r="M112" s="10">
        <v>4</v>
      </c>
      <c r="N112" s="10">
        <v>4</v>
      </c>
      <c r="O112" s="16"/>
      <c r="P112" s="52" t="s">
        <v>563</v>
      </c>
      <c r="Q112" s="52"/>
      <c r="R112" s="52"/>
      <c r="S112" s="52"/>
      <c r="T112" s="52"/>
      <c r="U112" s="52"/>
      <c r="V112" s="52"/>
      <c r="W112" s="61"/>
      <c r="X112" s="61"/>
      <c r="AB112" s="58" t="str">
        <f t="shared" si="72"/>
        <v/>
      </c>
      <c r="AC112" s="55" t="str">
        <f t="shared" si="73"/>
        <v/>
      </c>
      <c r="AD112" s="29" t="str">
        <f t="shared" si="74"/>
        <v>:T_MIN</v>
      </c>
      <c r="AE112" s="27" t="str">
        <f t="shared" si="75"/>
        <v>:RSCN:T_MID_LLM</v>
      </c>
      <c r="AF112" s="29" t="str">
        <f t="shared" si="76"/>
        <v>tMin</v>
      </c>
      <c r="AG112" s="27" t="str">
        <f t="shared" si="77"/>
        <v>tMidLLM</v>
      </c>
      <c r="AH112" s="27" t="str">
        <f t="shared" si="78"/>
        <v>$(P):RSCN:</v>
      </c>
      <c r="AI112" s="27" t="str">
        <f t="shared" si="79"/>
        <v>$(P):RSCN:</v>
      </c>
      <c r="AJ112" s="27"/>
      <c r="AK112" s="27" t="str">
        <f t="shared" si="80"/>
        <v/>
      </c>
      <c r="AL112" s="27" t="str">
        <f t="shared" si="81"/>
        <v/>
      </c>
      <c r="AM112" s="27" t="str">
        <f t="shared" si="91"/>
        <v/>
      </c>
      <c r="AN112" s="27" t="str">
        <f t="shared" si="92"/>
        <v/>
      </c>
      <c r="AO112" s="27" t="e">
        <f t="shared" si="82"/>
        <v>#N/A</v>
      </c>
      <c r="AP112" s="27" t="str">
        <f t="shared" si="83"/>
        <v/>
      </c>
      <c r="AQ112" s="27" t="str">
        <f t="shared" si="69"/>
        <v xml:space="preserve">;Low limit for tMid[s]()
#define	tMidLLM	0.05	</v>
      </c>
      <c r="AR112" s="27" t="str">
        <f t="shared" si="84"/>
        <v/>
      </c>
      <c r="AS112" s="12" t="str">
        <f t="shared" si="85"/>
        <v/>
      </c>
      <c r="AT112" s="12" t="str">
        <f t="shared" si="86"/>
        <v/>
      </c>
      <c r="AU112" s="12" t="str">
        <f t="shared" si="87"/>
        <v/>
      </c>
      <c r="AV112" s="12" t="str">
        <f t="shared" si="88"/>
        <v/>
      </c>
      <c r="AW112" s="13" t="str">
        <f t="shared" si="89"/>
        <v>0t_.0500</v>
      </c>
      <c r="AX112" s="23" t="str">
        <f t="shared" si="90"/>
        <v>SR05ID01FST01:RSCN:T_MID_LLM</v>
      </c>
    </row>
    <row r="113" spans="2:50" ht="15.75" customHeight="1" x14ac:dyDescent="0.25">
      <c r="B113" s="24" t="str">
        <f t="shared" si="71"/>
        <v>.</v>
      </c>
      <c r="C113" s="32" t="str">
        <f t="shared" si="93"/>
        <v>#define</v>
      </c>
      <c r="D113" s="31" t="s">
        <v>469</v>
      </c>
      <c r="E113" s="25" t="s">
        <v>469</v>
      </c>
      <c r="F113" s="10" t="s">
        <v>390</v>
      </c>
      <c r="G113" s="10" t="s">
        <v>86</v>
      </c>
      <c r="H113" s="10"/>
      <c r="I113" s="11" t="s">
        <v>544</v>
      </c>
      <c r="J113" s="10" t="s">
        <v>39</v>
      </c>
      <c r="K113" s="10" t="s">
        <v>563</v>
      </c>
      <c r="L113" s="10">
        <v>0</v>
      </c>
      <c r="M113" s="10">
        <v>5</v>
      </c>
      <c r="N113" s="10">
        <v>4</v>
      </c>
      <c r="O113" s="16"/>
      <c r="P113" s="52" t="s">
        <v>39</v>
      </c>
      <c r="Q113" s="52"/>
      <c r="R113" s="52" t="s">
        <v>39</v>
      </c>
      <c r="S113" s="52"/>
      <c r="T113" s="52" t="s">
        <v>563</v>
      </c>
      <c r="U113" s="52"/>
      <c r="V113" s="52"/>
      <c r="W113" s="61">
        <v>31</v>
      </c>
      <c r="X113" s="61"/>
      <c r="Y113" s="33" t="s">
        <v>570</v>
      </c>
      <c r="Z113" s="33" t="s">
        <v>570</v>
      </c>
      <c r="AA113" s="33">
        <v>30</v>
      </c>
      <c r="AB113" s="58" t="str">
        <f t="shared" si="72"/>
        <v>epics</v>
      </c>
      <c r="AC113" s="55" t="str">
        <f t="shared" si="73"/>
        <v>map</v>
      </c>
      <c r="AD113" s="29" t="str">
        <f t="shared" si="74"/>
        <v>:T_OUT</v>
      </c>
      <c r="AE113" s="27" t="str">
        <f t="shared" si="75"/>
        <v>:RSCN:T_OUT</v>
      </c>
      <c r="AF113" s="29" t="str">
        <f t="shared" si="76"/>
        <v>tOut</v>
      </c>
      <c r="AG113" s="27" t="str">
        <f t="shared" si="77"/>
        <v>tOut</v>
      </c>
      <c r="AH113" s="27" t="str">
        <f t="shared" si="78"/>
        <v>$(P):RSCN:ST_MONITOR</v>
      </c>
      <c r="AI113" s="27" t="str">
        <f t="shared" si="79"/>
        <v>$(P):RSCN:ST_MONITOR</v>
      </c>
      <c r="AJ113" s="27"/>
      <c r="AK113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3" s="27" t="str">
        <f t="shared" si="81"/>
        <v>_x000D_
# PVs mapping to P2043_x000D_
record(ao, "$(P):RSCN:T_OUT") {_x000D_
  field(DESC, "outer-skip move time")_x000D_
  field(OUT, "$(P):RSCN:T_OUT:SET PP MS")_x000D_
  field(PINI, "NO")_x000D_
  field(EGU, "s")_x000D_
  field(PREC, "4")  _x000D_
}_x000D_
record(ai, "$(P):RSCN:T_OUT:RBV") {_x000D_
  field(DESC, "outer-skip move time readback")_x000D_
  field(DTYP, "stream")_x000D_
  field(FLNK, "$(P):RSCN:T_OUT:SYN")_x000D_
  field(INP, "@pmac.proto getVar(P2043) $(PORT)")_x000D_
  field(SDIS, "$(P):RSCN:ST_MONITOR CP MS")_x000D_
  field(DISV, "0")_x000D_
  field(PINI, "NO")_x000D_
  field(DISS, "INVALID")_x000D_
  field(EGU, "s")_x000D_
  field(PREC, "4")  _x000D_
}_x000D_
record(ao, "$(P):RSCN:T_OUT:SET") {_x000D_
  field(DTYP, "stream")_x000D_
  field(SDIS, "$(P):RSCN:T_OUT:ROL PP MS")_x000D_
  field(OUT, "@pmac.proto setVar(P2043) $(PORT)")_x000D_
  field(PINI, "NO")_x000D_
  field(DISS, "INVALID")_x000D_
}_x000D_
record(calc, "$(P):RSCN:T_OUT:ROL") {_x000D_
  field(CALC, "(!B) || A")_x000D_
  field(INPA, "$(P):RSCN:T_OUT:SYN.PACT")_x000D_
  field(INPB, "$(P):RSCN:ST_MONITOR NPP MS")_x000D_
  field(PINI, "NO")_x000D_
}_x000D_
record(calcout, "$(P):RSCN:T_OUT:SYN") {_x000D_
  field(INPA, "$(P):RSCN:T_OUT:RBV PP")_x000D_
  field(INPB, "$(P):RSCN:ST_MONITOR NPP MS")_x000D_
  field(INPC, "$(P):RSCN:ST_MONITOR NPP MS")_x000D_
  field(CALC, "A")_x000D_
  field(OUT, "$(P):RSCN:T_OUT PP MS")_x000D_
  field(PINI, "NO")_x000D_
}_x000D_
#--------------------</v>
      </c>
      <c r="AM113" s="27" t="str">
        <f t="shared" si="91"/>
        <v xml:space="preserve">&lt;item row="31" column="0"&gt;
         &lt;widget class="QLabel" name="L_t_Out"&gt;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&lt;string&gt;t_Out&lt;/string&gt;
          &lt;/property&gt;
          &lt;property name="margin"&gt;
           &lt;number&gt;3&lt;/number&gt;
          &lt;/property&gt;
         &lt;/widget&gt;
        &lt;/item&gt;
&lt;item row="31" column="1"&gt;
         &lt;widget class="QELabel" name="QL_t_Out"&gt;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&lt;string&gt;$(P)$(R):RSCN:T_OUT&lt;/string&gt;
          &lt;/property&gt;
         &lt;/widget&gt;
   &lt;/item&gt;
</v>
      </c>
      <c r="AN113" s="27" t="str">
        <f t="shared" si="92"/>
        <v/>
      </c>
      <c r="AO113" s="27" t="e">
        <f t="shared" si="82"/>
        <v>#N/A</v>
      </c>
      <c r="AP113" s="27" t="str">
        <f t="shared" si="83"/>
        <v xml:space="preserve">SR05ID01FST01:RSCN:T_OUT = </v>
      </c>
      <c r="AQ113" s="27" t="str">
        <f t="shared" si="69"/>
        <v xml:space="preserve">;outer-skip move time[s]epics(map)
#define	tOut	P2043	</v>
      </c>
      <c r="AR113" s="27" t="str">
        <f t="shared" si="84"/>
        <v xml:space="preserve">      &lt;channel&gt;
         &lt;name&gt;SR05ID01FST01:RSCN:T_OUT&lt;/name&gt;
         &lt;period&gt;30&lt;/period&gt;
         &lt;monitor/&gt;
      &lt;/channel&gt;</v>
      </c>
      <c r="AS113" s="12">
        <f t="shared" si="85"/>
        <v>8</v>
      </c>
      <c r="AT113" s="12">
        <f t="shared" si="86"/>
        <v>4</v>
      </c>
      <c r="AU113" s="12">
        <f t="shared" si="87"/>
        <v>4</v>
      </c>
      <c r="AV113" s="12">
        <f t="shared" si="88"/>
        <v>11</v>
      </c>
      <c r="AW113" s="13" t="str">
        <f t="shared" si="89"/>
        <v>P2043</v>
      </c>
      <c r="AX113" s="23" t="str">
        <f t="shared" si="90"/>
        <v>SR05ID01FST01:RSCN:T_OUT</v>
      </c>
    </row>
    <row r="114" spans="2:50" ht="15.75" customHeight="1" x14ac:dyDescent="0.25">
      <c r="B114" s="24" t="str">
        <f t="shared" si="71"/>
        <v>.</v>
      </c>
      <c r="C114" s="32" t="str">
        <f t="shared" si="93"/>
        <v>#define</v>
      </c>
      <c r="D114" s="30" t="s">
        <v>503</v>
      </c>
      <c r="E114" s="23" t="s">
        <v>503</v>
      </c>
      <c r="F114" s="10" t="s">
        <v>421</v>
      </c>
      <c r="G114" s="10" t="s">
        <v>86</v>
      </c>
      <c r="H114" s="10"/>
      <c r="I114" s="11" t="s">
        <v>654</v>
      </c>
      <c r="J114" s="10" t="s">
        <v>39</v>
      </c>
      <c r="K114" s="10" t="s">
        <v>563</v>
      </c>
      <c r="L114" s="10">
        <v>0</v>
      </c>
      <c r="M114" s="10">
        <v>1000</v>
      </c>
      <c r="N114" s="10">
        <v>4</v>
      </c>
      <c r="O114" s="16"/>
      <c r="P114" s="52" t="s">
        <v>563</v>
      </c>
      <c r="Q114" s="52"/>
      <c r="R114" s="52" t="s">
        <v>39</v>
      </c>
      <c r="S114" s="52"/>
      <c r="T114" s="52"/>
      <c r="U114" s="52"/>
      <c r="V114" s="52"/>
      <c r="W114" s="61">
        <v>32</v>
      </c>
      <c r="X114" s="61"/>
      <c r="Y114" s="33" t="s">
        <v>570</v>
      </c>
      <c r="Z114" s="33" t="s">
        <v>368</v>
      </c>
      <c r="AA114" s="33">
        <v>30</v>
      </c>
      <c r="AB114" s="58" t="str">
        <f t="shared" si="72"/>
        <v>epics</v>
      </c>
      <c r="AC114" s="55" t="str">
        <f t="shared" si="73"/>
        <v>map</v>
      </c>
      <c r="AD114" s="29" t="str">
        <f t="shared" si="74"/>
        <v>:T_OVRHD</v>
      </c>
      <c r="AE114" s="27" t="str">
        <f t="shared" si="75"/>
        <v>:RSCN:T_OVRHD</v>
      </c>
      <c r="AF114" s="29" t="str">
        <f t="shared" si="76"/>
        <v>tOvrHd</v>
      </c>
      <c r="AG114" s="27" t="str">
        <f t="shared" si="77"/>
        <v>tOvrHd</v>
      </c>
      <c r="AH114" s="27" t="str">
        <f t="shared" si="78"/>
        <v>$(P):RSCN:ST_MONITOR</v>
      </c>
      <c r="AI114" s="27" t="str">
        <f t="shared" si="79"/>
        <v>$(P):RSCN:ST_NEVER</v>
      </c>
      <c r="AJ114" s="27"/>
      <c r="AK114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4" s="27" t="str">
        <f t="shared" si="81"/>
        <v>_x000D_
# PVs mapping to P2081_x000D_
record(ao, "$(P):RSCN:T_OVRHD") {_x000D_
  field(DESC, "Calculated overhead time per line")_x000D_
  field(OUT, "$(P):RSCN:T_OVRHD:SET PP MS")_x000D_
  field(PINI, "NO")_x000D_
  field(EGU, "s")_x000D_
  field(PREC, "4")  _x000D_
}_x000D_
record(ai, "$(P):RSCN:T_OVRHD:RBV") {_x000D_
  field(DESC, "Calculated overhead time per line readback")_x000D_
  field(DTYP, "stream")_x000D_
  field(FLNK, "$(P):RSCN:T_OVRHD:SYN")_x000D_
  field(INP, "@pmac.proto getVar(P2081) $(PORT)")_x000D_
  field(SDIS, "$(P):RSCN:ST_MONITOR CP MS")_x000D_
  field(DISV, "0")_x000D_
  field(PINI, "NO")_x000D_
  field(DISS, "INVALID")_x000D_
  field(EGU, "s")_x000D_
  field(PREC, "4")  _x000D_
}_x000D_
record(ao, "$(P):RSCN:T_OVRHD:SET") {_x000D_
  field(DTYP, "stream")_x000D_
  field(SDIS, "$(P):RSCN:T_OVRHD:ROL PP MS")_x000D_
  field(OUT, "@pmac.proto setVar(P2081) $(PORT)")_x000D_
  field(PINI, "NO")_x000D_
  field(DISS, "INVALID")_x000D_
}_x000D_
record(calc, "$(P):RSCN:T_OVRHD:ROL") {_x000D_
  field(CALC, "(!B) || A")_x000D_
  field(INPA, "$(P):RSCN:T_OVRHD:SYN.PACT")_x000D_
  field(INPB, "$(P):RSCN:ST_NEVER NPP MS")_x000D_
  field(PINI, "NO")_x000D_
}_x000D_
record(calcout, "$(P):RSCN:T_OVRHD:SYN") {_x000D_
  field(INPA, "$(P):RSCN:T_OVRHD:RBV PP")_x000D_
  field(INPB, "$(P):RSCN:ST_MONITOR NPP MS")_x000D_
  field(INPC, "$(P):RSCN:ST_NEVER NPP MS")_x000D_
  field(CALC, "A")_x000D_
  field(OUT, "$(P):RSCN:T_OVRHD PP MS")_x000D_
  field(PINI, "NO")_x000D_
}_x000D_
#--------------------</v>
      </c>
      <c r="AM114" s="27" t="str">
        <f t="shared" si="91"/>
        <v xml:space="preserve">&lt;item row="32" column="0"&gt;
         &lt;widget class="QLabel" name="L_t_OvrHd"&gt;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&lt;string&gt;t_OvrHd&lt;/string&gt;
          &lt;/property&gt;
          &lt;property name="margin"&gt;
           &lt;number&gt;3&lt;/number&gt;
          &lt;/property&gt;
         &lt;/widget&gt;
        &lt;/item&gt;
&lt;item row="32" column="1"&gt;
         &lt;widget class="QELabel" name="QL_t_OvrHd"&gt;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&lt;string&gt;$(P)$(R):RSCN:T_OVRHD&lt;/string&gt;
          &lt;/property&gt;
         &lt;/widget&gt;
   &lt;/item&gt;
</v>
      </c>
      <c r="AN114" s="27" t="str">
        <f t="shared" si="92"/>
        <v/>
      </c>
      <c r="AO114" s="27" t="e">
        <f t="shared" si="82"/>
        <v>#N/A</v>
      </c>
      <c r="AP114" s="27" t="str">
        <f t="shared" si="83"/>
        <v xml:space="preserve">SR05ID01FST01:RSCN:T_OVRHD = </v>
      </c>
      <c r="AQ114" s="27" t="str">
        <f t="shared" si="69"/>
        <v xml:space="preserve">;Calculated overhead time per line[s]epics(map)
#define	tOvrHd	P2081	</v>
      </c>
      <c r="AR114" s="27" t="str">
        <f t="shared" si="84"/>
        <v xml:space="preserve">      &lt;channel&gt;
         &lt;name&gt;SR05ID01FST01:RSCN:T_OVRHD&lt;/name&gt;
         &lt;period&gt;30&lt;/period&gt;
         &lt;monitor/&gt;
      &lt;/channel&gt;</v>
      </c>
      <c r="AS114" s="12">
        <f t="shared" si="85"/>
        <v>6</v>
      </c>
      <c r="AT114" s="12">
        <f t="shared" si="86"/>
        <v>4</v>
      </c>
      <c r="AU114" s="12">
        <f t="shared" si="87"/>
        <v>6</v>
      </c>
      <c r="AV114" s="12">
        <f t="shared" si="88"/>
        <v>-2</v>
      </c>
      <c r="AW114" s="13" t="str">
        <f t="shared" si="89"/>
        <v>P2081</v>
      </c>
      <c r="AX114" s="23" t="str">
        <f t="shared" si="90"/>
        <v>SR05ID01FST01:RSCN:T_OVRHD</v>
      </c>
    </row>
    <row r="115" spans="2:50" ht="15.75" customHeight="1" x14ac:dyDescent="0.25">
      <c r="B115" s="24" t="str">
        <f t="shared" si="71"/>
        <v>.</v>
      </c>
      <c r="C115" s="32" t="str">
        <f t="shared" si="93"/>
        <v>#define</v>
      </c>
      <c r="D115" s="31"/>
      <c r="E115" s="25" t="s">
        <v>496</v>
      </c>
      <c r="F115" s="10" t="s">
        <v>379</v>
      </c>
      <c r="G115" s="10" t="s">
        <v>86</v>
      </c>
      <c r="H115" s="10"/>
      <c r="I115" s="11" t="s">
        <v>633</v>
      </c>
      <c r="J115" s="10" t="s">
        <v>39</v>
      </c>
      <c r="K115" s="10" t="s">
        <v>566</v>
      </c>
      <c r="L115" s="10">
        <v>-9999999</v>
      </c>
      <c r="M115" s="10">
        <v>9999999</v>
      </c>
      <c r="N115" s="10">
        <v>3</v>
      </c>
      <c r="O115" s="16"/>
      <c r="P115" s="52" t="s">
        <v>39</v>
      </c>
      <c r="Q115" s="52"/>
      <c r="R115" s="52"/>
      <c r="S115" s="52" t="s">
        <v>39</v>
      </c>
      <c r="T115" s="52" t="s">
        <v>563</v>
      </c>
      <c r="U115" s="52"/>
      <c r="V115" s="52"/>
      <c r="W115" s="61"/>
      <c r="X115" s="61">
        <v>16</v>
      </c>
      <c r="Y115" s="33" t="s">
        <v>570</v>
      </c>
      <c r="Z115" s="33" t="s">
        <v>571</v>
      </c>
      <c r="AA115" s="33">
        <v>30</v>
      </c>
      <c r="AB115" s="58" t="str">
        <f t="shared" si="72"/>
        <v>epics</v>
      </c>
      <c r="AC115" s="55" t="str">
        <f t="shared" si="73"/>
        <v>map</v>
      </c>
      <c r="AD115" s="29" t="str">
        <f t="shared" si="74"/>
        <v>:</v>
      </c>
      <c r="AE115" s="27" t="str">
        <f t="shared" si="75"/>
        <v>:RSCN:V1_DIFF</v>
      </c>
      <c r="AF115" s="29" t="str">
        <f t="shared" si="76"/>
        <v/>
      </c>
      <c r="AG115" s="27" t="str">
        <f t="shared" si="77"/>
        <v>v1Diff</v>
      </c>
      <c r="AH115" s="27" t="str">
        <f t="shared" si="78"/>
        <v>$(P):RSCN:ST_MONITOR</v>
      </c>
      <c r="AI115" s="27" t="str">
        <f t="shared" si="79"/>
        <v>$(P):RSCN:ST_TRAJSET</v>
      </c>
      <c r="AJ115" s="27"/>
      <c r="AK115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5" s="27" t="str">
        <f t="shared" si="81"/>
        <v>_x000D_
# PVs mapping to P2008_x000D_
record(ao, "$(P):RSCN:V1_DIFF") {_x000D_
  field(DESC, "Fly axis scan velocity delta")_x000D_
  field(OUT, "$(P):RSCN:V1_DIFF:SET PP MS")_x000D_
  field(PINI, "NO")_x000D_
  field(EGU, "EGU/s")_x000D_
  field(PREC, "3")  _x000D_
}_x000D_
record(ai, "$(P):RSCN:V1_DIFF:RBV") {_x000D_
  field(DESC, "Fly axis scan velocity delta readback")_x000D_
  field(DTYP, "stream")_x000D_
  field(FLNK, "$(P):RSCN:V1_DIFF:SYN")_x000D_
  field(INP, "@pmac.proto getVar(P2008) $(PORT)")_x000D_
  field(SDIS, "$(P):RSCN:ST_MONITOR CP MS")_x000D_
  field(DISV, "0")_x000D_
  field(PINI, "NO")_x000D_
  field(DISS, "INVALID")_x000D_
  field(EGU, "EGU/s")_x000D_
  field(PREC, "3")  _x000D_
}_x000D_
record(ao, "$(P):RSCN:V1_DIFF:SET") {_x000D_
  field(DTYP, "stream")_x000D_
  field(SDIS, "$(P):RSCN:V1_DIFF:ROL PP MS")_x000D_
  field(OUT, "@pmac.proto setVar(P2008) $(PORT)")_x000D_
  field(PINI, "NO")_x000D_
  field(DISS, "INVALID")_x000D_
}_x000D_
record(calc, "$(P):RSCN:V1_DIFF:ROL") {_x000D_
  field(CALC, "(!B) || A")_x000D_
  field(INPA, "$(P):RSCN:V1_DIFF:SYN.PACT")_x000D_
  field(INPB, "$(P):RSCN:ST_TRAJSET NPP MS")_x000D_
  field(PINI, "NO")_x000D_
}_x000D_
record(calcout, "$(P):RSCN:V1_DIFF:SYN") {_x000D_
  field(INPA, "$(P):RSCN:V1_DIFF:RBV PP")_x000D_
  field(INPB, "$(P):RSCN:ST_MONITOR NPP MS")_x000D_
  field(INPC, "$(P):RSCN:ST_TRAJSET NPP MS")_x000D_
  field(CALC, "A")_x000D_
  field(OUT, "$(P):RSCN:V1_DIFF PP MS")_x000D_
  field(PINI, "NO")_x000D_
}_x000D_
#--------------------</v>
      </c>
      <c r="AM115" s="27" t="str">
        <f t="shared" si="91"/>
        <v/>
      </c>
      <c r="AN115" s="27" t="str">
        <f t="shared" si="92"/>
        <v xml:space="preserve">&lt;item row="16" column="0"&gt;
         &lt;widget class="QLabel" name="L_v1_Diff"&gt;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&lt;string&gt;v1_Diff&lt;/string&gt;
          &lt;/property&gt;
          &lt;property name="margin"&gt;
           &lt;number&gt;3&lt;/number&gt;
          &lt;/property&gt;
         &lt;/widget&gt;
        &lt;/item&gt;
&lt;item row="16" column="1"&gt;
         &lt;widget class="QELabel" name="QL_v1_Diff"&gt;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&lt;string&gt;$(P)$(R):RSCN:V1_DIFF&lt;/string&gt;
          &lt;/property&gt;
         &lt;/widget&gt;
   &lt;/item&gt;
</v>
      </c>
      <c r="AO115" s="27" t="e">
        <f t="shared" si="82"/>
        <v>#N/A</v>
      </c>
      <c r="AP115" s="27" t="str">
        <f t="shared" si="83"/>
        <v xml:space="preserve">SR05ID01FST01:RSCN:V1_DIFF = </v>
      </c>
      <c r="AQ115" s="27" t="str">
        <f t="shared" si="69"/>
        <v xml:space="preserve">;Fly axis scan velocity delta[EGU/s]epics(map)
#define	v1Diff	P2008	</v>
      </c>
      <c r="AR115" s="27" t="str">
        <f t="shared" si="84"/>
        <v xml:space="preserve">      &lt;channel&gt;
         &lt;name&gt;SR05ID01FST01:RSCN:V1_DIFF&lt;/name&gt;
         &lt;period&gt;30&lt;/period&gt;
         &lt;monitor/&gt;
      &lt;/channel&gt;</v>
      </c>
      <c r="AS115" s="12">
        <f t="shared" si="85"/>
        <v>6</v>
      </c>
      <c r="AT115" s="12">
        <f t="shared" si="86"/>
        <v>4</v>
      </c>
      <c r="AU115" s="12">
        <f t="shared" si="87"/>
        <v>4</v>
      </c>
      <c r="AV115" s="12">
        <f t="shared" si="88"/>
        <v>3</v>
      </c>
      <c r="AW115" s="13" t="str">
        <f t="shared" si="89"/>
        <v>P2008</v>
      </c>
      <c r="AX115" s="23" t="str">
        <f t="shared" si="90"/>
        <v>SR05ID01FST01:RSCN:V1_DIFF</v>
      </c>
    </row>
    <row r="116" spans="2:50" ht="15.75" customHeight="1" x14ac:dyDescent="0.25">
      <c r="B116" s="24" t="str">
        <f t="shared" si="71"/>
        <v>.</v>
      </c>
      <c r="C116" s="32" t="str">
        <f t="shared" si="93"/>
        <v>#define</v>
      </c>
      <c r="D116" s="30" t="s">
        <v>487</v>
      </c>
      <c r="E116" s="23" t="s">
        <v>487</v>
      </c>
      <c r="F116" s="10" t="s">
        <v>408</v>
      </c>
      <c r="G116" s="10" t="s">
        <v>86</v>
      </c>
      <c r="H116" s="10"/>
      <c r="I116" s="11" t="s">
        <v>550</v>
      </c>
      <c r="J116" s="10" t="s">
        <v>39</v>
      </c>
      <c r="K116" s="10" t="s">
        <v>566</v>
      </c>
      <c r="L116" s="10">
        <v>-9999999</v>
      </c>
      <c r="M116" s="10">
        <v>9999999</v>
      </c>
      <c r="N116" s="10">
        <v>3</v>
      </c>
      <c r="O116" s="16"/>
      <c r="P116" s="52" t="s">
        <v>563</v>
      </c>
      <c r="Q116" s="52"/>
      <c r="R116" s="52"/>
      <c r="S116" s="52" t="s">
        <v>39</v>
      </c>
      <c r="T116" s="52"/>
      <c r="U116" s="52"/>
      <c r="V116" s="52"/>
      <c r="W116" s="61"/>
      <c r="X116" s="61">
        <v>17</v>
      </c>
      <c r="Y116" s="33" t="s">
        <v>570</v>
      </c>
      <c r="Z116" s="33" t="s">
        <v>368</v>
      </c>
      <c r="AA116" s="33">
        <v>30</v>
      </c>
      <c r="AB116" s="58" t="str">
        <f t="shared" si="72"/>
        <v>epics</v>
      </c>
      <c r="AC116" s="55" t="str">
        <f t="shared" si="73"/>
        <v>map</v>
      </c>
      <c r="AD116" s="29" t="str">
        <f t="shared" si="74"/>
        <v>:V1_OUT</v>
      </c>
      <c r="AE116" s="27" t="str">
        <f t="shared" si="75"/>
        <v>:RSCN:V1_OUT</v>
      </c>
      <c r="AF116" s="29" t="str">
        <f t="shared" si="76"/>
        <v>v1Out</v>
      </c>
      <c r="AG116" s="27" t="str">
        <f t="shared" si="77"/>
        <v>v1Out</v>
      </c>
      <c r="AH116" s="27" t="str">
        <f t="shared" si="78"/>
        <v>$(P):RSCN:ST_MONITOR</v>
      </c>
      <c r="AI116" s="27" t="str">
        <f t="shared" si="79"/>
        <v>$(P):RSCN:ST_NEVER</v>
      </c>
      <c r="AJ116" s="27"/>
      <c r="AK116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6" s="27" t="str">
        <f t="shared" si="81"/>
        <v>_x000D_
# PVs mapping to P2061_x000D_
record(ao, "$(P):RSCN:V1_OUT") {_x000D_
  field(DESC, "Fly axis line exit velocity")_x000D_
  field(OUT, "$(P):RSCN:V1_OUT:SET PP MS")_x000D_
  field(PINI, "NO")_x000D_
  field(EGU, "EGU/s")_x000D_
  field(PREC, "3")  _x000D_
}_x000D_
record(ai, "$(P):RSCN:V1_OUT:RBV") {_x000D_
  field(DESC, "Fly axis line exit velocity readback")_x000D_
  field(DTYP, "stream")_x000D_
  field(FLNK, "$(P):RSCN:V1_OUT:SYN")_x000D_
  field(INP, "@pmac.proto getVar(P2061) $(PORT)")_x000D_
  field(SDIS, "$(P):RSCN:ST_MONITOR CP MS")_x000D_
  field(DISV, "0")_x000D_
  field(PINI, "NO")_x000D_
  field(DISS, "INVALID")_x000D_
  field(EGU, "EGU/s")_x000D_
  field(PREC, "3")  _x000D_
}_x000D_
record(ao, "$(P):RSCN:V1_OUT:SET") {_x000D_
  field(DTYP, "stream")_x000D_
  field(SDIS, "$(P):RSCN:V1_OUT:ROL PP MS")_x000D_
  field(OUT, "@pmac.proto setVar(P2061) $(PORT)")_x000D_
  field(PINI, "NO")_x000D_
  field(DISS, "INVALID")_x000D_
}_x000D_
record(calc, "$(P):RSCN:V1_OUT:ROL") {_x000D_
  field(CALC, "(!B) || A")_x000D_
  field(INPA, "$(P):RSCN:V1_OUT:SYN.PACT")_x000D_
  field(INPB, "$(P):RSCN:ST_NEVER NPP MS")_x000D_
  field(PINI, "NO")_x000D_
}_x000D_
record(calcout, "$(P):RSCN:V1_OUT:SYN") {_x000D_
  field(INPA, "$(P):RSCN:V1_OUT:RBV PP")_x000D_
  field(INPB, "$(P):RSCN:ST_MONITOR NPP MS")_x000D_
  field(INPC, "$(P):RSCN:ST_NEVER NPP MS")_x000D_
  field(CALC, "A")_x000D_
  field(OUT, "$(P):RSCN:V1_OUT PP MS")_x000D_
  field(PINI, "NO")_x000D_
}_x000D_
#--------------------</v>
      </c>
      <c r="AM116" s="27" t="str">
        <f t="shared" si="91"/>
        <v/>
      </c>
      <c r="AN116" s="27" t="str">
        <f t="shared" si="92"/>
        <v xml:space="preserve">&lt;item row="17" column="0"&gt;
         &lt;widget class="QLabel" name="L_v1_Out"&gt;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&lt;string&gt;v1_Out&lt;/string&gt;
          &lt;/property&gt;
          &lt;property name="margin"&gt;
           &lt;number&gt;3&lt;/number&gt;
          &lt;/property&gt;
         &lt;/widget&gt;
        &lt;/item&gt;
&lt;item row="17" column="1"&gt;
         &lt;widget class="QELabel" name="QL_v1_Out"&gt;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&lt;string&gt;$(P)$(R):RSCN:V1_OUT&lt;/string&gt;
          &lt;/property&gt;
         &lt;/widget&gt;
   &lt;/item&gt;
</v>
      </c>
      <c r="AO116" s="27" t="e">
        <f t="shared" si="82"/>
        <v>#N/A</v>
      </c>
      <c r="AP116" s="27" t="str">
        <f t="shared" si="83"/>
        <v xml:space="preserve">SR05ID01FST01:RSCN:V1_OUT = </v>
      </c>
      <c r="AQ116" s="27" t="str">
        <f t="shared" si="69"/>
        <v xml:space="preserve">;Fly axis line exit velocity[EGU/s]epics(map)
#define	v1Out	P2061	</v>
      </c>
      <c r="AR116" s="27" t="str">
        <f t="shared" si="84"/>
        <v xml:space="preserve">      &lt;channel&gt;
         &lt;name&gt;SR05ID01FST01:RSCN:V1_OUT&lt;/name&gt;
         &lt;period&gt;30&lt;/period&gt;
         &lt;monitor/&gt;
      &lt;/channel&gt;</v>
      </c>
      <c r="AS116" s="12">
        <f t="shared" si="85"/>
        <v>7</v>
      </c>
      <c r="AT116" s="12">
        <f t="shared" si="86"/>
        <v>4</v>
      </c>
      <c r="AU116" s="12">
        <f t="shared" si="87"/>
        <v>6</v>
      </c>
      <c r="AV116" s="12">
        <f t="shared" si="88"/>
        <v>4</v>
      </c>
      <c r="AW116" s="13" t="str">
        <f t="shared" si="89"/>
        <v>P2061</v>
      </c>
      <c r="AX116" s="23" t="str">
        <f t="shared" si="90"/>
        <v>SR05ID01FST01:RSCN:V1_OUT</v>
      </c>
    </row>
    <row r="117" spans="2:50" ht="15.75" customHeight="1" x14ac:dyDescent="0.25">
      <c r="B117" s="24" t="str">
        <f t="shared" si="71"/>
        <v>.</v>
      </c>
      <c r="C117" s="32" t="str">
        <f t="shared" si="93"/>
        <v>#define</v>
      </c>
      <c r="D117" s="31" t="s">
        <v>458</v>
      </c>
      <c r="E117" s="25" t="s">
        <v>458</v>
      </c>
      <c r="F117" s="10" t="s">
        <v>378</v>
      </c>
      <c r="G117" s="10" t="s">
        <v>86</v>
      </c>
      <c r="H117" s="10"/>
      <c r="I117" s="11" t="s">
        <v>537</v>
      </c>
      <c r="J117" s="10" t="s">
        <v>561</v>
      </c>
      <c r="K117" s="10" t="s">
        <v>566</v>
      </c>
      <c r="L117" s="10">
        <v>-9999999</v>
      </c>
      <c r="M117" s="10">
        <v>9999999</v>
      </c>
      <c r="N117" s="10">
        <v>3</v>
      </c>
      <c r="O117" s="16"/>
      <c r="P117" s="52" t="s">
        <v>39</v>
      </c>
      <c r="Q117" s="52"/>
      <c r="R117" s="52" t="s">
        <v>563</v>
      </c>
      <c r="S117" s="52"/>
      <c r="T117" s="52" t="s">
        <v>39</v>
      </c>
      <c r="U117" s="52"/>
      <c r="V117" s="52"/>
      <c r="W117" s="61">
        <v>33</v>
      </c>
      <c r="X117" s="61"/>
      <c r="Y117" s="33" t="s">
        <v>570</v>
      </c>
      <c r="Z117" s="33" t="s">
        <v>571</v>
      </c>
      <c r="AA117" s="33">
        <v>30</v>
      </c>
      <c r="AB117" s="58" t="str">
        <f t="shared" si="72"/>
        <v>epics</v>
      </c>
      <c r="AC117" s="55" t="str">
        <f t="shared" si="73"/>
        <v>map</v>
      </c>
      <c r="AD117" s="29" t="str">
        <f t="shared" si="74"/>
        <v>:V1_SCAN</v>
      </c>
      <c r="AE117" s="27" t="str">
        <f t="shared" si="75"/>
        <v>:RSCN:V1_SCAN</v>
      </c>
      <c r="AF117" s="29" t="str">
        <f t="shared" si="76"/>
        <v>v1Scan</v>
      </c>
      <c r="AG117" s="27" t="str">
        <f t="shared" si="77"/>
        <v>v1Scan</v>
      </c>
      <c r="AH117" s="27" t="str">
        <f t="shared" si="78"/>
        <v>$(P):RSCN:ST_MONITOR</v>
      </c>
      <c r="AI117" s="27" t="str">
        <f t="shared" si="79"/>
        <v>$(P):RSCN:ST_TRAJSET</v>
      </c>
      <c r="AJ117" s="27"/>
      <c r="AK117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7" s="27" t="str">
        <f t="shared" si="81"/>
        <v>_x000D_
# PVs mapping to P2007_x000D_
record(ao, "$(P):RSCN:V1_SCAN") {_x000D_
  field(DESC, "Fly axis line scan velocity")_x000D_
  field(OUT, "$(P):RSCN:V1_SCAN:SET PP MS")_x000D_
  field(PINI, "NO")_x000D_
  field(EGU, "EGU/s")_x000D_
  field(PREC, "3")  _x000D_
}_x000D_
record(ai, "$(P):RSCN:V1_SCAN:RBV") {_x000D_
  field(DESC, "Fly axis line scan velocity readback")_x000D_
  field(DTYP, "stream")_x000D_
  field(FLNK, "$(P):RSCN:V1_SCAN:SYN")_x000D_
  field(INP, "@pmac.proto getVar(P2007) $(PORT)")_x000D_
  field(SDIS, "$(P):RSCN:ST_MONITOR CP MS")_x000D_
  field(DISV, "0")_x000D_
  field(PINI, "NO")_x000D_
  field(DISS, "INVALID")_x000D_
  field(EGU, "EGU/s")_x000D_
  field(PREC, "3")  _x000D_
}_x000D_
record(ao, "$(P):RSCN:V1_SCAN:SET") {_x000D_
  field(DTYP, "stream")_x000D_
  field(SDIS, "$(P):RSCN:V1_SCAN:ROL PP MS")_x000D_
  field(OUT, "@pmac.proto setVar(P2007) $(PORT)")_x000D_
  field(PINI, "NO")_x000D_
  field(DISS, "INVALID")_x000D_
}_x000D_
record(calc, "$(P):RSCN:V1_SCAN:ROL") {_x000D_
  field(CALC, "(!B) || A")_x000D_
  field(INPA, "$(P):RSCN:V1_SCAN:SYN.PACT")_x000D_
  field(INPB, "$(P):RSCN:ST_TRAJSET NPP MS")_x000D_
  field(PINI, "NO")_x000D_
}_x000D_
record(calcout, "$(P):RSCN:V1_SCAN:SYN") {_x000D_
  field(INPA, "$(P):RSCN:V1_SCAN:RBV PP")_x000D_
  field(INPB, "$(P):RSCN:ST_MONITOR NPP MS")_x000D_
  field(INPC, "$(P):RSCN:ST_TRAJSET NPP MS")_x000D_
  field(CALC, "A")_x000D_
  field(OUT, "$(P):RSCN:V1_SCAN PP MS")_x000D_
  field(PINI, "NO")_x000D_
}_x000D_
#--------------------</v>
      </c>
      <c r="AM117" s="27" t="str">
        <f t="shared" si="91"/>
        <v>&lt;item row="33" column="0"&gt;
         &lt;widget class="QLabel" name="L_v1_Scan"&gt;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&lt;string&gt;v1_Scan&lt;/string&gt;
          &lt;/property&gt;
          &lt;property name="margin"&gt;
           &lt;number&gt;3&lt;/number&gt;
          &lt;/property&gt;
         &lt;/widget&gt;
        &lt;/item&gt;
&lt;item row="33" column="2"&gt;
            &lt;widget class="QELineEdit" name="QLD_v1_Scan"&gt;
             &lt;property name="variable" stdset="0"&gt;
              &lt;string&gt;$(P)$(R):RSCN:V1_SCAN&lt;/string&gt;
             &lt;/property&gt;
             &lt;property name="addUnits"&gt;
             &lt;bool&gt;true&lt;/bool&gt;
             &lt;/property&gt;
            &lt;/widget&gt;
           &lt;/item&gt;</v>
      </c>
      <c r="AN117" s="27" t="str">
        <f t="shared" si="92"/>
        <v/>
      </c>
      <c r="AO117" s="27" t="e">
        <f t="shared" si="82"/>
        <v>#N/A</v>
      </c>
      <c r="AP117" s="27" t="str">
        <f t="shared" si="83"/>
        <v xml:space="preserve">SR05ID01FST01:RSCN:V1_SCAN = </v>
      </c>
      <c r="AQ117" s="27" t="str">
        <f t="shared" si="69"/>
        <v xml:space="preserve">;Fly axis line scan velocity[EGU/s]epics(map)
#define	v1Scan	P2007	</v>
      </c>
      <c r="AR117" s="27" t="str">
        <f t="shared" si="84"/>
        <v xml:space="preserve">      &lt;channel&gt;
         &lt;name&gt;SR05ID01FST01:RSCN:V1_SCAN&lt;/name&gt;
         &lt;period&gt;30&lt;/period&gt;
         &lt;monitor/&gt;
      &lt;/channel&gt;</v>
      </c>
      <c r="AS117" s="12">
        <f t="shared" si="85"/>
        <v>6</v>
      </c>
      <c r="AT117" s="12">
        <f t="shared" si="86"/>
        <v>4</v>
      </c>
      <c r="AU117" s="12">
        <f t="shared" si="87"/>
        <v>4</v>
      </c>
      <c r="AV117" s="12">
        <f t="shared" si="88"/>
        <v>4</v>
      </c>
      <c r="AW117" s="13" t="str">
        <f t="shared" si="89"/>
        <v>P2007</v>
      </c>
      <c r="AX117" s="23" t="str">
        <f t="shared" si="90"/>
        <v>SR05ID01FST01:RSCN:V1_SCAN</v>
      </c>
    </row>
    <row r="118" spans="2:50" ht="15.75" customHeight="1" x14ac:dyDescent="0.25">
      <c r="B118" s="24" t="str">
        <f t="shared" si="71"/>
        <v>.</v>
      </c>
      <c r="C118" s="32" t="str">
        <f t="shared" si="93"/>
        <v>;</v>
      </c>
      <c r="D118" s="30"/>
      <c r="E118" s="23" t="s">
        <v>520</v>
      </c>
      <c r="F118" s="10" t="s">
        <v>45</v>
      </c>
      <c r="G118" s="10" t="s">
        <v>86</v>
      </c>
      <c r="H118" s="10">
        <v>0</v>
      </c>
      <c r="I118" s="11" t="s">
        <v>617</v>
      </c>
      <c r="J118" s="10" t="s">
        <v>562</v>
      </c>
      <c r="K118" s="10" t="s">
        <v>566</v>
      </c>
      <c r="L118" s="10">
        <v>-9999999</v>
      </c>
      <c r="M118" s="10">
        <v>9999999</v>
      </c>
      <c r="N118" s="10">
        <v>3</v>
      </c>
      <c r="O118" s="16"/>
      <c r="P118" s="52"/>
      <c r="Q118" s="52"/>
      <c r="R118" s="52" t="s">
        <v>563</v>
      </c>
      <c r="S118" s="52"/>
      <c r="T118" s="52" t="s">
        <v>39</v>
      </c>
      <c r="U118" s="52"/>
      <c r="V118" s="52"/>
      <c r="W118" s="61">
        <v>34</v>
      </c>
      <c r="X118" s="61"/>
      <c r="Z118" s="33" t="s">
        <v>571</v>
      </c>
      <c r="AA118" s="33">
        <v>30</v>
      </c>
      <c r="AB118" s="58" t="str">
        <f t="shared" si="72"/>
        <v>epics</v>
      </c>
      <c r="AC118" s="55" t="str">
        <f t="shared" si="73"/>
        <v>nmp</v>
      </c>
      <c r="AD118" s="29" t="str">
        <f t="shared" si="74"/>
        <v>:</v>
      </c>
      <c r="AE118" s="27" t="str">
        <f t="shared" si="75"/>
        <v>:RSCN:V1_TOLRATIO</v>
      </c>
      <c r="AF118" s="29" t="str">
        <f t="shared" si="76"/>
        <v/>
      </c>
      <c r="AG118" s="27" t="str">
        <f t="shared" si="77"/>
        <v>v1TolRatio</v>
      </c>
      <c r="AH118" s="27" t="str">
        <f t="shared" si="78"/>
        <v>$(P):RSCN:</v>
      </c>
      <c r="AI118" s="27" t="str">
        <f t="shared" si="79"/>
        <v>$(P):RSCN:ST_TRAJSET</v>
      </c>
      <c r="AJ118" s="27"/>
      <c r="AK118" s="27" t="str">
        <f t="shared" si="80"/>
        <v># non-mapped PV
record(ai, "$(P)$(Q)") {
  field(DESC, "$(DESC)")
  field(PINI, "YES")
  field(EGU, "$(EGU)")
  field(PREC, "$(PREC)")
  field(VAL,"$(DEFAULT)")
  field(SDIS, "$(SetSB) CP MS")
  field(DISV, "0")
  field(DISS, "INVALID")
}
#--------------</v>
      </c>
      <c r="AL118" s="27" t="str">
        <f t="shared" si="81"/>
        <v># non-mapped PV
record(ai, "$(P):RSCN:V1_TOLRATIO") {
  field(DESC, "Fly vel scan tolerance ratio")
  field(PINI, "YES")
  field(EGU, "EGU/s")
  field(PREC, "3")
  field(VAL,"0")
  field(SDIS, "$(P):RSCN:ST_TRAJSET CP MS")
  field(DISV, "0")
  field(DISS, "INVALID")
}
#--------------</v>
      </c>
      <c r="AM118" s="27" t="str">
        <f t="shared" si="91"/>
        <v>&lt;item row="34" column="0"&gt;
         &lt;widget class="QLabel" name="L_v1_TolRatio"&gt;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&lt;string&gt;v1_TolRatio&lt;/string&gt;
          &lt;/property&gt;
          &lt;property name="margin"&gt;
           &lt;number&gt;3&lt;/number&gt;
          &lt;/property&gt;
         &lt;/widget&gt;
        &lt;/item&gt;
&lt;item row="34" column="2"&gt;
            &lt;widget class="QELineEdit" name="QLD_v1_TolRatio"&gt;
             &lt;property name="variable" stdset="0"&gt;
              &lt;string&gt;$(P)$(R):RSCN:V1_TOLRATIO&lt;/string&gt;
             &lt;/property&gt;
             &lt;property name="addUnits"&gt;
             &lt;bool&gt;true&lt;/bool&gt;
             &lt;/property&gt;
            &lt;/widget&gt;
           &lt;/item&gt;</v>
      </c>
      <c r="AN118" s="27" t="str">
        <f t="shared" si="92"/>
        <v/>
      </c>
      <c r="AO118" s="27" t="e">
        <f t="shared" si="82"/>
        <v>#N/A</v>
      </c>
      <c r="AP118" s="27" t="str">
        <f t="shared" si="83"/>
        <v xml:space="preserve">SR05ID01FST01:RSCN:V1_TOLRATIO = </v>
      </c>
      <c r="AQ118" s="27" t="str">
        <f t="shared" si="69"/>
        <v/>
      </c>
      <c r="AR118" s="27" t="str">
        <f t="shared" si="84"/>
        <v xml:space="preserve">      &lt;channel&gt;
         &lt;name&gt;SR05ID01FST01:RSCN:V1_TOLRATIO&lt;/name&gt;
         &lt;period&gt;30&lt;/period&gt;
         &lt;monitor/&gt;
      &lt;/channel&gt;</v>
      </c>
      <c r="AS118" s="12">
        <f t="shared" si="85"/>
        <v>2</v>
      </c>
      <c r="AT118" s="12">
        <f t="shared" si="86"/>
        <v>14</v>
      </c>
      <c r="AU118" s="12">
        <f t="shared" si="87"/>
        <v>4</v>
      </c>
      <c r="AV118" s="12">
        <f t="shared" si="88"/>
        <v>3</v>
      </c>
      <c r="AW118" s="13" t="str">
        <f t="shared" si="89"/>
        <v>none</v>
      </c>
      <c r="AX118" s="23" t="str">
        <f t="shared" si="90"/>
        <v>SR05ID01FST01:RSCN:V1_TOLRATIO</v>
      </c>
    </row>
    <row r="119" spans="2:50" ht="15.75" customHeight="1" x14ac:dyDescent="0.25">
      <c r="B119" s="24" t="str">
        <f t="shared" si="71"/>
        <v>.</v>
      </c>
      <c r="C119" s="32" t="str">
        <f t="shared" si="93"/>
        <v>#define</v>
      </c>
      <c r="D119" s="31" t="s">
        <v>473</v>
      </c>
      <c r="E119" s="25" t="s">
        <v>473</v>
      </c>
      <c r="F119" s="10" t="s">
        <v>394</v>
      </c>
      <c r="G119" s="10" t="s">
        <v>86</v>
      </c>
      <c r="H119" s="10"/>
      <c r="I119" s="11" t="s">
        <v>630</v>
      </c>
      <c r="J119" s="10" t="s">
        <v>39</v>
      </c>
      <c r="K119" s="10" t="s">
        <v>566</v>
      </c>
      <c r="L119" s="10">
        <v>-9999999</v>
      </c>
      <c r="M119" s="10">
        <v>9999999</v>
      </c>
      <c r="N119" s="10">
        <v>3</v>
      </c>
      <c r="O119" s="16"/>
      <c r="P119" s="52" t="s">
        <v>563</v>
      </c>
      <c r="Q119" s="52"/>
      <c r="R119" s="52"/>
      <c r="S119" s="52" t="s">
        <v>39</v>
      </c>
      <c r="T119" s="52"/>
      <c r="U119" s="52"/>
      <c r="V119" s="52"/>
      <c r="W119" s="61"/>
      <c r="X119" s="61">
        <v>18</v>
      </c>
      <c r="Y119" s="33" t="s">
        <v>570</v>
      </c>
      <c r="Z119" s="33" t="s">
        <v>368</v>
      </c>
      <c r="AA119" s="33">
        <v>30</v>
      </c>
      <c r="AB119" s="58" t="str">
        <f t="shared" si="72"/>
        <v>epics</v>
      </c>
      <c r="AC119" s="55" t="str">
        <f t="shared" si="73"/>
        <v>map</v>
      </c>
      <c r="AD119" s="29" t="str">
        <f t="shared" si="74"/>
        <v>:V2_IN</v>
      </c>
      <c r="AE119" s="27" t="str">
        <f t="shared" si="75"/>
        <v>:RSCN:V2_IN</v>
      </c>
      <c r="AF119" s="29" t="str">
        <f t="shared" si="76"/>
        <v>v2In</v>
      </c>
      <c r="AG119" s="27" t="str">
        <f t="shared" si="77"/>
        <v>v2In</v>
      </c>
      <c r="AH119" s="27" t="str">
        <f t="shared" si="78"/>
        <v>$(P):RSCN:ST_MONITOR</v>
      </c>
      <c r="AI119" s="27" t="str">
        <f t="shared" si="79"/>
        <v>$(P):RSCN:ST_NEVER</v>
      </c>
      <c r="AJ119" s="27"/>
      <c r="AK119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19" s="27" t="str">
        <f t="shared" si="81"/>
        <v>_x000D_
# PVs mapping to P2047_x000D_
record(ao, "$(P):RSCN:V2_IN") {_x000D_
  field(DESC, "Inc. axis line exit velocity")_x000D_
  field(OUT, "$(P):RSCN:V2_IN:SET PP MS")_x000D_
  field(PINI, "NO")_x000D_
  field(EGU, "EGU/s")_x000D_
  field(PREC, "3")  _x000D_
}_x000D_
record(ai, "$(P):RSCN:V2_IN:RBV") {_x000D_
  field(DESC, "Inc. axis line exit velocity readback")_x000D_
  field(DTYP, "stream")_x000D_
  field(FLNK, "$(P):RSCN:V2_IN:SYN")_x000D_
  field(INP, "@pmac.proto getVar(P2047) $(PORT)")_x000D_
  field(SDIS, "$(P):RSCN:ST_MONITOR CP MS")_x000D_
  field(DISV, "0")_x000D_
  field(PINI, "NO")_x000D_
  field(DISS, "INVALID")_x000D_
  field(EGU, "EGU/s")_x000D_
  field(PREC, "3")  _x000D_
}_x000D_
record(ao, "$(P):RSCN:V2_IN:SET") {_x000D_
  field(DTYP, "stream")_x000D_
  field(SDIS, "$(P):RSCN:V2_IN:ROL PP MS")_x000D_
  field(OUT, "@pmac.proto setVar(P2047) $(PORT)")_x000D_
  field(PINI, "NO")_x000D_
  field(DISS, "INVALID")_x000D_
}_x000D_
record(calc, "$(P):RSCN:V2_IN:ROL") {_x000D_
  field(CALC, "(!B) || A")_x000D_
  field(INPA, "$(P):RSCN:V2_IN:SYN.PACT")_x000D_
  field(INPB, "$(P):RSCN:ST_NEVER NPP MS")_x000D_
  field(PINI, "NO")_x000D_
}_x000D_
record(calcout, "$(P):RSCN:V2_IN:SYN") {_x000D_
  field(INPA, "$(P):RSCN:V2_IN:RBV PP")_x000D_
  field(INPB, "$(P):RSCN:ST_MONITOR NPP MS")_x000D_
  field(INPC, "$(P):RSCN:ST_NEVER NPP MS")_x000D_
  field(CALC, "A")_x000D_
  field(OUT, "$(P):RSCN:V2_IN PP MS")_x000D_
  field(PINI, "NO")_x000D_
}_x000D_
#--------------------</v>
      </c>
      <c r="AM119" s="27" t="str">
        <f t="shared" si="91"/>
        <v/>
      </c>
      <c r="AN119" s="27" t="str">
        <f t="shared" si="92"/>
        <v xml:space="preserve">&lt;item row="18" column="0"&gt;
         &lt;widget class="QLabel" name="L_v2_In"&gt;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&lt;string&gt;v2_In&lt;/string&gt;
          &lt;/property&gt;
          &lt;property name="margin"&gt;
           &lt;number&gt;3&lt;/number&gt;
          &lt;/property&gt;
         &lt;/widget&gt;
        &lt;/item&gt;
&lt;item row="18" column="1"&gt;
         &lt;widget class="QELabel" name="QL_v2_In"&gt;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&lt;string&gt;$(P)$(R):RSCN:V2_IN&lt;/string&gt;
          &lt;/property&gt;
         &lt;/widget&gt;
   &lt;/item&gt;
</v>
      </c>
      <c r="AO119" s="27" t="e">
        <f t="shared" si="82"/>
        <v>#N/A</v>
      </c>
      <c r="AP119" s="27" t="str">
        <f t="shared" si="83"/>
        <v xml:space="preserve">SR05ID01FST01:RSCN:V2_IN = </v>
      </c>
      <c r="AQ119" s="27" t="str">
        <f t="shared" si="69"/>
        <v xml:space="preserve">;Inc. axis line exit velocity[EGU/s]epics(map)
#define	v2In	P2047	</v>
      </c>
      <c r="AR119" s="27" t="str">
        <f t="shared" si="84"/>
        <v xml:space="preserve">      &lt;channel&gt;
         &lt;name&gt;SR05ID01FST01:RSCN:V2_IN&lt;/name&gt;
         &lt;period&gt;30&lt;/period&gt;
         &lt;monitor/&gt;
      &lt;/channel&gt;</v>
      </c>
      <c r="AS119" s="12">
        <f t="shared" si="85"/>
        <v>8</v>
      </c>
      <c r="AT119" s="12">
        <f t="shared" si="86"/>
        <v>4</v>
      </c>
      <c r="AU119" s="12">
        <f t="shared" si="87"/>
        <v>6</v>
      </c>
      <c r="AV119" s="12">
        <f t="shared" si="88"/>
        <v>3</v>
      </c>
      <c r="AW119" s="13" t="str">
        <f t="shared" si="89"/>
        <v>P2047</v>
      </c>
      <c r="AX119" s="23" t="str">
        <f t="shared" si="90"/>
        <v>SR05ID01FST01:RSCN:V2_IN</v>
      </c>
    </row>
    <row r="120" spans="2:50" ht="15.75" customHeight="1" x14ac:dyDescent="0.25">
      <c r="B120" s="24" t="str">
        <f t="shared" si="71"/>
        <v>.</v>
      </c>
      <c r="C120" s="32" t="str">
        <f t="shared" si="93"/>
        <v>#define</v>
      </c>
      <c r="D120" s="31" t="s">
        <v>472</v>
      </c>
      <c r="E120" s="25" t="s">
        <v>472</v>
      </c>
      <c r="F120" s="10" t="s">
        <v>393</v>
      </c>
      <c r="G120" s="10" t="s">
        <v>86</v>
      </c>
      <c r="H120" s="10"/>
      <c r="I120" s="11" t="s">
        <v>632</v>
      </c>
      <c r="J120" s="10" t="s">
        <v>39</v>
      </c>
      <c r="K120" s="10" t="s">
        <v>566</v>
      </c>
      <c r="L120" s="10">
        <v>-9999999</v>
      </c>
      <c r="M120" s="10">
        <v>9999999</v>
      </c>
      <c r="N120" s="10">
        <v>3</v>
      </c>
      <c r="O120" s="16"/>
      <c r="P120" s="52" t="s">
        <v>563</v>
      </c>
      <c r="Q120" s="52"/>
      <c r="R120" s="52"/>
      <c r="S120" s="52" t="s">
        <v>39</v>
      </c>
      <c r="T120" s="52"/>
      <c r="U120" s="52"/>
      <c r="V120" s="52"/>
      <c r="W120" s="61"/>
      <c r="X120" s="61">
        <v>19</v>
      </c>
      <c r="Y120" s="33" t="s">
        <v>570</v>
      </c>
      <c r="Z120" s="33" t="s">
        <v>368</v>
      </c>
      <c r="AA120" s="33">
        <v>30</v>
      </c>
      <c r="AB120" s="58" t="str">
        <f t="shared" si="72"/>
        <v>epics</v>
      </c>
      <c r="AC120" s="55" t="str">
        <f t="shared" si="73"/>
        <v>map</v>
      </c>
      <c r="AD120" s="29" t="str">
        <f t="shared" si="74"/>
        <v>:V2_OUT</v>
      </c>
      <c r="AE120" s="27" t="str">
        <f t="shared" si="75"/>
        <v>:RSCN:V2_OUT</v>
      </c>
      <c r="AF120" s="29" t="str">
        <f t="shared" si="76"/>
        <v>v2Out</v>
      </c>
      <c r="AG120" s="27" t="str">
        <f t="shared" si="77"/>
        <v>v2Out</v>
      </c>
      <c r="AH120" s="27" t="str">
        <f t="shared" si="78"/>
        <v>$(P):RSCN:ST_MONITOR</v>
      </c>
      <c r="AI120" s="27" t="str">
        <f t="shared" si="79"/>
        <v>$(P):RSCN:ST_NEVER</v>
      </c>
      <c r="AJ120" s="27"/>
      <c r="AK120" s="27" t="str">
        <f t="shared" si="80"/>
        <v>_x000D_
# PVs mapping to $(VAR)_x000D_
record(ao, "$(P)$(Q)") {_x000D_
  field(DESC, "$(DESC)")_x000D_
  field(OUT, "$(P)$(Q):SET PP MS")_x000D_
  field(PINI, "NO")_x000D_
  field(EGU, "$(EGU)")_x000D_
  field(PREC, "$(PREC)")  _x000D_
}_x000D_
record(ai, "$(P)$(Q):RBV") {_x000D_
  field(DESC, "$(DESC) readback")_x000D_
  field(DTYP, "stream")_x000D_
  field(FLNK, "$(P)$(Q):SYN")_x000D_
  field(INP, "@pmac.proto getVar($(VAR)) $(PORT)")_x000D_
  field(SDIS, "$(GetSB) CP MS")_x000D_
  field(DISV, "0")_x000D_
  field(PINI, "NO")_x000D_
  field(DISS, "INVALID")_x000D_
  field(EGU, "$(EGU)")_x000D_
  field(PREC, "$(PREC)")  _x000D_
}_x000D_
record(ao, "$(P)$(Q):SET") {_x000D_
  field(DTYP, "stream")_x000D_
  field(SDIS, "$(P)$(Q):ROL PP MS")_x000D_
  field(OUT, "@pmac.proto setVar($(VAR)) $(PORT)")_x000D_
  field(PINI, "NO")_x000D_
  field(DISS, "INVALID")_x000D_
}_x000D_
record(calc, "$(P)$(Q):ROL") {_x000D_
  field(CALC, "(!B) || A")_x000D_
  field(INPA, "$(P)$(Q):SYN.PACT")_x000D_
  field(INPB, "$(SetSB) NPP MS")_x000D_
  field(PINI, "NO")_x000D_
}_x000D_
record(calcout, "$(P)$(Q):SYN") {_x000D_
  field(INPA, "$(P)$(Q):RBV PP")_x000D_
  field(INPB, "$(GetSB) NPP MS")_x000D_
  field(INPC, "$(SetSB) NPP MS")_x000D_
  field(CALC, "A")_x000D_
  field(OUT, "$(P)$(Q) PP MS")_x000D_
  field(PINI, "NO")_x000D_
}_x000D_
#--------------------</v>
      </c>
      <c r="AL120" s="27" t="str">
        <f t="shared" si="81"/>
        <v>_x000D_
# PVs mapping to P2046_x000D_
record(ao, "$(P):RSCN:V2_OUT") {_x000D_
  field(DESC, "Inc. axis line entry velocity")_x000D_
  field(OUT, "$(P):RSCN:V2_OUT:SET PP MS")_x000D_
  field(PINI, "NO")_x000D_
  field(EGU, "EGU/s")_x000D_
  field(PREC, "3")  _x000D_
}_x000D_
record(ai, "$(P):RSCN:V2_OUT:RBV") {_x000D_
  field(DESC, "Inc. axis line entry velocity readback")_x000D_
  field(DTYP, "stream")_x000D_
  field(FLNK, "$(P):RSCN:V2_OUT:SYN")_x000D_
  field(INP, "@pmac.proto getVar(P2046) $(PORT)")_x000D_
  field(SDIS, "$(P):RSCN:ST_MONITOR CP MS")_x000D_
  field(DISV, "0")_x000D_
  field(PINI, "NO")_x000D_
  field(DISS, "INVALID")_x000D_
  field(EGU, "EGU/s")_x000D_
  field(PREC, "3")  _x000D_
}_x000D_
record(ao, "$(P):RSCN:V2_OUT:SET") {_x000D_
  field(DTYP, "stream")_x000D_
  field(SDIS, "$(P):RSCN:V2_OUT:ROL PP MS")_x000D_
  field(OUT, "@pmac.proto setVar(P2046) $(PORT)")_x000D_
  field(PINI, "NO")_x000D_
  field(DISS, "INVALID")_x000D_
}_x000D_
record(calc, "$(P):RSCN:V2_OUT:ROL") {_x000D_
  field(CALC, "(!B) || A")_x000D_
  field(INPA, "$(P):RSCN:V2_OUT:SYN.PACT")_x000D_
  field(INPB, "$(P):RSCN:ST_NEVER NPP MS")_x000D_
  field(PINI, "NO")_x000D_
}_x000D_
record(calcout, "$(P):RSCN:V2_OUT:SYN") {_x000D_
  field(INPA, "$(P):RSCN:V2_OUT:RBV PP")_x000D_
  field(INPB, "$(P):RSCN:ST_MONITOR NPP MS")_x000D_
  field(INPC, "$(P):RSCN:ST_NEVER NPP MS")_x000D_
  field(CALC, "A")_x000D_
  field(OUT, "$(P):RSCN:V2_OUT PP MS")_x000D_
  field(PINI, "NO")_x000D_
}_x000D_
#--------------------</v>
      </c>
      <c r="AM120" s="27" t="str">
        <f t="shared" si="91"/>
        <v/>
      </c>
      <c r="AN120" s="27" t="str">
        <f t="shared" si="92"/>
        <v xml:space="preserve">&lt;item row="19" column="0"&gt;
         &lt;widget class="QLabel" name="L_v2_Out"&gt;
          &lt;property name="sizePolicy"&gt;
           &lt;sizepolicy hsizetype="Preferred" vsizetype="MinimumExpanding"&gt;
            &lt;horstretch&gt;0&lt;/horstretch&gt;
            &lt;verstretch&gt;0&lt;/verstretch&gt;
           &lt;/sizepolicy&gt;
          &lt;/property&gt;
          &lt;property name="minimumSize"&gt;
           &lt;size&gt;
            &lt;width&gt;100&lt;/width&gt;
            &lt;height&gt;0&lt;/height&gt;
           &lt;/size&gt;
          &lt;/property&gt;
          &lt;property name="text"&gt;
           &lt;string&gt;v2_Out&lt;/string&gt;
          &lt;/property&gt;
          &lt;property name="margin"&gt;
           &lt;number&gt;3&lt;/number&gt;
          &lt;/property&gt;
         &lt;/widget&gt;
        &lt;/item&gt;
&lt;item row="19" column="1"&gt;
         &lt;widget class="QELabel" name="QL_v2_Out"&gt;
          &lt;property name="sizePolicy"&gt;
           &lt;sizepolicy hsizetype="MinimumExpanding" vsizetype="Fixed"&gt;
            &lt;horstretch&gt;0&lt;/horstretch&gt;
            &lt;verstretch&gt;0&lt;/verstretch&gt;
           &lt;/sizepolicy&gt;
          &lt;/property&gt;
          &lt;property name="minimumSize"&gt;
           &lt;size&gt;
            &lt;width&gt;115&lt;/width&gt;
            &lt;height&gt;0&lt;/height&gt;
           &lt;/size&gt;
          &lt;/property&gt;
          &lt;property name="frameShape"&gt;
           &lt;enum&gt;QFrame::Panel&lt;/enum&gt;
          &lt;/property&gt;
          &lt;property name="frameShadow"&gt;
           &lt;enum&gt;QFrame::Sunken&lt;/enum&gt;
          &lt;/property&gt;
          &lt;property name="lineWidth"&gt;
           &lt;number&gt;1&lt;/number&gt;
          &lt;/property&gt;
          &lt;property name="midLineWidth"&gt;
           &lt;number&gt;0&lt;/number&gt;
          &lt;/property&gt;
          &lt;property name="variable" stdset="0"&gt;
           &lt;string&gt;$(P)$(R):RSCN:V2_OUT&lt;/string&gt;
          &lt;/property&gt;
         &lt;/widget&gt;
   &lt;/item&gt;
</v>
      </c>
      <c r="AO120" s="27" t="e">
        <f t="shared" si="82"/>
        <v>#N/A</v>
      </c>
      <c r="AP120" s="27" t="str">
        <f t="shared" si="83"/>
        <v xml:space="preserve">SR05ID01FST01:RSCN:V2_OUT = </v>
      </c>
      <c r="AQ120" s="27" t="str">
        <f t="shared" si="69"/>
        <v xml:space="preserve">;Inc. axis line entry velocity[EGU/s]epics(map)
#define	v2Out	P2046	</v>
      </c>
      <c r="AR120" s="27" t="str">
        <f t="shared" si="84"/>
        <v xml:space="preserve">      &lt;channel&gt;
         &lt;name&gt;SR05ID01FST01:RSCN:V2_OUT&lt;/name&gt;
         &lt;period&gt;30&lt;/period&gt;
         &lt;monitor/&gt;
      &lt;/channel&gt;</v>
      </c>
      <c r="AS120" s="12">
        <f t="shared" si="85"/>
        <v>7</v>
      </c>
      <c r="AT120" s="12">
        <f t="shared" si="86"/>
        <v>4</v>
      </c>
      <c r="AU120" s="12">
        <f t="shared" si="87"/>
        <v>6</v>
      </c>
      <c r="AV120" s="12">
        <f t="shared" si="88"/>
        <v>2</v>
      </c>
      <c r="AW120" s="13" t="str">
        <f t="shared" si="89"/>
        <v>P2046</v>
      </c>
      <c r="AX120" s="23" t="str">
        <f t="shared" si="90"/>
        <v>SR05ID01FST01:RSCN:V2_OUT</v>
      </c>
    </row>
    <row r="121" spans="2:50" ht="15.75" customHeight="1" x14ac:dyDescent="0.25">
      <c r="B121" s="24" t="str">
        <f t="shared" si="71"/>
        <v>.</v>
      </c>
      <c r="C121" s="32" t="str">
        <f t="shared" si="93"/>
        <v>#define</v>
      </c>
      <c r="D121" s="30" t="s">
        <v>477</v>
      </c>
      <c r="E121" s="23" t="s">
        <v>477</v>
      </c>
      <c r="F121" s="10" t="s">
        <v>398</v>
      </c>
      <c r="G121" s="10"/>
      <c r="H121" s="10"/>
      <c r="I121" s="11" t="s">
        <v>529</v>
      </c>
      <c r="J121" s="10" t="s">
        <v>597</v>
      </c>
      <c r="K121" s="10"/>
      <c r="L121" s="10"/>
      <c r="M121" s="10"/>
      <c r="N121" s="10"/>
      <c r="O121" s="16"/>
      <c r="P121" s="51" t="s">
        <v>563</v>
      </c>
      <c r="Q121" s="52"/>
      <c r="R121" s="52"/>
      <c r="S121" s="52"/>
      <c r="T121" s="52"/>
      <c r="U121" s="52"/>
      <c r="V121" s="52"/>
      <c r="W121" s="61"/>
      <c r="X121" s="61"/>
      <c r="AB121" s="58" t="str">
        <f t="shared" si="72"/>
        <v/>
      </c>
      <c r="AC121" s="55" t="str">
        <f t="shared" si="73"/>
        <v/>
      </c>
      <c r="AD121" s="29" t="str">
        <f t="shared" si="74"/>
        <v>:XD1</v>
      </c>
      <c r="AE121" s="27" t="str">
        <f t="shared" si="75"/>
        <v>:RSCN:XD1</v>
      </c>
      <c r="AF121" s="29" t="str">
        <f t="shared" si="76"/>
        <v>Xd1</v>
      </c>
      <c r="AG121" s="27" t="str">
        <f t="shared" si="77"/>
        <v>Xd1</v>
      </c>
      <c r="AH121" s="27" t="str">
        <f t="shared" si="78"/>
        <v>$(P):RSCN:</v>
      </c>
      <c r="AI121" s="27" t="str">
        <f t="shared" si="79"/>
        <v>$(P):RSCN:</v>
      </c>
      <c r="AJ121" s="27"/>
      <c r="AK121" s="27" t="str">
        <f t="shared" si="80"/>
        <v/>
      </c>
      <c r="AL121" s="27" t="str">
        <f t="shared" si="81"/>
        <v/>
      </c>
      <c r="AM121" s="27" t="str">
        <f t="shared" si="91"/>
        <v/>
      </c>
      <c r="AN121" s="27" t="str">
        <f t="shared" si="92"/>
        <v/>
      </c>
      <c r="AO121" s="27" t="e">
        <f t="shared" si="82"/>
        <v>#N/A</v>
      </c>
      <c r="AP121" s="27" t="str">
        <f t="shared" si="83"/>
        <v/>
      </c>
      <c r="AQ121" s="27" t="str">
        <f t="shared" si="69"/>
        <v xml:space="preserve">;Pmac internal variable[]()
#define	Xd1	P2051	</v>
      </c>
      <c r="AR121" s="27" t="str">
        <f t="shared" si="84"/>
        <v/>
      </c>
      <c r="AS121" s="12" t="str">
        <f t="shared" si="85"/>
        <v/>
      </c>
      <c r="AT121" s="12" t="str">
        <f t="shared" si="86"/>
        <v/>
      </c>
      <c r="AU121" s="12" t="str">
        <f t="shared" si="87"/>
        <v/>
      </c>
      <c r="AV121" s="12" t="str">
        <f t="shared" si="88"/>
        <v/>
      </c>
      <c r="AW121" s="13" t="str">
        <f t="shared" si="89"/>
        <v>P2051</v>
      </c>
      <c r="AX121" s="23" t="str">
        <f t="shared" si="90"/>
        <v>SR05ID01FST01:RSCN:XD1</v>
      </c>
    </row>
    <row r="122" spans="2:50" ht="15.75" customHeight="1" x14ac:dyDescent="0.25">
      <c r="B122" s="24" t="str">
        <f t="shared" si="71"/>
        <v>.</v>
      </c>
      <c r="C122" s="32" t="str">
        <f t="shared" si="93"/>
        <v>;</v>
      </c>
      <c r="D122" s="31"/>
      <c r="E122" s="25"/>
      <c r="F122" s="10" t="s">
        <v>609</v>
      </c>
      <c r="G122" s="10"/>
      <c r="H122" s="10"/>
      <c r="I122" s="11"/>
      <c r="J122" s="10"/>
      <c r="K122" s="10"/>
      <c r="L122" s="10"/>
      <c r="M122" s="10"/>
      <c r="N122" s="10"/>
      <c r="O122" s="16"/>
      <c r="P122" s="51"/>
      <c r="Q122" s="52"/>
      <c r="R122" s="52"/>
      <c r="S122" s="52"/>
      <c r="T122" s="52"/>
      <c r="U122" s="52"/>
      <c r="V122" s="52"/>
      <c r="W122" s="61"/>
      <c r="X122" s="61"/>
      <c r="AB122" s="58" t="str">
        <f t="shared" si="72"/>
        <v/>
      </c>
      <c r="AC122" s="55" t="str">
        <f t="shared" si="73"/>
        <v/>
      </c>
      <c r="AD122" s="29" t="str">
        <f t="shared" si="74"/>
        <v>:</v>
      </c>
      <c r="AE122" s="27" t="str">
        <f t="shared" si="75"/>
        <v>:RSCN:</v>
      </c>
      <c r="AF122" s="29" t="str">
        <f t="shared" si="76"/>
        <v/>
      </c>
      <c r="AG122" s="27" t="str">
        <f t="shared" si="77"/>
        <v/>
      </c>
      <c r="AH122" s="27" t="str">
        <f t="shared" si="78"/>
        <v>$(P):RSCN:</v>
      </c>
      <c r="AI122" s="27" t="str">
        <f t="shared" si="79"/>
        <v>$(P):RSCN:</v>
      </c>
      <c r="AJ122" s="27"/>
      <c r="AK122" s="27" t="str">
        <f t="shared" si="80"/>
        <v/>
      </c>
      <c r="AL122" s="27" t="str">
        <f t="shared" si="81"/>
        <v/>
      </c>
      <c r="AM122" s="27" t="str">
        <f t="shared" si="91"/>
        <v/>
      </c>
      <c r="AN122" s="27" t="str">
        <f t="shared" si="92"/>
        <v/>
      </c>
      <c r="AO122" s="27" t="e">
        <f t="shared" si="82"/>
        <v>#N/A</v>
      </c>
      <c r="AP122" s="27" t="str">
        <f t="shared" si="83"/>
        <v/>
      </c>
      <c r="AQ122" s="27" t="str">
        <f t="shared" si="69"/>
        <v/>
      </c>
      <c r="AR122" s="27" t="str">
        <f t="shared" si="84"/>
        <v/>
      </c>
      <c r="AS122" s="12" t="str">
        <f t="shared" si="85"/>
        <v/>
      </c>
      <c r="AT122" s="12" t="str">
        <f t="shared" si="86"/>
        <v/>
      </c>
      <c r="AU122" s="12" t="str">
        <f t="shared" si="87"/>
        <v/>
      </c>
      <c r="AV122" s="12" t="str">
        <f t="shared" si="88"/>
        <v/>
      </c>
      <c r="AW122" s="13" t="str">
        <f t="shared" si="89"/>
        <v>P2071</v>
      </c>
      <c r="AX122" s="23" t="str">
        <f t="shared" si="90"/>
        <v>SR05ID01FST01:RSCN:</v>
      </c>
    </row>
    <row r="123" spans="2:50" ht="15.75" customHeight="1" x14ac:dyDescent="0.25">
      <c r="B123" s="24" t="str">
        <f t="shared" si="71"/>
        <v>.</v>
      </c>
      <c r="C123" s="32" t="str">
        <f t="shared" si="93"/>
        <v>;</v>
      </c>
      <c r="F123" s="10" t="s">
        <v>418</v>
      </c>
      <c r="G123" s="10"/>
      <c r="H123" s="10"/>
      <c r="I123" s="11"/>
      <c r="J123" s="10"/>
      <c r="K123" s="10"/>
      <c r="L123" s="10"/>
      <c r="M123" s="10"/>
      <c r="N123" s="10"/>
      <c r="O123" s="16"/>
      <c r="P123" s="51"/>
      <c r="Q123" s="52"/>
      <c r="R123" s="52"/>
      <c r="S123" s="52"/>
      <c r="T123" s="52"/>
      <c r="U123" s="52"/>
      <c r="V123" s="52"/>
      <c r="W123" s="61"/>
      <c r="X123" s="61"/>
      <c r="AB123" s="58" t="str">
        <f t="shared" si="72"/>
        <v/>
      </c>
      <c r="AC123" s="55" t="str">
        <f t="shared" si="73"/>
        <v/>
      </c>
      <c r="AD123" s="29" t="str">
        <f t="shared" si="74"/>
        <v>:</v>
      </c>
      <c r="AE123" s="27" t="str">
        <f t="shared" si="75"/>
        <v>:RSCN:</v>
      </c>
      <c r="AF123" s="29" t="str">
        <f t="shared" si="76"/>
        <v/>
      </c>
      <c r="AG123" s="27" t="str">
        <f t="shared" si="77"/>
        <v/>
      </c>
      <c r="AH123" s="27" t="str">
        <f t="shared" si="78"/>
        <v>$(P):RSCN:</v>
      </c>
      <c r="AI123" s="27" t="str">
        <f t="shared" si="79"/>
        <v>$(P):RSCN:</v>
      </c>
      <c r="AJ123" s="27"/>
      <c r="AK123" s="27" t="str">
        <f t="shared" si="80"/>
        <v/>
      </c>
      <c r="AL123" s="27" t="str">
        <f t="shared" si="81"/>
        <v/>
      </c>
      <c r="AM123" s="27" t="str">
        <f t="shared" si="91"/>
        <v/>
      </c>
      <c r="AN123" s="27" t="str">
        <f t="shared" si="92"/>
        <v/>
      </c>
      <c r="AO123" s="27" t="e">
        <f t="shared" si="82"/>
        <v>#N/A</v>
      </c>
      <c r="AP123" s="27" t="str">
        <f t="shared" si="83"/>
        <v/>
      </c>
      <c r="AQ123" s="27" t="str">
        <f t="shared" si="69"/>
        <v/>
      </c>
      <c r="AR123" s="27" t="str">
        <f t="shared" si="84"/>
        <v/>
      </c>
      <c r="AS123" s="12" t="str">
        <f t="shared" si="85"/>
        <v/>
      </c>
      <c r="AT123" s="12" t="str">
        <f t="shared" si="86"/>
        <v/>
      </c>
      <c r="AU123" s="12" t="str">
        <f t="shared" si="87"/>
        <v/>
      </c>
      <c r="AV123" s="12" t="str">
        <f t="shared" si="88"/>
        <v/>
      </c>
      <c r="AW123" s="13" t="str">
        <f t="shared" si="89"/>
        <v>P2078</v>
      </c>
      <c r="AX123" s="23" t="str">
        <f t="shared" si="90"/>
        <v>SR05ID01FST01:RSCN:</v>
      </c>
    </row>
    <row r="124" spans="2:50" ht="15.75" customHeight="1" x14ac:dyDescent="0.25">
      <c r="B124" s="24" t="str">
        <f t="shared" si="71"/>
        <v>.</v>
      </c>
      <c r="C124" s="32" t="str">
        <f t="shared" si="93"/>
        <v>;</v>
      </c>
      <c r="F124" s="10" t="s">
        <v>422</v>
      </c>
      <c r="G124" s="10"/>
      <c r="H124" s="10"/>
      <c r="I124" s="11"/>
      <c r="J124" s="10"/>
      <c r="K124" s="10"/>
      <c r="L124" s="10"/>
      <c r="M124" s="10"/>
      <c r="N124" s="10"/>
      <c r="O124" s="16"/>
      <c r="P124" s="51"/>
      <c r="Q124" s="52"/>
      <c r="R124" s="52"/>
      <c r="S124" s="52"/>
      <c r="T124" s="52"/>
      <c r="U124" s="52"/>
      <c r="V124" s="52"/>
      <c r="W124" s="61"/>
      <c r="X124" s="61"/>
      <c r="AB124" s="58" t="str">
        <f t="shared" si="72"/>
        <v/>
      </c>
      <c r="AC124" s="55" t="str">
        <f t="shared" si="73"/>
        <v/>
      </c>
      <c r="AD124" s="29" t="str">
        <f t="shared" si="74"/>
        <v>:</v>
      </c>
      <c r="AE124" s="27" t="str">
        <f t="shared" si="75"/>
        <v>:RSCN:</v>
      </c>
      <c r="AF124" s="29" t="str">
        <f t="shared" si="76"/>
        <v/>
      </c>
      <c r="AG124" s="27" t="str">
        <f t="shared" si="77"/>
        <v/>
      </c>
      <c r="AH124" s="27" t="str">
        <f t="shared" si="78"/>
        <v>$(P):RSCN:</v>
      </c>
      <c r="AI124" s="27" t="str">
        <f t="shared" si="79"/>
        <v>$(P):RSCN:</v>
      </c>
      <c r="AJ124" s="27"/>
      <c r="AK124" s="27" t="str">
        <f t="shared" si="80"/>
        <v/>
      </c>
      <c r="AL124" s="27" t="str">
        <f t="shared" si="81"/>
        <v/>
      </c>
      <c r="AM124" s="27" t="str">
        <f t="shared" si="91"/>
        <v/>
      </c>
      <c r="AN124" s="27" t="str">
        <f t="shared" si="92"/>
        <v/>
      </c>
      <c r="AO124" s="27" t="e">
        <f t="shared" si="82"/>
        <v>#N/A</v>
      </c>
      <c r="AP124" s="27" t="str">
        <f t="shared" si="83"/>
        <v/>
      </c>
      <c r="AQ124" s="27" t="str">
        <f t="shared" si="69"/>
        <v/>
      </c>
      <c r="AR124" s="27" t="str">
        <f t="shared" si="84"/>
        <v/>
      </c>
      <c r="AS124" s="12" t="str">
        <f t="shared" si="85"/>
        <v/>
      </c>
      <c r="AT124" s="12" t="str">
        <f t="shared" si="86"/>
        <v/>
      </c>
      <c r="AU124" s="12" t="str">
        <f t="shared" si="87"/>
        <v/>
      </c>
      <c r="AV124" s="12" t="str">
        <f t="shared" si="88"/>
        <v/>
      </c>
      <c r="AW124" s="13" t="str">
        <f t="shared" si="89"/>
        <v>P2082</v>
      </c>
      <c r="AX124" s="23" t="str">
        <f t="shared" si="90"/>
        <v>SR05ID01FST01:RSCN:</v>
      </c>
    </row>
    <row r="125" spans="2:50" ht="15.75" customHeight="1" x14ac:dyDescent="0.25">
      <c r="B125" s="24" t="str">
        <f t="shared" si="71"/>
        <v>.</v>
      </c>
      <c r="C125" s="32" t="str">
        <f t="shared" si="93"/>
        <v>;</v>
      </c>
      <c r="D125" s="31"/>
      <c r="E125" s="25"/>
      <c r="F125" s="10" t="s">
        <v>610</v>
      </c>
      <c r="G125" s="10"/>
      <c r="H125" s="10"/>
      <c r="I125" s="11"/>
      <c r="J125" s="10"/>
      <c r="K125" s="10"/>
      <c r="L125" s="10"/>
      <c r="M125" s="10"/>
      <c r="N125" s="10"/>
      <c r="O125" s="16"/>
      <c r="P125" s="51"/>
      <c r="Q125" s="52"/>
      <c r="R125" s="52"/>
      <c r="S125" s="52"/>
      <c r="T125" s="52"/>
      <c r="U125" s="52"/>
      <c r="V125" s="52"/>
      <c r="W125" s="61"/>
      <c r="X125" s="61"/>
      <c r="AB125" s="58" t="str">
        <f t="shared" si="72"/>
        <v/>
      </c>
      <c r="AC125" s="55" t="str">
        <f t="shared" si="73"/>
        <v/>
      </c>
      <c r="AD125" s="29" t="str">
        <f t="shared" si="74"/>
        <v>:</v>
      </c>
      <c r="AE125" s="27" t="str">
        <f t="shared" si="75"/>
        <v>:RSCN:</v>
      </c>
      <c r="AF125" s="29" t="str">
        <f t="shared" si="76"/>
        <v/>
      </c>
      <c r="AG125" s="27" t="str">
        <f t="shared" si="77"/>
        <v/>
      </c>
      <c r="AH125" s="27" t="str">
        <f t="shared" si="78"/>
        <v>$(P):RSCN:</v>
      </c>
      <c r="AI125" s="27" t="str">
        <f t="shared" si="79"/>
        <v>$(P):RSCN:</v>
      </c>
      <c r="AJ125" s="27"/>
      <c r="AK125" s="27" t="str">
        <f t="shared" si="80"/>
        <v/>
      </c>
      <c r="AL125" s="27" t="str">
        <f t="shared" si="81"/>
        <v/>
      </c>
      <c r="AM125" s="62" t="s">
        <v>686</v>
      </c>
      <c r="AN125" s="62" t="s">
        <v>686</v>
      </c>
      <c r="AO125" s="27" t="e">
        <f t="shared" si="82"/>
        <v>#N/A</v>
      </c>
      <c r="AP125" s="27" t="str">
        <f t="shared" si="83"/>
        <v/>
      </c>
      <c r="AQ125" s="27" t="str">
        <f t="shared" si="69"/>
        <v/>
      </c>
      <c r="AR125" s="27" t="str">
        <f t="shared" si="84"/>
        <v/>
      </c>
      <c r="AS125" s="12" t="str">
        <f t="shared" si="85"/>
        <v/>
      </c>
      <c r="AT125" s="12" t="str">
        <f t="shared" si="86"/>
        <v/>
      </c>
      <c r="AU125" s="12" t="str">
        <f t="shared" si="87"/>
        <v/>
      </c>
      <c r="AV125" s="12" t="str">
        <f t="shared" si="88"/>
        <v/>
      </c>
      <c r="AW125" s="13" t="str">
        <f t="shared" si="89"/>
        <v>P2083</v>
      </c>
      <c r="AX125" s="23" t="str">
        <f t="shared" si="90"/>
        <v>SR05ID01FST01:RSCN:</v>
      </c>
    </row>
  </sheetData>
  <sheetProtection deleteColumns="0" deleteRows="0" sort="0" autoFilter="0"/>
  <autoFilter ref="A3:AX125">
    <sortState ref="A4:AX125">
      <sortCondition ref="E3:E125"/>
    </sortState>
  </autoFilter>
  <sortState ref="C7:Q16">
    <sortCondition ref="F7:F16"/>
  </sortState>
  <dataConsolidate function="varp"/>
  <customSheetViews>
    <customSheetView guid="{2E790F67-B1CF-4589-8EE3-FDE1E951836B}" scale="85" showAutoFilter="1">
      <pane xSplit="4" ySplit="3" topLeftCell="E49" activePane="bottomRight" state="frozen"/>
      <selection pane="bottomRight" activeCell="C72" sqref="C72"/>
      <pageMargins left="0.7" right="0.7" top="0.75" bottom="0.75" header="0.3" footer="0.3"/>
      <pageSetup paperSize="9" orientation="portrait" r:id="rId1"/>
      <autoFilter ref="A3:AD90">
        <sortState ref="A4:AD93">
          <sortCondition ref="E3:E93"/>
        </sortState>
      </autoFilter>
    </customSheetView>
  </customSheetViews>
  <conditionalFormatting sqref="A1:F1 H1 J1 A2:J9 K1:R9 AB82:AP82 A82:F82 A10:R36 A37:O37 A38:AP81 AB37:AP37 A126:BK1048576 S1:BK4 S5:AP36 A83:AP125 AQ5:BK125">
    <cfRule type="endsWith" dxfId="24" priority="11" stopIfTrue="1" operator="endsWith" text="_">
      <formula>RIGHT(A1,LEN("_"))="_"</formula>
    </cfRule>
    <cfRule type="endsWith" dxfId="23" priority="13" stopIfTrue="1" operator="endsWith" text="*">
      <formula>RIGHT(A1,LEN("*"))="*"</formula>
    </cfRule>
    <cfRule type="endsWith" dxfId="22" priority="14" stopIfTrue="1" operator="endsWith" text="!">
      <formula>RIGHT(A1,LEN("!"))="!"</formula>
    </cfRule>
    <cfRule type="endsWith" dxfId="21" priority="15" stopIfTrue="1" operator="endsWith" text="?">
      <formula>RIGHT(A1,LEN("?"))="?"</formula>
    </cfRule>
  </conditionalFormatting>
  <conditionalFormatting sqref="G82:AA82">
    <cfRule type="endsWith" dxfId="20" priority="6" stopIfTrue="1" operator="endsWith" text="_">
      <formula>RIGHT(G82,LEN("_"))="_"</formula>
    </cfRule>
    <cfRule type="endsWith" dxfId="19" priority="8" stopIfTrue="1" operator="endsWith" text="*">
      <formula>RIGHT(G82,LEN("*"))="*"</formula>
    </cfRule>
    <cfRule type="endsWith" dxfId="18" priority="9" stopIfTrue="1" operator="endsWith" text="!">
      <formula>RIGHT(G82,LEN("!"))="!"</formula>
    </cfRule>
    <cfRule type="endsWith" dxfId="17" priority="10" stopIfTrue="1" operator="endsWith" text="?">
      <formula>RIGHT(G82,LEN("?"))="?"</formula>
    </cfRule>
  </conditionalFormatting>
  <conditionalFormatting sqref="P37:AA37">
    <cfRule type="endsWith" dxfId="16" priority="1" stopIfTrue="1" operator="endsWith" text="_">
      <formula>RIGHT(P37,LEN("_"))="_"</formula>
    </cfRule>
    <cfRule type="endsWith" dxfId="15" priority="3" stopIfTrue="1" operator="endsWith" text="*">
      <formula>RIGHT(P37,LEN("*"))="*"</formula>
    </cfRule>
    <cfRule type="endsWith" dxfId="14" priority="4" stopIfTrue="1" operator="endsWith" text="!">
      <formula>RIGHT(P37,LEN("!"))="!"</formula>
    </cfRule>
    <cfRule type="endsWith" dxfId="13" priority="5" stopIfTrue="1" operator="endsWith" text="?">
      <formula>RIGHT(P37,LEN("?"))="?"</formula>
    </cfRule>
  </conditionalFormatting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84" r:id="rId5" name="L_MonUI">
          <controlPr defaultSize="0" autoFill="0" autoLine="0" r:id="rId6">
            <anchor moveWithCells="1">
              <from>
                <xdr:col>39</xdr:col>
                <xdr:colOff>47625</xdr:colOff>
                <xdr:row>2</xdr:row>
                <xdr:rowOff>9525</xdr:rowOff>
              </from>
              <to>
                <xdr:col>39</xdr:col>
                <xdr:colOff>485775</xdr:colOff>
                <xdr:row>2</xdr:row>
                <xdr:rowOff>685800</xdr:rowOff>
              </to>
            </anchor>
          </controlPr>
        </control>
      </mc:Choice>
      <mc:Fallback>
        <control shapeId="3084" r:id="rId5" name="L_MonUI"/>
      </mc:Fallback>
    </mc:AlternateContent>
    <mc:AlternateContent xmlns:mc="http://schemas.openxmlformats.org/markup-compatibility/2006">
      <mc:Choice Requires="x14">
        <control shapeId="3083" r:id="rId7" name="L_CtrlUI">
          <controlPr defaultSize="0" autoFill="0" autoLine="0" r:id="rId8">
            <anchor moveWithCells="1">
              <from>
                <xdr:col>38</xdr:col>
                <xdr:colOff>47625</xdr:colOff>
                <xdr:row>2</xdr:row>
                <xdr:rowOff>28575</xdr:rowOff>
              </from>
              <to>
                <xdr:col>38</xdr:col>
                <xdr:colOff>485775</xdr:colOff>
                <xdr:row>2</xdr:row>
                <xdr:rowOff>704850</xdr:rowOff>
              </to>
            </anchor>
          </controlPr>
        </control>
      </mc:Choice>
      <mc:Fallback>
        <control shapeId="3083" r:id="rId7" name="L_CtrlUI"/>
      </mc:Fallback>
    </mc:AlternateContent>
    <mc:AlternateContent xmlns:mc="http://schemas.openxmlformats.org/markup-compatibility/2006">
      <mc:Choice Requires="x14">
        <control shapeId="3082" r:id="rId9" name="CB_PVNAMES">
          <controlPr defaultSize="0" autoLine="0" r:id="rId10">
            <anchor moveWithCells="1">
              <from>
                <xdr:col>4</xdr:col>
                <xdr:colOff>1000125</xdr:colOff>
                <xdr:row>2</xdr:row>
                <xdr:rowOff>47625</xdr:rowOff>
              </from>
              <to>
                <xdr:col>4</xdr:col>
                <xdr:colOff>1704975</xdr:colOff>
                <xdr:row>2</xdr:row>
                <xdr:rowOff>1190625</xdr:rowOff>
              </to>
            </anchor>
          </controlPr>
        </control>
      </mc:Choice>
      <mc:Fallback>
        <control shapeId="3082" r:id="rId9" name="CB_PVNAMES"/>
      </mc:Fallback>
    </mc:AlternateContent>
    <mc:AlternateContent xmlns:mc="http://schemas.openxmlformats.org/markup-compatibility/2006">
      <mc:Choice Requires="x14">
        <control shapeId="3080" r:id="rId11" name="L_ExportArchiverXML">
          <controlPr defaultSize="0" autoFill="0" autoLine="0" r:id="rId12">
            <anchor moveWithCells="1">
              <from>
                <xdr:col>43</xdr:col>
                <xdr:colOff>0</xdr:colOff>
                <xdr:row>2</xdr:row>
                <xdr:rowOff>28575</xdr:rowOff>
              </from>
              <to>
                <xdr:col>43</xdr:col>
                <xdr:colOff>495300</xdr:colOff>
                <xdr:row>2</xdr:row>
                <xdr:rowOff>533400</xdr:rowOff>
              </to>
            </anchor>
          </controlPr>
        </control>
      </mc:Choice>
      <mc:Fallback>
        <control shapeId="3080" r:id="rId11" name="L_ExportArchiverXML"/>
      </mc:Fallback>
    </mc:AlternateContent>
    <mc:AlternateContent xmlns:mc="http://schemas.openxmlformats.org/markup-compatibility/2006">
      <mc:Choice Requires="x14">
        <control shapeId="3079" r:id="rId13" name="L_ExportEPICS">
          <controlPr defaultSize="0" autoFill="0" autoLine="0" r:id="rId14">
            <anchor moveWithCells="1">
              <from>
                <xdr:col>37</xdr:col>
                <xdr:colOff>47625</xdr:colOff>
                <xdr:row>2</xdr:row>
                <xdr:rowOff>28575</xdr:rowOff>
              </from>
              <to>
                <xdr:col>37</xdr:col>
                <xdr:colOff>485775</xdr:colOff>
                <xdr:row>2</xdr:row>
                <xdr:rowOff>704850</xdr:rowOff>
              </to>
            </anchor>
          </controlPr>
        </control>
      </mc:Choice>
      <mc:Fallback>
        <control shapeId="3079" r:id="rId13" name="L_ExportEPICS"/>
      </mc:Fallback>
    </mc:AlternateContent>
    <mc:AlternateContent xmlns:mc="http://schemas.openxmlformats.org/markup-compatibility/2006">
      <mc:Choice Requires="x14">
        <control shapeId="3077" r:id="rId15" name="L_ExportPMAC">
          <controlPr defaultSize="0" autoFill="0" autoLine="0" r:id="rId16">
            <anchor moveWithCells="1">
              <from>
                <xdr:col>42</xdr:col>
                <xdr:colOff>76200</xdr:colOff>
                <xdr:row>2</xdr:row>
                <xdr:rowOff>28575</xdr:rowOff>
              </from>
              <to>
                <xdr:col>42</xdr:col>
                <xdr:colOff>504825</xdr:colOff>
                <xdr:row>2</xdr:row>
                <xdr:rowOff>647700</xdr:rowOff>
              </to>
            </anchor>
          </controlPr>
        </control>
      </mc:Choice>
      <mc:Fallback>
        <control shapeId="3077" r:id="rId15" name="L_ExportPMAC"/>
      </mc:Fallback>
    </mc:AlternateContent>
    <mc:AlternateContent xmlns:mc="http://schemas.openxmlformats.org/markup-compatibility/2006">
      <mc:Choice Requires="x14">
        <control shapeId="3081" r:id="rId17" name="L_ExportFindReplace">
          <controlPr defaultSize="0" autoFill="0" autoLine="0" r:id="rId18">
            <anchor moveWithCells="1">
              <from>
                <xdr:col>1</xdr:col>
                <xdr:colOff>0</xdr:colOff>
                <xdr:row>2</xdr:row>
                <xdr:rowOff>85725</xdr:rowOff>
              </from>
              <to>
                <xdr:col>3</xdr:col>
                <xdr:colOff>114300</xdr:colOff>
                <xdr:row>2</xdr:row>
                <xdr:rowOff>447675</xdr:rowOff>
              </to>
            </anchor>
          </controlPr>
        </control>
      </mc:Choice>
      <mc:Fallback>
        <control shapeId="3081" r:id="rId17" name="L_ExportFindReplac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12" stopIfTrue="1" operator="endsWith" id="{1AD75303-6667-484E-8385-0C2D78C9B394}">
            <xm:f>RIGHT(A1,LEN("\"))="\"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A1:F1 H1 J1 A2:J9 K1:R9 AB82:AP82 A82:F82 A10:R36 A37:O37 A38:AP81 AB37:AP37 A126:BK1048576 S1:BK4 S5:AP36 A83:AP125 AQ5:BK125</xm:sqref>
        </x14:conditionalFormatting>
        <x14:conditionalFormatting xmlns:xm="http://schemas.microsoft.com/office/excel/2006/main">
          <x14:cfRule type="endsWith" priority="7" stopIfTrue="1" operator="endsWith" id="{3D5ED2D1-918D-4760-A102-BD7C1D7FA4D4}">
            <xm:f>RIGHT(G82,LEN("\"))="\"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G82:AA82</xm:sqref>
        </x14:conditionalFormatting>
        <x14:conditionalFormatting xmlns:xm="http://schemas.microsoft.com/office/excel/2006/main">
          <x14:cfRule type="endsWith" priority="2" stopIfTrue="1" operator="endsWith" id="{9521D4CE-FF88-4CC2-AD86-E54F25925E1B}">
            <xm:f>RIGHT(P37,LEN("\"))="\"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P37:AA37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5" tint="0.39997558519241921"/>
  </sheetPr>
  <dimension ref="A2:O14"/>
  <sheetViews>
    <sheetView topLeftCell="I5" zoomScale="160" zoomScaleNormal="160" workbookViewId="0">
      <selection activeCell="K8" sqref="K8"/>
    </sheetView>
  </sheetViews>
  <sheetFormatPr defaultRowHeight="15" x14ac:dyDescent="0.25"/>
  <cols>
    <col min="1" max="4" width="7.42578125" customWidth="1"/>
    <col min="10" max="10" width="86.42578125" customWidth="1"/>
    <col min="11" max="11" width="55.140625" customWidth="1"/>
    <col min="12" max="12" width="29.28515625" customWidth="1"/>
    <col min="13" max="13" width="23.42578125" customWidth="1"/>
    <col min="14" max="14" width="21" customWidth="1"/>
    <col min="15" max="15" width="28.42578125" customWidth="1"/>
  </cols>
  <sheetData>
    <row r="2" spans="1:15" ht="14.25" x14ac:dyDescent="0.25">
      <c r="A2" t="s">
        <v>40</v>
      </c>
      <c r="B2" t="s">
        <v>41</v>
      </c>
      <c r="C2" t="s">
        <v>26</v>
      </c>
      <c r="D2" t="s">
        <v>42</v>
      </c>
      <c r="G2" t="s">
        <v>362</v>
      </c>
      <c r="H2" t="s">
        <v>364</v>
      </c>
      <c r="I2" t="s">
        <v>363</v>
      </c>
    </row>
    <row r="3" spans="1:15" ht="14.25" x14ac:dyDescent="0.25">
      <c r="A3" t="s">
        <v>28</v>
      </c>
      <c r="B3" t="s">
        <v>43</v>
      </c>
      <c r="C3" t="s">
        <v>35</v>
      </c>
      <c r="D3">
        <f>2^47</f>
        <v>140737488355328</v>
      </c>
      <c r="G3" t="s">
        <v>86</v>
      </c>
      <c r="H3" t="s">
        <v>365</v>
      </c>
      <c r="I3" t="s">
        <v>366</v>
      </c>
      <c r="J3" s="3" t="s">
        <v>361</v>
      </c>
      <c r="K3" s="2" t="s">
        <v>574</v>
      </c>
    </row>
    <row r="4" spans="1:15" ht="14.25" x14ac:dyDescent="0.25">
      <c r="A4" t="s">
        <v>36</v>
      </c>
      <c r="B4" t="s">
        <v>44</v>
      </c>
      <c r="C4" t="s">
        <v>39</v>
      </c>
    </row>
    <row r="5" spans="1:15" ht="14.25" x14ac:dyDescent="0.25">
      <c r="A5" t="s">
        <v>45</v>
      </c>
      <c r="B5" t="str">
        <f>""</f>
        <v/>
      </c>
      <c r="C5" t="s">
        <v>37</v>
      </c>
      <c r="K5" s="17" t="s">
        <v>575</v>
      </c>
      <c r="L5" t="s">
        <v>619</v>
      </c>
      <c r="M5" s="21" t="s">
        <v>619</v>
      </c>
      <c r="N5" s="21" t="s">
        <v>619</v>
      </c>
      <c r="O5" s="21" t="s">
        <v>619</v>
      </c>
    </row>
    <row r="6" spans="1:15" ht="14.25" x14ac:dyDescent="0.25">
      <c r="A6" t="s">
        <v>38</v>
      </c>
      <c r="B6" t="s">
        <v>46</v>
      </c>
      <c r="K6" s="17" t="s">
        <v>577</v>
      </c>
      <c r="M6" s="21"/>
      <c r="N6" s="21"/>
      <c r="O6" s="21"/>
    </row>
    <row r="7" spans="1:15" ht="14.25" x14ac:dyDescent="0.25">
      <c r="A7" t="s">
        <v>47</v>
      </c>
      <c r="B7" t="s">
        <v>43</v>
      </c>
      <c r="K7" t="s">
        <v>576</v>
      </c>
    </row>
    <row r="8" spans="1:15" ht="14.25" x14ac:dyDescent="0.25">
      <c r="A8" t="s">
        <v>95</v>
      </c>
      <c r="B8" t="s">
        <v>359</v>
      </c>
      <c r="C8" t="s">
        <v>360</v>
      </c>
    </row>
    <row r="9" spans="1:15" ht="71.25" customHeight="1" x14ac:dyDescent="0.25">
      <c r="J9" s="1" t="s">
        <v>53</v>
      </c>
      <c r="K9" s="1" t="s">
        <v>612</v>
      </c>
      <c r="L9" s="1" t="s">
        <v>615</v>
      </c>
      <c r="M9" s="1" t="s">
        <v>613</v>
      </c>
      <c r="N9" s="1" t="s">
        <v>614</v>
      </c>
      <c r="O9" s="1" t="s">
        <v>616</v>
      </c>
    </row>
    <row r="10" spans="1:15" ht="107.25" customHeight="1" x14ac:dyDescent="0.25">
      <c r="J10" s="1" t="s">
        <v>687</v>
      </c>
      <c r="K10" s="22" t="s">
        <v>695</v>
      </c>
    </row>
    <row r="11" spans="1:15" ht="409.5" x14ac:dyDescent="0.25">
      <c r="J11" s="1" t="s">
        <v>688</v>
      </c>
    </row>
    <row r="12" spans="1:15" ht="40.5" customHeight="1" x14ac:dyDescent="0.25">
      <c r="J12" s="1" t="s">
        <v>689</v>
      </c>
    </row>
    <row r="13" spans="1:15" ht="39" customHeight="1" x14ac:dyDescent="0.25">
      <c r="J13" s="1" t="s">
        <v>56</v>
      </c>
    </row>
    <row r="14" spans="1:15" x14ac:dyDescent="0.25">
      <c r="J14" s="1"/>
    </row>
  </sheetData>
  <autoFilter ref="A2:B7">
    <sortState ref="A3:B7">
      <sortCondition ref="A2:A7"/>
    </sortState>
  </autoFilter>
  <customSheetViews>
    <customSheetView guid="{2E790F67-B1CF-4589-8EE3-FDE1E951836B}" showAutoFilter="1" topLeftCell="A10">
      <selection activeCell="G13" sqref="G13"/>
      <pageMargins left="0.7" right="0.7" top="0.75" bottom="0.75" header="0.3" footer="0.3"/>
      <pageSetup paperSize="9" orientation="portrait" r:id="rId1"/>
      <autoFilter ref="A2:B7">
        <sortState ref="A3:B7">
          <sortCondition ref="A2:A7"/>
        </sortState>
      </autoFilter>
    </customSheetView>
  </customSheetViews>
  <conditionalFormatting sqref="K3">
    <cfRule type="endsWith" dxfId="9" priority="6" stopIfTrue="1" operator="endsWith" text="_">
      <formula>RIGHT(K3,LEN("_"))="_"</formula>
    </cfRule>
    <cfRule type="endsWith" dxfId="8" priority="8" stopIfTrue="1" operator="endsWith" text="*">
      <formula>RIGHT(K3,LEN("*"))="*"</formula>
    </cfRule>
    <cfRule type="endsWith" dxfId="7" priority="9" stopIfTrue="1" operator="endsWith" text="!">
      <formula>RIGHT(K3,LEN("!"))="!"</formula>
    </cfRule>
    <cfRule type="endsWith" dxfId="6" priority="10" stopIfTrue="1" operator="endsWith" text="?">
      <formula>RIGHT(K3,LEN("?"))="?"</formula>
    </cfRule>
  </conditionalFormatting>
  <conditionalFormatting sqref="J3">
    <cfRule type="endsWith" dxfId="5" priority="1" stopIfTrue="1" operator="endsWith" text="_">
      <formula>RIGHT(J3,LEN("_"))="_"</formula>
    </cfRule>
    <cfRule type="endsWith" dxfId="4" priority="3" stopIfTrue="1" operator="endsWith" text="*">
      <formula>RIGHT(J3,LEN("*"))="*"</formula>
    </cfRule>
    <cfRule type="endsWith" dxfId="3" priority="4" stopIfTrue="1" operator="endsWith" text="!">
      <formula>RIGHT(J3,LEN("!"))="!"</formula>
    </cfRule>
    <cfRule type="endsWith" dxfId="2" priority="5" stopIfTrue="1" operator="endsWith" text="?">
      <formula>RIGHT(J3,LEN("?"))="?"</formula>
    </cfRule>
  </conditionalFormatting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CB_LoadVarTemplate">
          <controlPr defaultSize="0" autoLine="0" r:id="rId6">
            <anchor moveWithCells="1">
              <from>
                <xdr:col>11</xdr:col>
                <xdr:colOff>0</xdr:colOff>
                <xdr:row>6</xdr:row>
                <xdr:rowOff>57150</xdr:rowOff>
              </from>
              <to>
                <xdr:col>11</xdr:col>
                <xdr:colOff>723900</xdr:colOff>
                <xdr:row>7</xdr:row>
                <xdr:rowOff>104775</xdr:rowOff>
              </to>
            </anchor>
          </controlPr>
        </control>
      </mc:Choice>
      <mc:Fallback>
        <control shapeId="2050" r:id="rId5" name="CB_LoadVarTemplat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7" stopIfTrue="1" operator="endsWith" id="{B38E4C93-EF10-49F8-937E-D8E231160362}">
            <xm:f>RIGHT(K3,LEN("\"))="\"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K3</xm:sqref>
        </x14:conditionalFormatting>
        <x14:conditionalFormatting xmlns:xm="http://schemas.microsoft.com/office/excel/2006/main">
          <x14:cfRule type="endsWith" priority="2" stopIfTrue="1" operator="endsWith" id="{A46D0CEB-A58A-4A65-B5E7-1A1216B9960D}">
            <xm:f>RIGHT(J3,LEN("\"))="\"</xm:f>
            <xm:f>"\"</xm:f>
            <x14:dxf>
              <font>
                <strike val="0"/>
              </font>
              <fill>
                <patternFill patternType="lightDown"/>
              </fill>
            </x14:dxf>
          </x14:cfRule>
          <xm:sqref>J3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7:I29"/>
  <sheetViews>
    <sheetView workbookViewId="0">
      <selection activeCell="C30" sqref="C30:E30"/>
    </sheetView>
  </sheetViews>
  <sheetFormatPr defaultRowHeight="15" x14ac:dyDescent="0.25"/>
  <cols>
    <col min="4" max="4" width="25.7109375" customWidth="1"/>
    <col min="5" max="5" width="43.140625" customWidth="1"/>
    <col min="6" max="6" width="25.28515625" customWidth="1"/>
    <col min="7" max="7" width="28.28515625" customWidth="1"/>
    <col min="8" max="8" width="28.28515625" style="21" customWidth="1"/>
    <col min="9" max="9" width="16.5703125" customWidth="1"/>
  </cols>
  <sheetData>
    <row r="7" spans="4:9" x14ac:dyDescent="0.25">
      <c r="F7" t="s">
        <v>7</v>
      </c>
      <c r="I7" t="s">
        <v>1</v>
      </c>
    </row>
    <row r="8" spans="4:9" x14ac:dyDescent="0.25">
      <c r="D8" t="s">
        <v>5</v>
      </c>
      <c r="E8" t="s">
        <v>2</v>
      </c>
    </row>
    <row r="9" spans="4:9" x14ac:dyDescent="0.25">
      <c r="D9" t="s">
        <v>0</v>
      </c>
      <c r="E9" t="s">
        <v>3</v>
      </c>
      <c r="I9" t="s">
        <v>6</v>
      </c>
    </row>
    <row r="10" spans="4:9" x14ac:dyDescent="0.25">
      <c r="D10" t="s">
        <v>4</v>
      </c>
      <c r="I10" t="s">
        <v>6</v>
      </c>
    </row>
    <row r="17" spans="4:9" x14ac:dyDescent="0.25">
      <c r="D17">
        <f>0.00000003/0.3</f>
        <v>9.9999999999999995E-8</v>
      </c>
    </row>
    <row r="18" spans="4:9" x14ac:dyDescent="0.25">
      <c r="D18">
        <f>0.00000015/0.3</f>
        <v>4.9999999999999998E-7</v>
      </c>
    </row>
    <row r="25" spans="4:9" x14ac:dyDescent="0.25">
      <c r="F25" t="s">
        <v>584</v>
      </c>
      <c r="G25" t="s">
        <v>587</v>
      </c>
      <c r="H25" s="21" t="s">
        <v>588</v>
      </c>
      <c r="I25" t="s">
        <v>581</v>
      </c>
    </row>
    <row r="26" spans="4:9" x14ac:dyDescent="0.25">
      <c r="D26" t="s">
        <v>591</v>
      </c>
      <c r="E26" s="21" t="s">
        <v>585</v>
      </c>
      <c r="F26" s="21" t="s">
        <v>582</v>
      </c>
      <c r="G26" s="21" t="s">
        <v>582</v>
      </c>
      <c r="H26" s="21" t="s">
        <v>583</v>
      </c>
      <c r="I26" t="s">
        <v>583</v>
      </c>
    </row>
    <row r="27" spans="4:9" x14ac:dyDescent="0.25">
      <c r="D27" t="s">
        <v>592</v>
      </c>
      <c r="E27" t="s">
        <v>586</v>
      </c>
      <c r="F27" s="21" t="s">
        <v>590</v>
      </c>
      <c r="G27" s="21" t="s">
        <v>582</v>
      </c>
      <c r="H27" s="21" t="s">
        <v>583</v>
      </c>
      <c r="I27" s="21" t="s">
        <v>583</v>
      </c>
    </row>
    <row r="28" spans="4:9" x14ac:dyDescent="0.25">
      <c r="D28" t="s">
        <v>595</v>
      </c>
      <c r="E28" t="s">
        <v>580</v>
      </c>
      <c r="F28" t="s">
        <v>583</v>
      </c>
      <c r="G28" t="s">
        <v>583</v>
      </c>
      <c r="H28" s="21" t="s">
        <v>589</v>
      </c>
      <c r="I28" s="21" t="s">
        <v>583</v>
      </c>
    </row>
    <row r="29" spans="4:9" x14ac:dyDescent="0.25">
      <c r="D29" t="s">
        <v>599</v>
      </c>
      <c r="E29" t="s">
        <v>596</v>
      </c>
      <c r="F29" t="s">
        <v>589</v>
      </c>
      <c r="G29" t="s">
        <v>583</v>
      </c>
      <c r="H29" s="21" t="s">
        <v>583</v>
      </c>
      <c r="I29" t="s">
        <v>12</v>
      </c>
    </row>
  </sheetData>
  <customSheetViews>
    <customSheetView guid="{2E790F67-B1CF-4589-8EE3-FDE1E951836B}">
      <selection activeCell="D51" sqref="D5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2"/>
  <sheetViews>
    <sheetView workbookViewId="0">
      <selection activeCell="I22" sqref="I22"/>
    </sheetView>
  </sheetViews>
  <sheetFormatPr defaultRowHeight="15" x14ac:dyDescent="0.25"/>
  <cols>
    <col min="4" max="4" width="29.7109375" customWidth="1"/>
    <col min="5" max="5" width="34.42578125" customWidth="1"/>
    <col min="8" max="8" width="69.42578125" bestFit="1" customWidth="1"/>
    <col min="9" max="9" width="24" customWidth="1"/>
  </cols>
  <sheetData>
    <row r="1" spans="1:9" x14ac:dyDescent="0.25">
      <c r="A1" t="s">
        <v>15</v>
      </c>
      <c r="B1">
        <v>30</v>
      </c>
      <c r="C1" t="s">
        <v>16</v>
      </c>
    </row>
    <row r="2" spans="1:9" x14ac:dyDescent="0.25">
      <c r="A2" t="s">
        <v>17</v>
      </c>
      <c r="B2">
        <v>360</v>
      </c>
      <c r="C2" t="s">
        <v>18</v>
      </c>
    </row>
    <row r="6" spans="1:9" ht="14.25" customHeight="1" x14ac:dyDescent="0.25"/>
    <row r="7" spans="1:9" x14ac:dyDescent="0.25">
      <c r="D7" t="s">
        <v>14</v>
      </c>
      <c r="E7" t="s">
        <v>12</v>
      </c>
      <c r="F7" t="s">
        <v>13</v>
      </c>
      <c r="H7" t="s">
        <v>19</v>
      </c>
      <c r="I7" t="s">
        <v>20</v>
      </c>
    </row>
    <row r="8" spans="1:9" x14ac:dyDescent="0.25">
      <c r="D8" t="s">
        <v>8</v>
      </c>
      <c r="E8" t="e">
        <f>COS(k_Yth/180*PI())</f>
        <v>#NAME?</v>
      </c>
      <c r="H8" t="str">
        <f xml:space="preserve"> $D8&amp;"_Pinv_egu = "&amp;IF(ISNUMBER(E8),$D8&amp;"_"&amp;E$7&amp;"0_egu+"&amp;E$7&amp;"_Pcmd_egu*"&amp;E8,"") &amp; IF(ISNUMBER(F8)," + "&amp;$D8&amp;"_"&amp;F$7&amp;"0_egu+"&amp;F$7&amp;"_Pcmd_egu*"&amp;F8,"")</f>
        <v xml:space="preserve">m1_Pinv_egu = </v>
      </c>
      <c r="I8" t="str">
        <f t="shared" ref="I8:I9" si="0">E$7&amp;"_rbv_egu = "&amp;IF(ISNUMBER(E8),"("&amp;D8&amp;"_Prbv_egu-"&amp;D8&amp;"_"&amp;E$7&amp;"0_egu)/"&amp;E8,"")&amp;IF(ISNUMBER(F8)," + ("&amp;D8&amp;"_Prbv_egu-"&amp;D8&amp;"_"&amp;F$7&amp;"0_egu)/"&amp;F8,"")</f>
        <v xml:space="preserve">X_rbv_egu = </v>
      </c>
    </row>
    <row r="9" spans="1:9" x14ac:dyDescent="0.25">
      <c r="D9" t="s">
        <v>9</v>
      </c>
      <c r="F9">
        <v>10000</v>
      </c>
      <c r="H9" t="str">
        <f t="shared" ref="H9:H11" si="1" xml:space="preserve"> $D9&amp;"_Pinv_egu = "&amp;IF(ISNUMBER(E9),$D9&amp;"_"&amp;E$7&amp;"0_egu+"&amp;E$7&amp;"_Pcmd_egu*"&amp;E9,"") &amp; IF(ISNUMBER(F9)," + "&amp;$D9&amp;"_"&amp;F$7&amp;"0_egu+"&amp;F$7&amp;"_Pcmd_egu*"&amp;F9,"")</f>
        <v>m2_Pinv_egu =  + m2_Y0_egu+Y_Pcmd_egu*10000</v>
      </c>
      <c r="I9" t="str">
        <f t="shared" si="0"/>
        <v>X_rbv_egu =  + (m2_Prbv_egu-m2_Y0_egu)/10000</v>
      </c>
    </row>
    <row r="10" spans="1:9" x14ac:dyDescent="0.25">
      <c r="D10" t="s">
        <v>10</v>
      </c>
      <c r="E10" t="e">
        <f>-SIN(k_Yth/180*PI())</f>
        <v>#NAME?</v>
      </c>
      <c r="F10">
        <v>3</v>
      </c>
      <c r="H10" t="str">
        <f t="shared" si="1"/>
        <v>m3_Pinv_egu =  + m3_Y0_egu+Y_Pcmd_egu*3</v>
      </c>
      <c r="I10" t="str">
        <f>E$7&amp;"_rbv_egu = "&amp;IF(ISNUMBER(E10),"("&amp;D10&amp;"_Prbv_egu-"&amp;D10&amp;"_"&amp;E$7&amp;"0_egu)/"&amp;E10,"")&amp;IF(ISNUMBER(F10)," + ("&amp;D10&amp;"_Prbv_egu-"&amp;D10&amp;"_"&amp;F$7&amp;"0_egu)/"&amp;F10,"")</f>
        <v>X_rbv_egu =  + (m3_Prbv_egu-m3_Y0_egu)/3</v>
      </c>
    </row>
    <row r="11" spans="1:9" x14ac:dyDescent="0.25">
      <c r="D11" t="s">
        <v>11</v>
      </c>
      <c r="F11">
        <v>20</v>
      </c>
      <c r="H11" t="str">
        <f t="shared" si="1"/>
        <v>m4_Pinv_egu =  + m4_Y0_egu+Y_Pcmd_egu*20</v>
      </c>
      <c r="I11" t="str">
        <f t="shared" ref="I11" si="2">E$7&amp;"_rbv_egu = "&amp;IF(ISNUMBER(E11),"("&amp;D11&amp;"_Prbv_egu-"&amp;D11&amp;"_"&amp;E$7&amp;"0_egu)/"&amp;E11,"")&amp;IF(ISNUMBER(F11)," + ("&amp;D11&amp;"_Prbv_egu-"&amp;D11&amp;"_"&amp;F$7&amp;"0_egu)/"&amp;F11,"")</f>
        <v>X_rbv_egu =  + (m4_Prbv_egu-m4_Y0_egu)/20</v>
      </c>
    </row>
    <row r="18" spans="4:9" x14ac:dyDescent="0.25">
      <c r="D18" t="s">
        <v>14</v>
      </c>
      <c r="E18" t="s">
        <v>12</v>
      </c>
      <c r="F18" t="s">
        <v>13</v>
      </c>
      <c r="H18" t="s">
        <v>19</v>
      </c>
      <c r="I18" t="s">
        <v>20</v>
      </c>
    </row>
    <row r="19" spans="4:9" x14ac:dyDescent="0.25">
      <c r="D19" t="s">
        <v>8</v>
      </c>
      <c r="E19" t="s">
        <v>23</v>
      </c>
      <c r="H19" t="str">
        <f xml:space="preserve"> $D19&amp;"_Pinv_egu = "&amp;$D19&amp;"_X0_egu+"&amp;SUBSTITUTE(SUBSTITUTE(E19,"YY","Y_Pcmd_egu"),"XX","X_Pcmd_egu")</f>
        <v>m1_Pinv_egu = m1_X0_egu+X_Pcmd_egu*cos(Yth)+Y_Pcmd_egu</v>
      </c>
      <c r="I19" t="str">
        <f t="shared" ref="I19:I20" si="3">E$7&amp;"_rbv_egu = "&amp;IF(ISNUMBER(E19),"("&amp;D19&amp;"_Prbv_egu-"&amp;D19&amp;"_"&amp;E$7&amp;"0_egu)/"&amp;E19,"")&amp;IF(ISNUMBER(F19)," + ("&amp;D19&amp;"_Prbv_egu-"&amp;D19&amp;"_"&amp;F$7&amp;"0_egu)/"&amp;F19,"")</f>
        <v xml:space="preserve">X_rbv_egu = </v>
      </c>
    </row>
    <row r="20" spans="4:9" x14ac:dyDescent="0.25">
      <c r="D20" t="s">
        <v>9</v>
      </c>
      <c r="E20" t="s">
        <v>21</v>
      </c>
      <c r="F20">
        <v>10000</v>
      </c>
      <c r="H20" t="str">
        <f t="shared" ref="H20:H22" si="4" xml:space="preserve"> $D20&amp;"_Pinv_egu = "&amp;$D20&amp;"_X0_egu+"&amp;SUBSTITUTE(SUBSTITUTE(E20,"YY","Y_Pcmd_egu"),"XX","X_Pcmd_egu")</f>
        <v>m2_Pinv_egu = m2_X0_egu+10000*Y_Pcmd_egu</v>
      </c>
      <c r="I20" t="str">
        <f t="shared" si="3"/>
        <v>X_rbv_egu =  + (m2_Prbv_egu-m2_Y0_egu)/10000</v>
      </c>
    </row>
    <row r="21" spans="4:9" x14ac:dyDescent="0.25">
      <c r="D21" t="s">
        <v>10</v>
      </c>
      <c r="E21" t="s">
        <v>22</v>
      </c>
      <c r="F21">
        <v>3</v>
      </c>
      <c r="H21" t="str">
        <f t="shared" si="4"/>
        <v>m3_Pinv_egu = m3_X0_egu+X_Pcmd_egu*-sin(Yth)</v>
      </c>
      <c r="I21" t="str">
        <f>E$7&amp;"_rbv_egu = "&amp;IF(ISNUMBER(E21),"("&amp;D21&amp;"_Prbv_egu-"&amp;D21&amp;"_"&amp;E$7&amp;"0_egu)/"&amp;E21,"")&amp;IF(ISNUMBER(F21)," + ("&amp;D21&amp;"_Prbv_egu-"&amp;D21&amp;"_"&amp;F$7&amp;"0_egu)/"&amp;F21,"")</f>
        <v>X_rbv_egu =  + (m3_Prbv_egu-m3_Y0_egu)/3</v>
      </c>
    </row>
    <row r="22" spans="4:9" x14ac:dyDescent="0.25">
      <c r="D22" t="s">
        <v>11</v>
      </c>
      <c r="F22">
        <v>20</v>
      </c>
      <c r="H22" t="str">
        <f t="shared" si="4"/>
        <v>m4_Pinv_egu = m4_X0_egu+</v>
      </c>
      <c r="I22" t="str">
        <f t="shared" ref="I22" si="5">E$7&amp;"_rbv_egu = "&amp;IF(ISNUMBER(E22),"("&amp;D22&amp;"_Prbv_egu-"&amp;D22&amp;"_"&amp;E$7&amp;"0_egu)/"&amp;E22,"")&amp;IF(ISNUMBER(F22)," + ("&amp;D22&amp;"_Prbv_egu-"&amp;D22&amp;"_"&amp;F$7&amp;"0_egu)/"&amp;F22,"")</f>
        <v>X_rbv_egu =  + (m4_Prbv_egu-m4_Y0_egu)/20</v>
      </c>
    </row>
  </sheetData>
  <customSheetViews>
    <customSheetView guid="{2E790F67-B1CF-4589-8EE3-FDE1E951836B}">
      <selection activeCell="C21" sqref="C2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3"/>
  <sheetViews>
    <sheetView workbookViewId="0">
      <pane xSplit="1" ySplit="2" topLeftCell="B102" activePane="bottomRight" state="frozen"/>
      <selection pane="topRight" activeCell="B1" sqref="B1"/>
      <selection pane="bottomLeft" activeCell="A3" sqref="A3"/>
      <selection pane="bottomRight" activeCell="A122" sqref="A122"/>
    </sheetView>
  </sheetViews>
  <sheetFormatPr defaultRowHeight="15" x14ac:dyDescent="0.25"/>
  <cols>
    <col min="1" max="1" width="34.5703125" bestFit="1" customWidth="1"/>
    <col min="2" max="2" width="6" bestFit="1" customWidth="1"/>
    <col min="3" max="3" width="22.28515625" bestFit="1" customWidth="1"/>
    <col min="4" max="4" width="16.42578125" bestFit="1" customWidth="1"/>
    <col min="5" max="5" width="21.42578125" bestFit="1" customWidth="1"/>
    <col min="6" max="6" width="6" bestFit="1" customWidth="1"/>
    <col min="7" max="7" width="8.85546875" bestFit="1" customWidth="1"/>
    <col min="8" max="8" width="7.42578125" customWidth="1"/>
    <col min="9" max="9" width="6.28515625" bestFit="1" customWidth="1"/>
    <col min="10" max="11" width="6.42578125" bestFit="1" customWidth="1"/>
    <col min="12" max="12" width="76.85546875" bestFit="1" customWidth="1"/>
    <col min="13" max="13" width="18" customWidth="1"/>
  </cols>
  <sheetData>
    <row r="1" spans="1:12" x14ac:dyDescent="0.25">
      <c r="A1" t="s">
        <v>352</v>
      </c>
    </row>
    <row r="2" spans="1:12" x14ac:dyDescent="0.25">
      <c r="A2" t="s">
        <v>57</v>
      </c>
      <c r="B2" t="s">
        <v>58</v>
      </c>
      <c r="C2" t="s">
        <v>59</v>
      </c>
      <c r="D2" t="s">
        <v>60</v>
      </c>
      <c r="E2" t="s">
        <v>61</v>
      </c>
      <c r="F2" t="s">
        <v>62</v>
      </c>
      <c r="G2" t="s">
        <v>63</v>
      </c>
      <c r="H2" t="s">
        <v>64</v>
      </c>
      <c r="I2" t="s">
        <v>65</v>
      </c>
      <c r="J2" t="s">
        <v>66</v>
      </c>
      <c r="K2" t="s">
        <v>67</v>
      </c>
      <c r="L2" t="s">
        <v>68</v>
      </c>
    </row>
    <row r="3" spans="1:12" x14ac:dyDescent="0.25">
      <c r="A3" t="s">
        <v>69</v>
      </c>
      <c r="B3" t="s">
        <v>70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</row>
    <row r="4" spans="1:12" x14ac:dyDescent="0.25">
      <c r="A4" t="s">
        <v>81</v>
      </c>
      <c r="B4" t="s">
        <v>70</v>
      </c>
      <c r="C4" t="s">
        <v>82</v>
      </c>
      <c r="D4" t="s">
        <v>82</v>
      </c>
      <c r="E4" t="s">
        <v>83</v>
      </c>
      <c r="F4" t="s">
        <v>74</v>
      </c>
      <c r="G4" t="s">
        <v>75</v>
      </c>
      <c r="H4" t="s">
        <v>76</v>
      </c>
      <c r="I4" t="s">
        <v>77</v>
      </c>
      <c r="J4" t="s">
        <v>78</v>
      </c>
      <c r="K4" t="s">
        <v>79</v>
      </c>
      <c r="L4" t="s">
        <v>84</v>
      </c>
    </row>
    <row r="5" spans="1:12" x14ac:dyDescent="0.25">
      <c r="A5" t="s">
        <v>85</v>
      </c>
      <c r="B5" t="s">
        <v>86</v>
      </c>
      <c r="C5">
        <v>3512</v>
      </c>
      <c r="D5">
        <v>2048</v>
      </c>
      <c r="E5" t="s">
        <v>87</v>
      </c>
      <c r="F5">
        <v>0</v>
      </c>
      <c r="G5">
        <v>4095</v>
      </c>
      <c r="H5">
        <v>1</v>
      </c>
      <c r="I5" t="s">
        <v>77</v>
      </c>
      <c r="J5" t="s">
        <v>78</v>
      </c>
      <c r="K5" t="s">
        <v>79</v>
      </c>
    </row>
    <row r="6" spans="1:12" x14ac:dyDescent="0.25">
      <c r="A6" t="s">
        <v>88</v>
      </c>
      <c r="B6" t="s">
        <v>86</v>
      </c>
      <c r="C6">
        <v>2048</v>
      </c>
      <c r="D6">
        <v>2048</v>
      </c>
      <c r="E6" t="s">
        <v>89</v>
      </c>
      <c r="F6">
        <v>0</v>
      </c>
      <c r="G6">
        <v>4095</v>
      </c>
      <c r="H6">
        <v>1</v>
      </c>
      <c r="I6" t="s">
        <v>77</v>
      </c>
      <c r="J6" t="s">
        <v>78</v>
      </c>
      <c r="K6" t="s">
        <v>79</v>
      </c>
    </row>
    <row r="7" spans="1:12" x14ac:dyDescent="0.25">
      <c r="A7" t="s">
        <v>90</v>
      </c>
      <c r="B7" t="s">
        <v>70</v>
      </c>
      <c r="C7" t="s">
        <v>91</v>
      </c>
      <c r="D7" t="s">
        <v>91</v>
      </c>
      <c r="E7" t="s">
        <v>92</v>
      </c>
      <c r="F7" t="s">
        <v>74</v>
      </c>
      <c r="G7" t="s">
        <v>75</v>
      </c>
      <c r="H7" t="s">
        <v>76</v>
      </c>
      <c r="I7" t="s">
        <v>77</v>
      </c>
      <c r="J7" t="s">
        <v>78</v>
      </c>
      <c r="K7" t="s">
        <v>79</v>
      </c>
      <c r="L7" t="s">
        <v>93</v>
      </c>
    </row>
    <row r="8" spans="1:12" x14ac:dyDescent="0.25">
      <c r="A8" t="s">
        <v>94</v>
      </c>
      <c r="B8" t="s">
        <v>95</v>
      </c>
      <c r="C8" t="s">
        <v>96</v>
      </c>
      <c r="D8" t="s">
        <v>96</v>
      </c>
      <c r="E8" t="s">
        <v>97</v>
      </c>
      <c r="F8" t="s">
        <v>74</v>
      </c>
      <c r="G8" t="s">
        <v>75</v>
      </c>
      <c r="H8" t="s">
        <v>76</v>
      </c>
      <c r="I8" t="s">
        <v>77</v>
      </c>
      <c r="J8" t="s">
        <v>78</v>
      </c>
      <c r="K8" t="s">
        <v>79</v>
      </c>
    </row>
    <row r="9" spans="1:12" x14ac:dyDescent="0.25">
      <c r="A9" t="s">
        <v>98</v>
      </c>
      <c r="B9" t="s">
        <v>36</v>
      </c>
      <c r="C9">
        <v>250</v>
      </c>
      <c r="D9" t="s">
        <v>99</v>
      </c>
      <c r="E9" t="s">
        <v>100</v>
      </c>
      <c r="F9">
        <v>0</v>
      </c>
      <c r="G9">
        <v>400</v>
      </c>
      <c r="H9" t="s">
        <v>76</v>
      </c>
      <c r="I9" t="s">
        <v>101</v>
      </c>
      <c r="J9" t="s">
        <v>102</v>
      </c>
      <c r="K9" t="s">
        <v>103</v>
      </c>
    </row>
    <row r="10" spans="1:12" x14ac:dyDescent="0.25">
      <c r="A10" t="s">
        <v>104</v>
      </c>
      <c r="B10" t="s">
        <v>70</v>
      </c>
      <c r="C10" t="s">
        <v>105</v>
      </c>
      <c r="D10" t="s">
        <v>105</v>
      </c>
      <c r="E10" t="s">
        <v>106</v>
      </c>
      <c r="F10" t="s">
        <v>74</v>
      </c>
      <c r="G10" t="s">
        <v>75</v>
      </c>
      <c r="H10" t="s">
        <v>76</v>
      </c>
      <c r="I10" t="s">
        <v>77</v>
      </c>
      <c r="J10" t="s">
        <v>78</v>
      </c>
      <c r="K10" t="s">
        <v>79</v>
      </c>
      <c r="L10" t="s">
        <v>107</v>
      </c>
    </row>
    <row r="11" spans="1:12" x14ac:dyDescent="0.25">
      <c r="A11" t="s">
        <v>108</v>
      </c>
      <c r="B11" t="s">
        <v>86</v>
      </c>
      <c r="C11">
        <v>3.2478332999999998E-2</v>
      </c>
      <c r="D11">
        <v>0</v>
      </c>
      <c r="E11" t="s">
        <v>109</v>
      </c>
      <c r="F11">
        <v>-1</v>
      </c>
      <c r="G11">
        <v>1</v>
      </c>
      <c r="H11">
        <v>0.1</v>
      </c>
      <c r="I11" t="s">
        <v>77</v>
      </c>
      <c r="J11" t="s">
        <v>78</v>
      </c>
      <c r="K11" t="s">
        <v>103</v>
      </c>
    </row>
    <row r="12" spans="1:12" x14ac:dyDescent="0.25">
      <c r="A12" t="s">
        <v>110</v>
      </c>
      <c r="B12" t="s">
        <v>70</v>
      </c>
      <c r="C12" t="s">
        <v>111</v>
      </c>
      <c r="D12" t="s">
        <v>111</v>
      </c>
      <c r="E12" t="s">
        <v>112</v>
      </c>
      <c r="F12" t="s">
        <v>74</v>
      </c>
      <c r="G12" t="s">
        <v>75</v>
      </c>
      <c r="H12" t="s">
        <v>76</v>
      </c>
      <c r="I12" t="s">
        <v>77</v>
      </c>
      <c r="J12" t="s">
        <v>78</v>
      </c>
      <c r="K12" t="s">
        <v>103</v>
      </c>
      <c r="L12" t="s">
        <v>113</v>
      </c>
    </row>
    <row r="13" spans="1:12" x14ac:dyDescent="0.25">
      <c r="A13" t="s">
        <v>114</v>
      </c>
      <c r="B13" t="s">
        <v>95</v>
      </c>
      <c r="C13" t="s">
        <v>115</v>
      </c>
      <c r="D13" t="s">
        <v>115</v>
      </c>
      <c r="E13" t="s">
        <v>116</v>
      </c>
      <c r="F13" t="s">
        <v>74</v>
      </c>
      <c r="G13" t="s">
        <v>75</v>
      </c>
      <c r="H13" t="s">
        <v>76</v>
      </c>
      <c r="I13" t="s">
        <v>77</v>
      </c>
      <c r="J13" t="s">
        <v>78</v>
      </c>
      <c r="K13" t="s">
        <v>103</v>
      </c>
    </row>
    <row r="14" spans="1:12" x14ac:dyDescent="0.25">
      <c r="A14" t="s">
        <v>117</v>
      </c>
      <c r="B14" t="s">
        <v>36</v>
      </c>
      <c r="C14">
        <v>5</v>
      </c>
      <c r="D14">
        <v>250</v>
      </c>
      <c r="E14" t="s">
        <v>118</v>
      </c>
      <c r="F14">
        <v>0</v>
      </c>
      <c r="G14">
        <v>1020</v>
      </c>
      <c r="H14" t="s">
        <v>76</v>
      </c>
      <c r="I14" t="s">
        <v>77</v>
      </c>
      <c r="J14" t="s">
        <v>78</v>
      </c>
      <c r="K14" t="s">
        <v>103</v>
      </c>
    </row>
    <row r="15" spans="1:12" x14ac:dyDescent="0.25">
      <c r="A15" t="s">
        <v>119</v>
      </c>
      <c r="B15" t="s">
        <v>36</v>
      </c>
      <c r="C15">
        <v>5</v>
      </c>
      <c r="D15">
        <v>25</v>
      </c>
      <c r="E15" t="s">
        <v>120</v>
      </c>
      <c r="F15">
        <v>0</v>
      </c>
      <c r="G15">
        <v>125</v>
      </c>
      <c r="H15" t="s">
        <v>76</v>
      </c>
      <c r="I15" t="s">
        <v>77</v>
      </c>
      <c r="J15" t="s">
        <v>78</v>
      </c>
      <c r="K15" t="s">
        <v>103</v>
      </c>
    </row>
    <row r="16" spans="1:12" x14ac:dyDescent="0.25">
      <c r="A16" t="s">
        <v>121</v>
      </c>
      <c r="B16" t="s">
        <v>86</v>
      </c>
      <c r="C16">
        <v>-2.4986458E-2</v>
      </c>
      <c r="D16">
        <v>-2.4994087000000002E-2</v>
      </c>
      <c r="E16" t="s">
        <v>122</v>
      </c>
      <c r="F16">
        <v>-1</v>
      </c>
      <c r="G16">
        <v>1</v>
      </c>
      <c r="H16" t="s">
        <v>76</v>
      </c>
      <c r="I16" t="s">
        <v>77</v>
      </c>
      <c r="J16" t="s">
        <v>78</v>
      </c>
      <c r="K16" t="s">
        <v>103</v>
      </c>
    </row>
    <row r="17" spans="1:12" x14ac:dyDescent="0.25">
      <c r="A17" t="s">
        <v>123</v>
      </c>
      <c r="B17" t="s">
        <v>36</v>
      </c>
      <c r="C17">
        <v>0</v>
      </c>
      <c r="D17" t="s">
        <v>99</v>
      </c>
      <c r="E17" t="s">
        <v>124</v>
      </c>
      <c r="F17" t="s">
        <v>74</v>
      </c>
      <c r="G17" t="s">
        <v>75</v>
      </c>
      <c r="H17" t="s">
        <v>76</v>
      </c>
      <c r="I17" t="s">
        <v>77</v>
      </c>
      <c r="J17" t="s">
        <v>102</v>
      </c>
      <c r="K17" t="s">
        <v>103</v>
      </c>
    </row>
    <row r="18" spans="1:12" x14ac:dyDescent="0.25">
      <c r="A18" t="s">
        <v>125</v>
      </c>
      <c r="B18" t="s">
        <v>70</v>
      </c>
      <c r="C18" t="s">
        <v>126</v>
      </c>
      <c r="D18" t="s">
        <v>99</v>
      </c>
      <c r="E18" t="s">
        <v>127</v>
      </c>
      <c r="F18" t="s">
        <v>74</v>
      </c>
      <c r="G18" t="s">
        <v>75</v>
      </c>
      <c r="H18" t="s">
        <v>76</v>
      </c>
      <c r="I18" t="s">
        <v>77</v>
      </c>
      <c r="J18" t="s">
        <v>102</v>
      </c>
      <c r="K18" t="s">
        <v>103</v>
      </c>
      <c r="L18" t="s">
        <v>128</v>
      </c>
    </row>
    <row r="19" spans="1:12" x14ac:dyDescent="0.25">
      <c r="A19" t="s">
        <v>129</v>
      </c>
      <c r="B19" t="s">
        <v>70</v>
      </c>
      <c r="C19" t="s">
        <v>130</v>
      </c>
      <c r="D19" t="s">
        <v>111</v>
      </c>
      <c r="E19" t="s">
        <v>131</v>
      </c>
      <c r="F19" t="s">
        <v>74</v>
      </c>
      <c r="G19" t="s">
        <v>75</v>
      </c>
      <c r="H19" t="s">
        <v>76</v>
      </c>
      <c r="I19" t="s">
        <v>77</v>
      </c>
      <c r="J19" t="s">
        <v>78</v>
      </c>
      <c r="K19" t="s">
        <v>103</v>
      </c>
      <c r="L19" t="s">
        <v>132</v>
      </c>
    </row>
    <row r="20" spans="1:12" x14ac:dyDescent="0.25">
      <c r="A20" t="s">
        <v>133</v>
      </c>
      <c r="B20" t="s">
        <v>36</v>
      </c>
      <c r="C20">
        <v>4095</v>
      </c>
      <c r="D20">
        <v>4095</v>
      </c>
      <c r="E20" t="s">
        <v>134</v>
      </c>
      <c r="F20">
        <v>0</v>
      </c>
      <c r="G20">
        <v>4095</v>
      </c>
      <c r="H20" t="s">
        <v>76</v>
      </c>
      <c r="I20" t="s">
        <v>77</v>
      </c>
      <c r="J20" t="s">
        <v>78</v>
      </c>
      <c r="K20" t="s">
        <v>103</v>
      </c>
    </row>
    <row r="21" spans="1:12" x14ac:dyDescent="0.25">
      <c r="A21" t="s">
        <v>135</v>
      </c>
      <c r="B21" t="s">
        <v>36</v>
      </c>
      <c r="C21">
        <v>0</v>
      </c>
      <c r="D21">
        <v>0</v>
      </c>
      <c r="E21" t="s">
        <v>136</v>
      </c>
      <c r="F21">
        <v>0</v>
      </c>
      <c r="G21">
        <v>4095</v>
      </c>
      <c r="H21" t="s">
        <v>76</v>
      </c>
      <c r="I21" t="s">
        <v>77</v>
      </c>
      <c r="J21" t="s">
        <v>78</v>
      </c>
      <c r="K21" t="s">
        <v>103</v>
      </c>
    </row>
    <row r="22" spans="1:12" x14ac:dyDescent="0.25">
      <c r="A22" t="s">
        <v>137</v>
      </c>
      <c r="B22" t="s">
        <v>36</v>
      </c>
      <c r="C22">
        <v>1</v>
      </c>
      <c r="D22">
        <v>1</v>
      </c>
      <c r="E22" t="s">
        <v>138</v>
      </c>
      <c r="F22">
        <v>0</v>
      </c>
      <c r="G22">
        <v>256</v>
      </c>
      <c r="H22" t="s">
        <v>76</v>
      </c>
      <c r="I22" t="s">
        <v>77</v>
      </c>
      <c r="J22" t="s">
        <v>78</v>
      </c>
      <c r="K22" t="s">
        <v>103</v>
      </c>
    </row>
    <row r="23" spans="1:12" x14ac:dyDescent="0.25">
      <c r="A23" t="s">
        <v>139</v>
      </c>
      <c r="B23" t="s">
        <v>36</v>
      </c>
      <c r="C23">
        <v>1</v>
      </c>
      <c r="D23">
        <v>1</v>
      </c>
      <c r="E23" t="s">
        <v>140</v>
      </c>
      <c r="F23">
        <v>0</v>
      </c>
      <c r="G23">
        <v>128</v>
      </c>
      <c r="H23" t="s">
        <v>76</v>
      </c>
      <c r="I23" t="s">
        <v>77</v>
      </c>
      <c r="J23" t="s">
        <v>78</v>
      </c>
      <c r="K23" t="s">
        <v>103</v>
      </c>
    </row>
    <row r="24" spans="1:12" x14ac:dyDescent="0.25">
      <c r="A24" t="s">
        <v>141</v>
      </c>
      <c r="B24" t="s">
        <v>95</v>
      </c>
      <c r="C24" t="s">
        <v>96</v>
      </c>
      <c r="D24" t="s">
        <v>99</v>
      </c>
      <c r="E24" t="s">
        <v>142</v>
      </c>
      <c r="F24" t="s">
        <v>74</v>
      </c>
      <c r="G24" t="s">
        <v>75</v>
      </c>
      <c r="H24" t="s">
        <v>76</v>
      </c>
      <c r="I24" t="s">
        <v>77</v>
      </c>
      <c r="J24" t="s">
        <v>78</v>
      </c>
      <c r="K24" t="s">
        <v>143</v>
      </c>
    </row>
    <row r="25" spans="1:12" x14ac:dyDescent="0.25">
      <c r="A25" t="s">
        <v>144</v>
      </c>
      <c r="B25" t="s">
        <v>47</v>
      </c>
      <c r="C25" t="s">
        <v>145</v>
      </c>
      <c r="D25" t="s">
        <v>99</v>
      </c>
      <c r="E25" t="s">
        <v>146</v>
      </c>
      <c r="F25" t="s">
        <v>74</v>
      </c>
      <c r="G25" t="s">
        <v>75</v>
      </c>
      <c r="H25" t="s">
        <v>76</v>
      </c>
      <c r="I25" t="s">
        <v>77</v>
      </c>
      <c r="J25" t="s">
        <v>78</v>
      </c>
      <c r="K25" t="s">
        <v>143</v>
      </c>
    </row>
    <row r="26" spans="1:12" x14ac:dyDescent="0.25">
      <c r="A26" t="s">
        <v>147</v>
      </c>
      <c r="B26" t="s">
        <v>36</v>
      </c>
      <c r="C26">
        <v>0</v>
      </c>
      <c r="D26" t="s">
        <v>99</v>
      </c>
      <c r="E26" t="s">
        <v>148</v>
      </c>
      <c r="F26">
        <v>0</v>
      </c>
      <c r="G26">
        <v>65535</v>
      </c>
      <c r="H26">
        <v>1</v>
      </c>
      <c r="I26" t="s">
        <v>77</v>
      </c>
      <c r="J26" t="s">
        <v>78</v>
      </c>
      <c r="K26" t="s">
        <v>143</v>
      </c>
    </row>
    <row r="27" spans="1:12" x14ac:dyDescent="0.25">
      <c r="A27" t="s">
        <v>149</v>
      </c>
      <c r="B27" t="s">
        <v>36</v>
      </c>
      <c r="C27">
        <v>1000000</v>
      </c>
      <c r="D27">
        <v>1000000</v>
      </c>
      <c r="E27" t="s">
        <v>150</v>
      </c>
      <c r="F27">
        <v>0</v>
      </c>
      <c r="G27" t="s">
        <v>75</v>
      </c>
      <c r="H27">
        <v>100</v>
      </c>
      <c r="I27" t="s">
        <v>77</v>
      </c>
      <c r="J27" t="s">
        <v>78</v>
      </c>
      <c r="K27" t="s">
        <v>103</v>
      </c>
    </row>
    <row r="28" spans="1:12" x14ac:dyDescent="0.25">
      <c r="A28" t="s">
        <v>151</v>
      </c>
      <c r="B28" t="s">
        <v>36</v>
      </c>
      <c r="C28">
        <v>1000000</v>
      </c>
      <c r="D28">
        <v>1000000</v>
      </c>
      <c r="E28" t="s">
        <v>152</v>
      </c>
      <c r="F28">
        <v>0</v>
      </c>
      <c r="G28" t="s">
        <v>75</v>
      </c>
      <c r="H28">
        <v>100</v>
      </c>
      <c r="I28" t="s">
        <v>77</v>
      </c>
      <c r="J28" t="s">
        <v>78</v>
      </c>
      <c r="K28" t="s">
        <v>103</v>
      </c>
    </row>
    <row r="29" spans="1:12" x14ac:dyDescent="0.25">
      <c r="A29" t="s">
        <v>153</v>
      </c>
      <c r="B29" t="s">
        <v>86</v>
      </c>
      <c r="C29">
        <v>20</v>
      </c>
      <c r="D29">
        <v>5</v>
      </c>
      <c r="E29" t="s">
        <v>154</v>
      </c>
      <c r="F29">
        <v>0</v>
      </c>
      <c r="G29" t="s">
        <v>75</v>
      </c>
      <c r="H29">
        <v>0.1</v>
      </c>
      <c r="I29" t="s">
        <v>155</v>
      </c>
      <c r="J29" t="s">
        <v>78</v>
      </c>
      <c r="K29" t="s">
        <v>103</v>
      </c>
    </row>
    <row r="30" spans="1:12" x14ac:dyDescent="0.25">
      <c r="A30" t="s">
        <v>156</v>
      </c>
      <c r="B30" t="s">
        <v>70</v>
      </c>
      <c r="C30" t="s">
        <v>157</v>
      </c>
      <c r="D30" t="s">
        <v>158</v>
      </c>
      <c r="E30" t="s">
        <v>159</v>
      </c>
      <c r="F30" t="s">
        <v>74</v>
      </c>
      <c r="G30" t="s">
        <v>75</v>
      </c>
      <c r="H30" t="s">
        <v>76</v>
      </c>
      <c r="I30" t="s">
        <v>77</v>
      </c>
      <c r="J30" t="s">
        <v>78</v>
      </c>
      <c r="K30" t="s">
        <v>103</v>
      </c>
      <c r="L30" t="s">
        <v>160</v>
      </c>
    </row>
    <row r="31" spans="1:12" x14ac:dyDescent="0.25">
      <c r="A31" t="s">
        <v>161</v>
      </c>
      <c r="B31" t="s">
        <v>86</v>
      </c>
      <c r="C31">
        <v>5</v>
      </c>
      <c r="D31">
        <v>5</v>
      </c>
      <c r="E31" t="s">
        <v>162</v>
      </c>
      <c r="F31">
        <v>0</v>
      </c>
      <c r="G31" t="s">
        <v>75</v>
      </c>
      <c r="H31">
        <v>0.1</v>
      </c>
      <c r="I31" t="s">
        <v>155</v>
      </c>
      <c r="J31" t="s">
        <v>78</v>
      </c>
      <c r="K31" t="s">
        <v>103</v>
      </c>
    </row>
    <row r="32" spans="1:12" x14ac:dyDescent="0.25">
      <c r="A32" t="s">
        <v>163</v>
      </c>
      <c r="B32" t="s">
        <v>47</v>
      </c>
      <c r="C32" t="s">
        <v>164</v>
      </c>
      <c r="D32" t="s">
        <v>164</v>
      </c>
      <c r="E32" t="s">
        <v>165</v>
      </c>
      <c r="F32" t="s">
        <v>74</v>
      </c>
      <c r="G32" t="s">
        <v>75</v>
      </c>
      <c r="H32" t="s">
        <v>76</v>
      </c>
      <c r="I32" t="s">
        <v>77</v>
      </c>
      <c r="J32" t="s">
        <v>78</v>
      </c>
      <c r="K32" t="s">
        <v>103</v>
      </c>
    </row>
    <row r="33" spans="1:12" x14ac:dyDescent="0.25">
      <c r="A33" t="s">
        <v>166</v>
      </c>
      <c r="B33" t="s">
        <v>86</v>
      </c>
      <c r="C33">
        <v>0.1</v>
      </c>
      <c r="D33">
        <v>0.1</v>
      </c>
      <c r="E33" t="s">
        <v>167</v>
      </c>
      <c r="F33">
        <v>0</v>
      </c>
      <c r="G33" t="s">
        <v>75</v>
      </c>
      <c r="H33" t="s">
        <v>76</v>
      </c>
      <c r="I33" t="s">
        <v>155</v>
      </c>
      <c r="J33" t="s">
        <v>78</v>
      </c>
      <c r="K33" t="s">
        <v>103</v>
      </c>
    </row>
    <row r="34" spans="1:12" x14ac:dyDescent="0.25">
      <c r="A34" t="s">
        <v>168</v>
      </c>
      <c r="B34" t="s">
        <v>95</v>
      </c>
      <c r="C34" t="s">
        <v>115</v>
      </c>
      <c r="D34" t="s">
        <v>115</v>
      </c>
      <c r="E34" t="s">
        <v>169</v>
      </c>
      <c r="F34" t="s">
        <v>74</v>
      </c>
      <c r="G34" t="s">
        <v>75</v>
      </c>
      <c r="H34" t="s">
        <v>76</v>
      </c>
      <c r="I34" t="s">
        <v>77</v>
      </c>
      <c r="J34" t="s">
        <v>78</v>
      </c>
      <c r="K34" t="s">
        <v>103</v>
      </c>
    </row>
    <row r="35" spans="1:12" x14ac:dyDescent="0.25">
      <c r="A35" t="s">
        <v>170</v>
      </c>
      <c r="B35" t="s">
        <v>95</v>
      </c>
      <c r="C35" t="s">
        <v>115</v>
      </c>
      <c r="D35" t="s">
        <v>115</v>
      </c>
      <c r="E35" t="s">
        <v>171</v>
      </c>
      <c r="F35" t="s">
        <v>74</v>
      </c>
      <c r="G35" t="s">
        <v>75</v>
      </c>
      <c r="H35" t="s">
        <v>76</v>
      </c>
      <c r="I35" t="s">
        <v>77</v>
      </c>
      <c r="J35" t="s">
        <v>78</v>
      </c>
      <c r="K35" t="s">
        <v>103</v>
      </c>
    </row>
    <row r="36" spans="1:12" x14ac:dyDescent="0.25">
      <c r="A36" t="s">
        <v>172</v>
      </c>
      <c r="B36" t="s">
        <v>36</v>
      </c>
      <c r="C36">
        <v>0</v>
      </c>
      <c r="D36" t="s">
        <v>99</v>
      </c>
      <c r="E36" t="s">
        <v>173</v>
      </c>
      <c r="F36" t="s">
        <v>74</v>
      </c>
      <c r="G36" t="s">
        <v>75</v>
      </c>
      <c r="H36" t="s">
        <v>76</v>
      </c>
      <c r="I36" t="s">
        <v>77</v>
      </c>
      <c r="J36" t="s">
        <v>102</v>
      </c>
      <c r="K36" t="s">
        <v>174</v>
      </c>
    </row>
    <row r="37" spans="1:12" x14ac:dyDescent="0.25">
      <c r="A37" t="s">
        <v>175</v>
      </c>
      <c r="B37" t="s">
        <v>47</v>
      </c>
      <c r="C37" t="s">
        <v>176</v>
      </c>
      <c r="D37" t="s">
        <v>99</v>
      </c>
      <c r="E37" t="s">
        <v>177</v>
      </c>
      <c r="F37" t="s">
        <v>74</v>
      </c>
      <c r="G37" t="s">
        <v>75</v>
      </c>
      <c r="H37" t="s">
        <v>76</v>
      </c>
      <c r="I37" t="s">
        <v>77</v>
      </c>
      <c r="J37" t="s">
        <v>102</v>
      </c>
      <c r="K37" t="s">
        <v>174</v>
      </c>
    </row>
    <row r="38" spans="1:12" x14ac:dyDescent="0.25">
      <c r="A38" t="s">
        <v>178</v>
      </c>
      <c r="B38" t="s">
        <v>36</v>
      </c>
      <c r="C38">
        <v>2</v>
      </c>
      <c r="D38" t="s">
        <v>99</v>
      </c>
      <c r="E38" t="s">
        <v>179</v>
      </c>
      <c r="F38" t="s">
        <v>74</v>
      </c>
      <c r="G38" t="s">
        <v>75</v>
      </c>
      <c r="H38" t="s">
        <v>76</v>
      </c>
      <c r="I38" t="s">
        <v>77</v>
      </c>
      <c r="J38" t="s">
        <v>102</v>
      </c>
      <c r="K38" t="s">
        <v>174</v>
      </c>
    </row>
    <row r="39" spans="1:12" x14ac:dyDescent="0.25">
      <c r="A39" t="s">
        <v>180</v>
      </c>
      <c r="B39" t="s">
        <v>47</v>
      </c>
      <c r="C39" t="s">
        <v>181</v>
      </c>
      <c r="D39" t="s">
        <v>99</v>
      </c>
      <c r="E39" t="s">
        <v>182</v>
      </c>
      <c r="F39" t="s">
        <v>74</v>
      </c>
      <c r="G39" t="s">
        <v>75</v>
      </c>
      <c r="H39" t="s">
        <v>76</v>
      </c>
      <c r="I39" t="s">
        <v>77</v>
      </c>
      <c r="J39" t="s">
        <v>102</v>
      </c>
      <c r="K39" t="s">
        <v>174</v>
      </c>
    </row>
    <row r="40" spans="1:12" x14ac:dyDescent="0.25">
      <c r="A40" t="s">
        <v>183</v>
      </c>
      <c r="B40" t="s">
        <v>47</v>
      </c>
      <c r="C40" t="s">
        <v>184</v>
      </c>
      <c r="D40" t="s">
        <v>99</v>
      </c>
      <c r="E40" t="s">
        <v>185</v>
      </c>
      <c r="F40" t="s">
        <v>74</v>
      </c>
      <c r="G40" t="s">
        <v>75</v>
      </c>
      <c r="H40" t="s">
        <v>76</v>
      </c>
      <c r="I40" t="s">
        <v>77</v>
      </c>
      <c r="J40" t="s">
        <v>102</v>
      </c>
      <c r="K40" t="s">
        <v>174</v>
      </c>
    </row>
    <row r="41" spans="1:12" x14ac:dyDescent="0.25">
      <c r="A41" t="s">
        <v>186</v>
      </c>
      <c r="B41" t="s">
        <v>70</v>
      </c>
      <c r="C41" t="s">
        <v>187</v>
      </c>
      <c r="D41" t="s">
        <v>187</v>
      </c>
      <c r="E41" t="s">
        <v>188</v>
      </c>
      <c r="F41" t="s">
        <v>74</v>
      </c>
      <c r="G41" t="s">
        <v>75</v>
      </c>
      <c r="H41" t="s">
        <v>76</v>
      </c>
      <c r="I41" t="s">
        <v>77</v>
      </c>
      <c r="J41" t="s">
        <v>78</v>
      </c>
      <c r="K41" t="s">
        <v>189</v>
      </c>
      <c r="L41" t="s">
        <v>190</v>
      </c>
    </row>
    <row r="42" spans="1:12" x14ac:dyDescent="0.25">
      <c r="A42" t="s">
        <v>191</v>
      </c>
      <c r="B42" t="s">
        <v>36</v>
      </c>
      <c r="C42">
        <v>0</v>
      </c>
      <c r="D42" t="s">
        <v>99</v>
      </c>
      <c r="E42" t="s">
        <v>192</v>
      </c>
      <c r="F42" t="s">
        <v>74</v>
      </c>
      <c r="G42" t="s">
        <v>75</v>
      </c>
      <c r="H42" t="s">
        <v>76</v>
      </c>
      <c r="I42" t="s">
        <v>77</v>
      </c>
      <c r="J42" t="s">
        <v>102</v>
      </c>
      <c r="K42" t="s">
        <v>174</v>
      </c>
    </row>
    <row r="43" spans="1:12" x14ac:dyDescent="0.25">
      <c r="A43" t="s">
        <v>193</v>
      </c>
      <c r="B43" t="s">
        <v>47</v>
      </c>
      <c r="C43" t="s">
        <v>194</v>
      </c>
      <c r="D43" t="s">
        <v>99</v>
      </c>
      <c r="E43" t="s">
        <v>195</v>
      </c>
      <c r="F43" t="s">
        <v>74</v>
      </c>
      <c r="G43" t="s">
        <v>75</v>
      </c>
      <c r="H43" t="s">
        <v>76</v>
      </c>
      <c r="I43" t="s">
        <v>77</v>
      </c>
      <c r="J43" t="s">
        <v>102</v>
      </c>
      <c r="K43" t="s">
        <v>174</v>
      </c>
    </row>
    <row r="44" spans="1:12" x14ac:dyDescent="0.25">
      <c r="A44" t="s">
        <v>196</v>
      </c>
      <c r="B44" t="s">
        <v>36</v>
      </c>
      <c r="C44">
        <v>1</v>
      </c>
      <c r="D44" t="s">
        <v>99</v>
      </c>
      <c r="E44" t="s">
        <v>197</v>
      </c>
      <c r="F44" t="s">
        <v>74</v>
      </c>
      <c r="G44" t="s">
        <v>75</v>
      </c>
      <c r="H44" t="s">
        <v>76</v>
      </c>
      <c r="I44" t="s">
        <v>77</v>
      </c>
      <c r="J44" t="s">
        <v>102</v>
      </c>
      <c r="K44" t="s">
        <v>174</v>
      </c>
    </row>
    <row r="45" spans="1:12" x14ac:dyDescent="0.25">
      <c r="A45" t="s">
        <v>198</v>
      </c>
      <c r="B45" t="s">
        <v>47</v>
      </c>
      <c r="C45" t="s">
        <v>184</v>
      </c>
      <c r="D45" t="s">
        <v>99</v>
      </c>
      <c r="E45" t="s">
        <v>199</v>
      </c>
      <c r="F45" t="s">
        <v>74</v>
      </c>
      <c r="G45" t="s">
        <v>75</v>
      </c>
      <c r="H45" t="s">
        <v>76</v>
      </c>
      <c r="I45" t="s">
        <v>77</v>
      </c>
      <c r="J45" t="s">
        <v>102</v>
      </c>
      <c r="K45" t="s">
        <v>174</v>
      </c>
    </row>
    <row r="46" spans="1:12" x14ac:dyDescent="0.25">
      <c r="A46" t="s">
        <v>200</v>
      </c>
      <c r="B46" t="s">
        <v>47</v>
      </c>
      <c r="C46" t="s">
        <v>201</v>
      </c>
      <c r="D46" t="s">
        <v>99</v>
      </c>
      <c r="E46" t="s">
        <v>202</v>
      </c>
      <c r="F46" t="s">
        <v>74</v>
      </c>
      <c r="G46" t="s">
        <v>75</v>
      </c>
      <c r="H46" t="s">
        <v>76</v>
      </c>
      <c r="I46" t="s">
        <v>77</v>
      </c>
      <c r="J46" t="s">
        <v>102</v>
      </c>
      <c r="K46" t="s">
        <v>189</v>
      </c>
    </row>
    <row r="47" spans="1:12" x14ac:dyDescent="0.25">
      <c r="A47" t="s">
        <v>203</v>
      </c>
      <c r="B47" t="s">
        <v>47</v>
      </c>
      <c r="C47" t="s">
        <v>204</v>
      </c>
      <c r="D47" t="s">
        <v>99</v>
      </c>
      <c r="E47" t="s">
        <v>205</v>
      </c>
      <c r="F47" t="s">
        <v>74</v>
      </c>
      <c r="G47" t="s">
        <v>75</v>
      </c>
      <c r="H47" t="s">
        <v>76</v>
      </c>
      <c r="I47" t="s">
        <v>77</v>
      </c>
      <c r="J47" t="s">
        <v>102</v>
      </c>
      <c r="K47" t="s">
        <v>189</v>
      </c>
    </row>
    <row r="48" spans="1:12" x14ac:dyDescent="0.25">
      <c r="A48" t="s">
        <v>206</v>
      </c>
      <c r="B48" t="s">
        <v>47</v>
      </c>
      <c r="C48" t="s">
        <v>207</v>
      </c>
      <c r="D48" t="s">
        <v>99</v>
      </c>
      <c r="E48" t="s">
        <v>208</v>
      </c>
      <c r="F48" t="s">
        <v>74</v>
      </c>
      <c r="G48" t="s">
        <v>75</v>
      </c>
      <c r="H48" t="s">
        <v>76</v>
      </c>
      <c r="I48" t="s">
        <v>77</v>
      </c>
      <c r="J48" t="s">
        <v>102</v>
      </c>
      <c r="K48" t="s">
        <v>189</v>
      </c>
    </row>
    <row r="49" spans="1:12" x14ac:dyDescent="0.25">
      <c r="A49" t="s">
        <v>209</v>
      </c>
      <c r="B49" t="s">
        <v>47</v>
      </c>
      <c r="C49" t="s">
        <v>210</v>
      </c>
      <c r="D49" t="s">
        <v>99</v>
      </c>
      <c r="E49" t="s">
        <v>211</v>
      </c>
      <c r="F49" t="s">
        <v>74</v>
      </c>
      <c r="G49" t="s">
        <v>75</v>
      </c>
      <c r="H49" t="s">
        <v>76</v>
      </c>
      <c r="I49" t="s">
        <v>77</v>
      </c>
      <c r="J49" t="s">
        <v>102</v>
      </c>
      <c r="K49" t="s">
        <v>189</v>
      </c>
    </row>
    <row r="50" spans="1:12" x14ac:dyDescent="0.25">
      <c r="A50" t="s">
        <v>212</v>
      </c>
      <c r="B50" t="s">
        <v>47</v>
      </c>
      <c r="C50" t="s">
        <v>213</v>
      </c>
      <c r="D50" t="s">
        <v>99</v>
      </c>
      <c r="E50" t="s">
        <v>214</v>
      </c>
      <c r="F50" t="s">
        <v>74</v>
      </c>
      <c r="G50" t="s">
        <v>75</v>
      </c>
      <c r="H50" t="s">
        <v>76</v>
      </c>
      <c r="I50" t="s">
        <v>77</v>
      </c>
      <c r="J50" t="s">
        <v>102</v>
      </c>
      <c r="K50" t="s">
        <v>189</v>
      </c>
    </row>
    <row r="51" spans="1:12" x14ac:dyDescent="0.25">
      <c r="A51" t="s">
        <v>215</v>
      </c>
      <c r="B51" t="s">
        <v>36</v>
      </c>
      <c r="C51">
        <v>1</v>
      </c>
      <c r="D51" t="s">
        <v>99</v>
      </c>
      <c r="E51" t="s">
        <v>216</v>
      </c>
      <c r="F51" t="s">
        <v>74</v>
      </c>
      <c r="G51" t="s">
        <v>75</v>
      </c>
      <c r="H51" t="s">
        <v>76</v>
      </c>
      <c r="I51" t="s">
        <v>77</v>
      </c>
      <c r="J51" t="s">
        <v>102</v>
      </c>
      <c r="K51" t="s">
        <v>189</v>
      </c>
    </row>
    <row r="52" spans="1:12" x14ac:dyDescent="0.25">
      <c r="A52" t="s">
        <v>217</v>
      </c>
      <c r="B52" t="s">
        <v>47</v>
      </c>
      <c r="C52" t="s">
        <v>218</v>
      </c>
      <c r="D52" t="s">
        <v>99</v>
      </c>
      <c r="E52" t="s">
        <v>219</v>
      </c>
      <c r="F52" t="s">
        <v>74</v>
      </c>
      <c r="G52" t="s">
        <v>75</v>
      </c>
      <c r="H52" t="s">
        <v>76</v>
      </c>
      <c r="I52" t="s">
        <v>77</v>
      </c>
      <c r="J52" t="s">
        <v>102</v>
      </c>
      <c r="K52" t="s">
        <v>189</v>
      </c>
    </row>
    <row r="53" spans="1:12" x14ac:dyDescent="0.25">
      <c r="A53" t="s">
        <v>220</v>
      </c>
      <c r="B53" t="s">
        <v>36</v>
      </c>
      <c r="C53">
        <v>1</v>
      </c>
      <c r="D53" t="s">
        <v>99</v>
      </c>
      <c r="E53" t="s">
        <v>216</v>
      </c>
      <c r="F53" t="s">
        <v>74</v>
      </c>
      <c r="G53" t="s">
        <v>75</v>
      </c>
      <c r="H53" t="s">
        <v>76</v>
      </c>
      <c r="I53" t="s">
        <v>77</v>
      </c>
      <c r="J53" t="s">
        <v>102</v>
      </c>
      <c r="K53" t="s">
        <v>189</v>
      </c>
    </row>
    <row r="54" spans="1:12" x14ac:dyDescent="0.25">
      <c r="A54" t="s">
        <v>221</v>
      </c>
      <c r="B54" t="s">
        <v>70</v>
      </c>
      <c r="C54" t="s">
        <v>111</v>
      </c>
      <c r="D54" t="s">
        <v>111</v>
      </c>
      <c r="E54" t="s">
        <v>222</v>
      </c>
      <c r="F54" t="s">
        <v>74</v>
      </c>
      <c r="G54" t="s">
        <v>75</v>
      </c>
      <c r="H54" t="s">
        <v>76</v>
      </c>
      <c r="I54" t="s">
        <v>77</v>
      </c>
      <c r="J54" t="s">
        <v>78</v>
      </c>
      <c r="K54" t="s">
        <v>189</v>
      </c>
      <c r="L54" t="s">
        <v>223</v>
      </c>
    </row>
    <row r="55" spans="1:12" x14ac:dyDescent="0.25">
      <c r="A55" t="s">
        <v>224</v>
      </c>
      <c r="B55" t="s">
        <v>36</v>
      </c>
      <c r="C55">
        <v>16</v>
      </c>
      <c r="D55">
        <v>16</v>
      </c>
      <c r="E55" t="s">
        <v>225</v>
      </c>
      <c r="F55">
        <v>0</v>
      </c>
      <c r="G55">
        <v>262140</v>
      </c>
      <c r="H55">
        <v>4</v>
      </c>
      <c r="I55" t="s">
        <v>226</v>
      </c>
      <c r="J55" t="s">
        <v>78</v>
      </c>
      <c r="K55" t="s">
        <v>189</v>
      </c>
    </row>
    <row r="56" spans="1:12" x14ac:dyDescent="0.25">
      <c r="A56" t="s">
        <v>227</v>
      </c>
      <c r="B56" t="s">
        <v>86</v>
      </c>
      <c r="C56">
        <v>47.388031005999999</v>
      </c>
      <c r="D56" t="s">
        <v>99</v>
      </c>
      <c r="E56" t="s">
        <v>228</v>
      </c>
      <c r="F56" t="s">
        <v>74</v>
      </c>
      <c r="G56" t="s">
        <v>75</v>
      </c>
      <c r="H56" t="s">
        <v>76</v>
      </c>
      <c r="I56" t="s">
        <v>229</v>
      </c>
      <c r="J56" t="s">
        <v>102</v>
      </c>
      <c r="K56" t="s">
        <v>189</v>
      </c>
    </row>
    <row r="57" spans="1:12" x14ac:dyDescent="0.25">
      <c r="A57" t="s">
        <v>230</v>
      </c>
      <c r="B57" t="s">
        <v>86</v>
      </c>
      <c r="C57">
        <v>48.895294188999998</v>
      </c>
      <c r="D57" t="s">
        <v>99</v>
      </c>
      <c r="E57" t="s">
        <v>231</v>
      </c>
      <c r="F57" t="s">
        <v>74</v>
      </c>
      <c r="G57" t="s">
        <v>75</v>
      </c>
      <c r="H57" t="s">
        <v>76</v>
      </c>
      <c r="I57" t="s">
        <v>229</v>
      </c>
      <c r="J57" t="s">
        <v>102</v>
      </c>
      <c r="K57" t="s">
        <v>189</v>
      </c>
    </row>
    <row r="58" spans="1:12" x14ac:dyDescent="0.25">
      <c r="A58" t="s">
        <v>232</v>
      </c>
      <c r="B58" t="s">
        <v>95</v>
      </c>
      <c r="C58" t="s">
        <v>96</v>
      </c>
      <c r="D58" t="s">
        <v>96</v>
      </c>
      <c r="E58" t="s">
        <v>233</v>
      </c>
      <c r="F58" t="s">
        <v>74</v>
      </c>
      <c r="G58" t="s">
        <v>75</v>
      </c>
      <c r="H58" t="s">
        <v>76</v>
      </c>
      <c r="I58" t="s">
        <v>77</v>
      </c>
      <c r="J58" t="s">
        <v>78</v>
      </c>
      <c r="K58" t="s">
        <v>103</v>
      </c>
    </row>
    <row r="59" spans="1:12" x14ac:dyDescent="0.25">
      <c r="A59" t="s">
        <v>234</v>
      </c>
      <c r="B59" t="s">
        <v>47</v>
      </c>
      <c r="C59" t="s">
        <v>235</v>
      </c>
      <c r="D59" t="s">
        <v>164</v>
      </c>
      <c r="E59" t="s">
        <v>236</v>
      </c>
      <c r="F59" t="s">
        <v>74</v>
      </c>
      <c r="G59" t="s">
        <v>75</v>
      </c>
      <c r="H59" t="s">
        <v>76</v>
      </c>
      <c r="I59" t="s">
        <v>77</v>
      </c>
      <c r="J59" t="s">
        <v>78</v>
      </c>
      <c r="K59" t="s">
        <v>103</v>
      </c>
    </row>
    <row r="60" spans="1:12" x14ac:dyDescent="0.25">
      <c r="A60" t="s">
        <v>237</v>
      </c>
      <c r="B60" t="s">
        <v>36</v>
      </c>
      <c r="C60">
        <v>32767</v>
      </c>
      <c r="D60" t="s">
        <v>99</v>
      </c>
      <c r="E60" t="s">
        <v>238</v>
      </c>
      <c r="F60" t="s">
        <v>74</v>
      </c>
      <c r="G60" t="s">
        <v>75</v>
      </c>
      <c r="H60" t="s">
        <v>76</v>
      </c>
      <c r="I60" t="s">
        <v>77</v>
      </c>
      <c r="J60" t="s">
        <v>102</v>
      </c>
      <c r="K60" t="s">
        <v>103</v>
      </c>
    </row>
    <row r="61" spans="1:12" x14ac:dyDescent="0.25">
      <c r="A61" t="s">
        <v>239</v>
      </c>
      <c r="B61" t="s">
        <v>36</v>
      </c>
      <c r="C61">
        <v>-32768</v>
      </c>
      <c r="D61" t="s">
        <v>99</v>
      </c>
      <c r="E61" t="s">
        <v>240</v>
      </c>
      <c r="F61" t="s">
        <v>74</v>
      </c>
      <c r="G61" t="s">
        <v>75</v>
      </c>
      <c r="H61" t="s">
        <v>76</v>
      </c>
      <c r="I61" t="s">
        <v>77</v>
      </c>
      <c r="J61" t="s">
        <v>102</v>
      </c>
      <c r="K61" t="s">
        <v>103</v>
      </c>
    </row>
    <row r="62" spans="1:12" x14ac:dyDescent="0.25">
      <c r="A62" t="s">
        <v>241</v>
      </c>
      <c r="B62" t="s">
        <v>95</v>
      </c>
      <c r="C62" t="s">
        <v>115</v>
      </c>
      <c r="D62" t="s">
        <v>115</v>
      </c>
      <c r="E62" t="s">
        <v>242</v>
      </c>
      <c r="F62" t="s">
        <v>74</v>
      </c>
      <c r="G62" t="s">
        <v>75</v>
      </c>
      <c r="H62" t="s">
        <v>76</v>
      </c>
      <c r="I62" t="s">
        <v>77</v>
      </c>
      <c r="J62" t="s">
        <v>78</v>
      </c>
      <c r="K62" t="s">
        <v>103</v>
      </c>
    </row>
    <row r="63" spans="1:12" x14ac:dyDescent="0.25">
      <c r="A63" t="s">
        <v>243</v>
      </c>
      <c r="B63" t="s">
        <v>36</v>
      </c>
      <c r="C63">
        <v>100000</v>
      </c>
      <c r="D63">
        <v>100000</v>
      </c>
      <c r="E63" t="s">
        <v>244</v>
      </c>
      <c r="F63">
        <v>0</v>
      </c>
      <c r="G63">
        <v>524288</v>
      </c>
      <c r="H63" t="s">
        <v>76</v>
      </c>
      <c r="I63" t="s">
        <v>77</v>
      </c>
      <c r="J63" t="s">
        <v>78</v>
      </c>
      <c r="K63" t="s">
        <v>103</v>
      </c>
    </row>
    <row r="64" spans="1:12" x14ac:dyDescent="0.25">
      <c r="A64" t="s">
        <v>245</v>
      </c>
      <c r="B64" t="s">
        <v>95</v>
      </c>
      <c r="C64" t="s">
        <v>115</v>
      </c>
      <c r="D64" t="s">
        <v>99</v>
      </c>
      <c r="E64" t="s">
        <v>246</v>
      </c>
      <c r="F64" t="s">
        <v>74</v>
      </c>
      <c r="G64" t="s">
        <v>75</v>
      </c>
      <c r="H64" t="s">
        <v>76</v>
      </c>
      <c r="I64" t="s">
        <v>77</v>
      </c>
      <c r="J64" t="s">
        <v>102</v>
      </c>
      <c r="K64" t="s">
        <v>103</v>
      </c>
    </row>
    <row r="65" spans="1:12" x14ac:dyDescent="0.25">
      <c r="A65" t="s">
        <v>247</v>
      </c>
      <c r="B65" t="s">
        <v>36</v>
      </c>
      <c r="C65">
        <v>0</v>
      </c>
      <c r="D65" t="s">
        <v>99</v>
      </c>
      <c r="E65" t="s">
        <v>248</v>
      </c>
      <c r="F65" t="s">
        <v>74</v>
      </c>
      <c r="G65" t="s">
        <v>75</v>
      </c>
      <c r="H65" t="s">
        <v>76</v>
      </c>
      <c r="I65" t="s">
        <v>77</v>
      </c>
      <c r="J65" t="s">
        <v>102</v>
      </c>
      <c r="K65" t="s">
        <v>103</v>
      </c>
    </row>
    <row r="66" spans="1:12" x14ac:dyDescent="0.25">
      <c r="A66" t="s">
        <v>249</v>
      </c>
      <c r="B66" t="s">
        <v>95</v>
      </c>
      <c r="C66" t="s">
        <v>115</v>
      </c>
      <c r="D66" t="s">
        <v>115</v>
      </c>
      <c r="E66" t="s">
        <v>250</v>
      </c>
      <c r="F66" t="s">
        <v>74</v>
      </c>
      <c r="G66" t="s">
        <v>75</v>
      </c>
      <c r="H66" t="s">
        <v>76</v>
      </c>
      <c r="I66" t="s">
        <v>77</v>
      </c>
      <c r="J66" t="s">
        <v>78</v>
      </c>
      <c r="K66" t="s">
        <v>103</v>
      </c>
    </row>
    <row r="67" spans="1:12" x14ac:dyDescent="0.25">
      <c r="A67" t="s">
        <v>251</v>
      </c>
      <c r="B67" t="s">
        <v>86</v>
      </c>
      <c r="C67">
        <v>1.5998961999999999E-2</v>
      </c>
      <c r="D67">
        <v>7.8125599999999996E-3</v>
      </c>
      <c r="E67" t="s">
        <v>252</v>
      </c>
      <c r="F67">
        <v>0</v>
      </c>
      <c r="G67">
        <v>1</v>
      </c>
      <c r="H67">
        <v>0.1</v>
      </c>
      <c r="I67" t="s">
        <v>77</v>
      </c>
      <c r="J67" t="s">
        <v>78</v>
      </c>
      <c r="K67" t="s">
        <v>103</v>
      </c>
    </row>
    <row r="68" spans="1:12" x14ac:dyDescent="0.25">
      <c r="A68" t="s">
        <v>253</v>
      </c>
      <c r="B68" t="s">
        <v>36</v>
      </c>
      <c r="C68">
        <v>24</v>
      </c>
      <c r="D68">
        <v>25</v>
      </c>
      <c r="E68" t="s">
        <v>254</v>
      </c>
      <c r="F68">
        <v>0</v>
      </c>
      <c r="G68">
        <v>1023</v>
      </c>
      <c r="H68" t="s">
        <v>76</v>
      </c>
      <c r="I68" t="s">
        <v>77</v>
      </c>
      <c r="J68" t="s">
        <v>78</v>
      </c>
      <c r="K68" t="s">
        <v>103</v>
      </c>
    </row>
    <row r="69" spans="1:12" x14ac:dyDescent="0.25">
      <c r="A69" t="s">
        <v>367</v>
      </c>
      <c r="B69" t="s">
        <v>86</v>
      </c>
      <c r="C69">
        <v>1.000007629</v>
      </c>
      <c r="D69">
        <v>1.000007629</v>
      </c>
      <c r="E69" t="s">
        <v>255</v>
      </c>
      <c r="F69">
        <v>0</v>
      </c>
      <c r="G69">
        <v>2</v>
      </c>
      <c r="H69" t="s">
        <v>76</v>
      </c>
      <c r="I69" t="s">
        <v>77</v>
      </c>
      <c r="J69" t="s">
        <v>78</v>
      </c>
      <c r="K69" t="s">
        <v>103</v>
      </c>
    </row>
    <row r="70" spans="1:12" x14ac:dyDescent="0.25">
      <c r="A70" t="s">
        <v>256</v>
      </c>
      <c r="B70" t="s">
        <v>70</v>
      </c>
      <c r="C70" t="s">
        <v>257</v>
      </c>
      <c r="D70" t="s">
        <v>258</v>
      </c>
      <c r="E70" t="s">
        <v>259</v>
      </c>
      <c r="F70" t="s">
        <v>74</v>
      </c>
      <c r="G70" t="s">
        <v>75</v>
      </c>
      <c r="H70" t="s">
        <v>76</v>
      </c>
      <c r="I70" t="s">
        <v>77</v>
      </c>
      <c r="J70" t="s">
        <v>78</v>
      </c>
      <c r="K70" t="s">
        <v>103</v>
      </c>
      <c r="L70" t="s">
        <v>260</v>
      </c>
    </row>
    <row r="71" spans="1:12" x14ac:dyDescent="0.25">
      <c r="A71" t="s">
        <v>261</v>
      </c>
      <c r="B71" t="s">
        <v>36</v>
      </c>
      <c r="C71">
        <v>16</v>
      </c>
      <c r="D71" t="s">
        <v>99</v>
      </c>
      <c r="E71" t="s">
        <v>262</v>
      </c>
      <c r="F71" t="s">
        <v>74</v>
      </c>
      <c r="G71" t="s">
        <v>75</v>
      </c>
      <c r="H71" t="s">
        <v>76</v>
      </c>
      <c r="I71" t="s">
        <v>77</v>
      </c>
      <c r="J71" t="s">
        <v>102</v>
      </c>
      <c r="K71" t="s">
        <v>103</v>
      </c>
    </row>
    <row r="72" spans="1:12" x14ac:dyDescent="0.25">
      <c r="A72" t="s">
        <v>263</v>
      </c>
      <c r="B72" t="s">
        <v>36</v>
      </c>
      <c r="C72">
        <v>0</v>
      </c>
      <c r="D72">
        <v>0</v>
      </c>
      <c r="E72" t="s">
        <v>264</v>
      </c>
      <c r="F72">
        <v>0</v>
      </c>
      <c r="G72">
        <v>4095</v>
      </c>
      <c r="H72" t="s">
        <v>76</v>
      </c>
      <c r="I72" t="s">
        <v>77</v>
      </c>
      <c r="J72" t="s">
        <v>78</v>
      </c>
      <c r="K72" t="s">
        <v>103</v>
      </c>
    </row>
    <row r="73" spans="1:12" x14ac:dyDescent="0.25">
      <c r="A73" t="s">
        <v>265</v>
      </c>
      <c r="B73" t="s">
        <v>36</v>
      </c>
      <c r="C73">
        <v>0</v>
      </c>
      <c r="D73">
        <v>0</v>
      </c>
      <c r="E73" t="s">
        <v>266</v>
      </c>
      <c r="F73">
        <v>0</v>
      </c>
      <c r="G73">
        <v>4095</v>
      </c>
      <c r="H73" t="s">
        <v>76</v>
      </c>
      <c r="I73" t="s">
        <v>77</v>
      </c>
      <c r="J73" t="s">
        <v>78</v>
      </c>
      <c r="K73" t="s">
        <v>103</v>
      </c>
    </row>
    <row r="74" spans="1:12" x14ac:dyDescent="0.25">
      <c r="A74" t="s">
        <v>267</v>
      </c>
      <c r="B74" t="s">
        <v>36</v>
      </c>
      <c r="C74">
        <v>0</v>
      </c>
      <c r="D74">
        <v>0</v>
      </c>
      <c r="E74" t="s">
        <v>264</v>
      </c>
      <c r="F74">
        <v>0</v>
      </c>
      <c r="G74">
        <v>4095</v>
      </c>
      <c r="H74" t="s">
        <v>76</v>
      </c>
      <c r="I74" t="s">
        <v>77</v>
      </c>
      <c r="J74" t="s">
        <v>78</v>
      </c>
      <c r="K74" t="s">
        <v>103</v>
      </c>
    </row>
    <row r="75" spans="1:12" x14ac:dyDescent="0.25">
      <c r="A75" t="s">
        <v>268</v>
      </c>
      <c r="B75" t="s">
        <v>36</v>
      </c>
      <c r="C75">
        <v>0</v>
      </c>
      <c r="D75">
        <v>0</v>
      </c>
      <c r="E75" t="s">
        <v>266</v>
      </c>
      <c r="F75">
        <v>0</v>
      </c>
      <c r="G75">
        <v>4095</v>
      </c>
      <c r="H75" t="s">
        <v>76</v>
      </c>
      <c r="I75" t="s">
        <v>77</v>
      </c>
      <c r="J75" t="s">
        <v>78</v>
      </c>
      <c r="K75" t="s">
        <v>103</v>
      </c>
    </row>
    <row r="76" spans="1:12" x14ac:dyDescent="0.25">
      <c r="A76" t="s">
        <v>269</v>
      </c>
      <c r="B76" t="s">
        <v>36</v>
      </c>
      <c r="C76">
        <v>0</v>
      </c>
      <c r="D76">
        <v>0</v>
      </c>
      <c r="E76" t="s">
        <v>264</v>
      </c>
      <c r="F76">
        <v>0</v>
      </c>
      <c r="G76">
        <v>4095</v>
      </c>
      <c r="H76" t="s">
        <v>76</v>
      </c>
      <c r="I76" t="s">
        <v>77</v>
      </c>
      <c r="J76" t="s">
        <v>78</v>
      </c>
      <c r="K76" t="s">
        <v>103</v>
      </c>
    </row>
    <row r="77" spans="1:12" x14ac:dyDescent="0.25">
      <c r="A77" t="s">
        <v>270</v>
      </c>
      <c r="B77" t="s">
        <v>36</v>
      </c>
      <c r="C77">
        <v>0</v>
      </c>
      <c r="D77">
        <v>0</v>
      </c>
      <c r="E77" t="s">
        <v>266</v>
      </c>
      <c r="F77">
        <v>0</v>
      </c>
      <c r="G77">
        <v>4095</v>
      </c>
      <c r="H77" t="s">
        <v>76</v>
      </c>
      <c r="I77" t="s">
        <v>77</v>
      </c>
      <c r="J77" t="s">
        <v>78</v>
      </c>
      <c r="K77" t="s">
        <v>103</v>
      </c>
    </row>
    <row r="78" spans="1:12" x14ac:dyDescent="0.25">
      <c r="A78" t="s">
        <v>271</v>
      </c>
      <c r="B78" t="s">
        <v>36</v>
      </c>
      <c r="C78">
        <v>0</v>
      </c>
      <c r="D78">
        <v>0</v>
      </c>
      <c r="E78" t="s">
        <v>264</v>
      </c>
      <c r="F78">
        <v>0</v>
      </c>
      <c r="G78">
        <v>4095</v>
      </c>
      <c r="H78" t="s">
        <v>76</v>
      </c>
      <c r="I78" t="s">
        <v>77</v>
      </c>
      <c r="J78" t="s">
        <v>78</v>
      </c>
      <c r="K78" t="s">
        <v>103</v>
      </c>
    </row>
    <row r="79" spans="1:12" x14ac:dyDescent="0.25">
      <c r="A79" t="s">
        <v>272</v>
      </c>
      <c r="B79" t="s">
        <v>36</v>
      </c>
      <c r="C79">
        <v>0</v>
      </c>
      <c r="D79">
        <v>0</v>
      </c>
      <c r="E79" t="s">
        <v>266</v>
      </c>
      <c r="F79">
        <v>0</v>
      </c>
      <c r="G79">
        <v>4095</v>
      </c>
      <c r="H79" t="s">
        <v>76</v>
      </c>
      <c r="I79" t="s">
        <v>77</v>
      </c>
      <c r="J79" t="s">
        <v>78</v>
      </c>
      <c r="K79" t="s">
        <v>103</v>
      </c>
    </row>
    <row r="80" spans="1:12" x14ac:dyDescent="0.25">
      <c r="A80" t="s">
        <v>273</v>
      </c>
      <c r="B80" t="s">
        <v>36</v>
      </c>
      <c r="C80">
        <v>0</v>
      </c>
      <c r="D80">
        <v>0</v>
      </c>
      <c r="E80" t="s">
        <v>264</v>
      </c>
      <c r="F80">
        <v>0</v>
      </c>
      <c r="G80">
        <v>4095</v>
      </c>
      <c r="H80" t="s">
        <v>76</v>
      </c>
      <c r="I80" t="s">
        <v>77</v>
      </c>
      <c r="J80" t="s">
        <v>78</v>
      </c>
      <c r="K80" t="s">
        <v>103</v>
      </c>
    </row>
    <row r="81" spans="1:11" x14ac:dyDescent="0.25">
      <c r="A81" t="s">
        <v>274</v>
      </c>
      <c r="B81" t="s">
        <v>36</v>
      </c>
      <c r="C81">
        <v>0</v>
      </c>
      <c r="D81">
        <v>0</v>
      </c>
      <c r="E81" t="s">
        <v>266</v>
      </c>
      <c r="F81">
        <v>0</v>
      </c>
      <c r="G81">
        <v>4095</v>
      </c>
      <c r="H81" t="s">
        <v>76</v>
      </c>
      <c r="I81" t="s">
        <v>77</v>
      </c>
      <c r="J81" t="s">
        <v>78</v>
      </c>
      <c r="K81" t="s">
        <v>103</v>
      </c>
    </row>
    <row r="82" spans="1:11" x14ac:dyDescent="0.25">
      <c r="A82" t="s">
        <v>275</v>
      </c>
      <c r="B82" t="s">
        <v>36</v>
      </c>
      <c r="C82">
        <v>0</v>
      </c>
      <c r="D82">
        <v>0</v>
      </c>
      <c r="E82" t="s">
        <v>264</v>
      </c>
      <c r="F82">
        <v>0</v>
      </c>
      <c r="G82">
        <v>4095</v>
      </c>
      <c r="H82" t="s">
        <v>76</v>
      </c>
      <c r="I82" t="s">
        <v>77</v>
      </c>
      <c r="J82" t="s">
        <v>78</v>
      </c>
      <c r="K82" t="s">
        <v>103</v>
      </c>
    </row>
    <row r="83" spans="1:11" x14ac:dyDescent="0.25">
      <c r="A83" t="s">
        <v>276</v>
      </c>
      <c r="B83" t="s">
        <v>36</v>
      </c>
      <c r="C83">
        <v>0</v>
      </c>
      <c r="D83">
        <v>0</v>
      </c>
      <c r="E83" t="s">
        <v>266</v>
      </c>
      <c r="F83">
        <v>0</v>
      </c>
      <c r="G83">
        <v>4095</v>
      </c>
      <c r="H83" t="s">
        <v>76</v>
      </c>
      <c r="I83" t="s">
        <v>77</v>
      </c>
      <c r="J83" t="s">
        <v>78</v>
      </c>
      <c r="K83" t="s">
        <v>103</v>
      </c>
    </row>
    <row r="84" spans="1:11" x14ac:dyDescent="0.25">
      <c r="A84" t="s">
        <v>277</v>
      </c>
      <c r="B84" t="s">
        <v>36</v>
      </c>
      <c r="C84">
        <v>0</v>
      </c>
      <c r="D84">
        <v>0</v>
      </c>
      <c r="E84" t="s">
        <v>264</v>
      </c>
      <c r="F84">
        <v>0</v>
      </c>
      <c r="G84">
        <v>4095</v>
      </c>
      <c r="H84" t="s">
        <v>76</v>
      </c>
      <c r="I84" t="s">
        <v>77</v>
      </c>
      <c r="J84" t="s">
        <v>78</v>
      </c>
      <c r="K84" t="s">
        <v>103</v>
      </c>
    </row>
    <row r="85" spans="1:11" x14ac:dyDescent="0.25">
      <c r="A85" t="s">
        <v>278</v>
      </c>
      <c r="B85" t="s">
        <v>36</v>
      </c>
      <c r="C85">
        <v>0</v>
      </c>
      <c r="D85">
        <v>0</v>
      </c>
      <c r="E85" t="s">
        <v>266</v>
      </c>
      <c r="F85">
        <v>0</v>
      </c>
      <c r="G85">
        <v>4095</v>
      </c>
      <c r="H85" t="s">
        <v>76</v>
      </c>
      <c r="I85" t="s">
        <v>77</v>
      </c>
      <c r="J85" t="s">
        <v>78</v>
      </c>
      <c r="K85" t="s">
        <v>103</v>
      </c>
    </row>
    <row r="86" spans="1:11" x14ac:dyDescent="0.25">
      <c r="A86" t="s">
        <v>279</v>
      </c>
      <c r="B86" t="s">
        <v>36</v>
      </c>
      <c r="C86">
        <v>0</v>
      </c>
      <c r="D86">
        <v>0</v>
      </c>
      <c r="E86" t="s">
        <v>264</v>
      </c>
      <c r="F86">
        <v>0</v>
      </c>
      <c r="G86">
        <v>4095</v>
      </c>
      <c r="H86" t="s">
        <v>76</v>
      </c>
      <c r="I86" t="s">
        <v>77</v>
      </c>
      <c r="J86" t="s">
        <v>78</v>
      </c>
      <c r="K86" t="s">
        <v>103</v>
      </c>
    </row>
    <row r="87" spans="1:11" x14ac:dyDescent="0.25">
      <c r="A87" t="s">
        <v>280</v>
      </c>
      <c r="B87" t="s">
        <v>36</v>
      </c>
      <c r="C87">
        <v>0</v>
      </c>
      <c r="D87">
        <v>0</v>
      </c>
      <c r="E87" t="s">
        <v>266</v>
      </c>
      <c r="F87">
        <v>0</v>
      </c>
      <c r="G87">
        <v>4095</v>
      </c>
      <c r="H87" t="s">
        <v>76</v>
      </c>
      <c r="I87" t="s">
        <v>77</v>
      </c>
      <c r="J87" t="s">
        <v>78</v>
      </c>
      <c r="K87" t="s">
        <v>103</v>
      </c>
    </row>
    <row r="88" spans="1:11" x14ac:dyDescent="0.25">
      <c r="A88" t="s">
        <v>281</v>
      </c>
      <c r="B88" t="s">
        <v>36</v>
      </c>
      <c r="C88">
        <v>0</v>
      </c>
      <c r="D88">
        <v>0</v>
      </c>
      <c r="E88" t="s">
        <v>264</v>
      </c>
      <c r="F88">
        <v>0</v>
      </c>
      <c r="G88">
        <v>4095</v>
      </c>
      <c r="H88" t="s">
        <v>76</v>
      </c>
      <c r="I88" t="s">
        <v>77</v>
      </c>
      <c r="J88" t="s">
        <v>78</v>
      </c>
      <c r="K88" t="s">
        <v>103</v>
      </c>
    </row>
    <row r="89" spans="1:11" x14ac:dyDescent="0.25">
      <c r="A89" t="s">
        <v>282</v>
      </c>
      <c r="B89" t="s">
        <v>36</v>
      </c>
      <c r="C89">
        <v>0</v>
      </c>
      <c r="D89">
        <v>0</v>
      </c>
      <c r="E89" t="s">
        <v>266</v>
      </c>
      <c r="F89">
        <v>0</v>
      </c>
      <c r="G89">
        <v>4095</v>
      </c>
      <c r="H89" t="s">
        <v>76</v>
      </c>
      <c r="I89" t="s">
        <v>77</v>
      </c>
      <c r="J89" t="s">
        <v>78</v>
      </c>
      <c r="K89" t="s">
        <v>103</v>
      </c>
    </row>
    <row r="90" spans="1:11" x14ac:dyDescent="0.25">
      <c r="A90" t="s">
        <v>283</v>
      </c>
      <c r="B90" t="s">
        <v>36</v>
      </c>
      <c r="C90">
        <v>0</v>
      </c>
      <c r="D90">
        <v>0</v>
      </c>
      <c r="E90" t="s">
        <v>264</v>
      </c>
      <c r="F90">
        <v>0</v>
      </c>
      <c r="G90">
        <v>4095</v>
      </c>
      <c r="H90" t="s">
        <v>76</v>
      </c>
      <c r="I90" t="s">
        <v>77</v>
      </c>
      <c r="J90" t="s">
        <v>78</v>
      </c>
      <c r="K90" t="s">
        <v>103</v>
      </c>
    </row>
    <row r="91" spans="1:11" x14ac:dyDescent="0.25">
      <c r="A91" t="s">
        <v>284</v>
      </c>
      <c r="B91" t="s">
        <v>36</v>
      </c>
      <c r="C91">
        <v>0</v>
      </c>
      <c r="D91">
        <v>0</v>
      </c>
      <c r="E91" t="s">
        <v>266</v>
      </c>
      <c r="F91">
        <v>0</v>
      </c>
      <c r="G91">
        <v>4095</v>
      </c>
      <c r="H91" t="s">
        <v>76</v>
      </c>
      <c r="I91" t="s">
        <v>77</v>
      </c>
      <c r="J91" t="s">
        <v>78</v>
      </c>
      <c r="K91" t="s">
        <v>103</v>
      </c>
    </row>
    <row r="92" spans="1:11" x14ac:dyDescent="0.25">
      <c r="A92" t="s">
        <v>285</v>
      </c>
      <c r="B92" t="s">
        <v>36</v>
      </c>
      <c r="C92">
        <v>0</v>
      </c>
      <c r="D92">
        <v>0</v>
      </c>
      <c r="E92" t="s">
        <v>264</v>
      </c>
      <c r="F92">
        <v>0</v>
      </c>
      <c r="G92">
        <v>4095</v>
      </c>
      <c r="H92" t="s">
        <v>76</v>
      </c>
      <c r="I92" t="s">
        <v>77</v>
      </c>
      <c r="J92" t="s">
        <v>78</v>
      </c>
      <c r="K92" t="s">
        <v>103</v>
      </c>
    </row>
    <row r="93" spans="1:11" x14ac:dyDescent="0.25">
      <c r="A93" t="s">
        <v>286</v>
      </c>
      <c r="B93" t="s">
        <v>36</v>
      </c>
      <c r="C93">
        <v>0</v>
      </c>
      <c r="D93">
        <v>0</v>
      </c>
      <c r="E93" t="s">
        <v>266</v>
      </c>
      <c r="F93">
        <v>0</v>
      </c>
      <c r="G93">
        <v>4095</v>
      </c>
      <c r="H93" t="s">
        <v>76</v>
      </c>
      <c r="I93" t="s">
        <v>77</v>
      </c>
      <c r="J93" t="s">
        <v>78</v>
      </c>
      <c r="K93" t="s">
        <v>103</v>
      </c>
    </row>
    <row r="94" spans="1:11" x14ac:dyDescent="0.25">
      <c r="A94" t="s">
        <v>287</v>
      </c>
      <c r="B94" t="s">
        <v>36</v>
      </c>
      <c r="C94">
        <v>0</v>
      </c>
      <c r="D94">
        <v>0</v>
      </c>
      <c r="E94" t="s">
        <v>264</v>
      </c>
      <c r="F94">
        <v>0</v>
      </c>
      <c r="G94">
        <v>4095</v>
      </c>
      <c r="H94" t="s">
        <v>76</v>
      </c>
      <c r="I94" t="s">
        <v>77</v>
      </c>
      <c r="J94" t="s">
        <v>78</v>
      </c>
      <c r="K94" t="s">
        <v>103</v>
      </c>
    </row>
    <row r="95" spans="1:11" x14ac:dyDescent="0.25">
      <c r="A95" t="s">
        <v>288</v>
      </c>
      <c r="B95" t="s">
        <v>36</v>
      </c>
      <c r="C95">
        <v>0</v>
      </c>
      <c r="D95">
        <v>0</v>
      </c>
      <c r="E95" t="s">
        <v>266</v>
      </c>
      <c r="F95">
        <v>0</v>
      </c>
      <c r="G95">
        <v>4095</v>
      </c>
      <c r="H95" t="s">
        <v>76</v>
      </c>
      <c r="I95" t="s">
        <v>77</v>
      </c>
      <c r="J95" t="s">
        <v>78</v>
      </c>
      <c r="K95" t="s">
        <v>103</v>
      </c>
    </row>
    <row r="96" spans="1:11" x14ac:dyDescent="0.25">
      <c r="A96" t="s">
        <v>289</v>
      </c>
      <c r="B96" t="s">
        <v>36</v>
      </c>
      <c r="C96">
        <v>0</v>
      </c>
      <c r="D96">
        <v>0</v>
      </c>
      <c r="E96" t="s">
        <v>264</v>
      </c>
      <c r="F96">
        <v>0</v>
      </c>
      <c r="G96">
        <v>4095</v>
      </c>
      <c r="H96" t="s">
        <v>76</v>
      </c>
      <c r="I96" t="s">
        <v>77</v>
      </c>
      <c r="J96" t="s">
        <v>78</v>
      </c>
      <c r="K96" t="s">
        <v>103</v>
      </c>
    </row>
    <row r="97" spans="1:11" x14ac:dyDescent="0.25">
      <c r="A97" t="s">
        <v>290</v>
      </c>
      <c r="B97" t="s">
        <v>36</v>
      </c>
      <c r="C97">
        <v>0</v>
      </c>
      <c r="D97">
        <v>0</v>
      </c>
      <c r="E97" t="s">
        <v>266</v>
      </c>
      <c r="F97">
        <v>0</v>
      </c>
      <c r="G97">
        <v>4095</v>
      </c>
      <c r="H97" t="s">
        <v>76</v>
      </c>
      <c r="I97" t="s">
        <v>77</v>
      </c>
      <c r="J97" t="s">
        <v>78</v>
      </c>
      <c r="K97" t="s">
        <v>103</v>
      </c>
    </row>
    <row r="98" spans="1:11" x14ac:dyDescent="0.25">
      <c r="A98" t="s">
        <v>291</v>
      </c>
      <c r="B98" t="s">
        <v>36</v>
      </c>
      <c r="C98">
        <v>0</v>
      </c>
      <c r="D98">
        <v>0</v>
      </c>
      <c r="E98" t="s">
        <v>264</v>
      </c>
      <c r="F98">
        <v>0</v>
      </c>
      <c r="G98">
        <v>4095</v>
      </c>
      <c r="H98" t="s">
        <v>76</v>
      </c>
      <c r="I98" t="s">
        <v>77</v>
      </c>
      <c r="J98" t="s">
        <v>78</v>
      </c>
      <c r="K98" t="s">
        <v>103</v>
      </c>
    </row>
    <row r="99" spans="1:11" x14ac:dyDescent="0.25">
      <c r="A99" t="s">
        <v>292</v>
      </c>
      <c r="B99" t="s">
        <v>36</v>
      </c>
      <c r="C99">
        <v>0</v>
      </c>
      <c r="D99">
        <v>0</v>
      </c>
      <c r="E99" t="s">
        <v>266</v>
      </c>
      <c r="F99">
        <v>0</v>
      </c>
      <c r="G99">
        <v>4095</v>
      </c>
      <c r="H99" t="s">
        <v>76</v>
      </c>
      <c r="I99" t="s">
        <v>77</v>
      </c>
      <c r="J99" t="s">
        <v>78</v>
      </c>
      <c r="K99" t="s">
        <v>103</v>
      </c>
    </row>
    <row r="100" spans="1:11" x14ac:dyDescent="0.25">
      <c r="A100" t="s">
        <v>293</v>
      </c>
      <c r="B100" t="s">
        <v>36</v>
      </c>
      <c r="C100">
        <v>0</v>
      </c>
      <c r="D100">
        <v>0</v>
      </c>
      <c r="E100" t="s">
        <v>264</v>
      </c>
      <c r="F100">
        <v>0</v>
      </c>
      <c r="G100">
        <v>4095</v>
      </c>
      <c r="H100" t="s">
        <v>76</v>
      </c>
      <c r="I100" t="s">
        <v>77</v>
      </c>
      <c r="J100" t="s">
        <v>78</v>
      </c>
      <c r="K100" t="s">
        <v>103</v>
      </c>
    </row>
    <row r="101" spans="1:11" x14ac:dyDescent="0.25">
      <c r="A101" t="s">
        <v>294</v>
      </c>
      <c r="B101" t="s">
        <v>36</v>
      </c>
      <c r="C101">
        <v>0</v>
      </c>
      <c r="D101">
        <v>0</v>
      </c>
      <c r="E101" t="s">
        <v>266</v>
      </c>
      <c r="F101">
        <v>0</v>
      </c>
      <c r="G101">
        <v>4095</v>
      </c>
      <c r="H101" t="s">
        <v>76</v>
      </c>
      <c r="I101" t="s">
        <v>77</v>
      </c>
      <c r="J101" t="s">
        <v>78</v>
      </c>
      <c r="K101" t="s">
        <v>103</v>
      </c>
    </row>
    <row r="102" spans="1:11" x14ac:dyDescent="0.25">
      <c r="A102" t="s">
        <v>295</v>
      </c>
      <c r="B102" t="s">
        <v>36</v>
      </c>
      <c r="C102">
        <v>0</v>
      </c>
      <c r="D102">
        <v>0</v>
      </c>
      <c r="E102" t="s">
        <v>264</v>
      </c>
      <c r="F102">
        <v>0</v>
      </c>
      <c r="G102">
        <v>4095</v>
      </c>
      <c r="H102" t="s">
        <v>76</v>
      </c>
      <c r="I102" t="s">
        <v>77</v>
      </c>
      <c r="J102" t="s">
        <v>78</v>
      </c>
      <c r="K102" t="s">
        <v>103</v>
      </c>
    </row>
    <row r="103" spans="1:11" x14ac:dyDescent="0.25">
      <c r="A103" t="s">
        <v>296</v>
      </c>
      <c r="B103" t="s">
        <v>36</v>
      </c>
      <c r="C103">
        <v>0</v>
      </c>
      <c r="D103">
        <v>0</v>
      </c>
      <c r="E103" t="s">
        <v>266</v>
      </c>
      <c r="F103">
        <v>0</v>
      </c>
      <c r="G103">
        <v>4095</v>
      </c>
      <c r="H103" t="s">
        <v>76</v>
      </c>
      <c r="I103" t="s">
        <v>77</v>
      </c>
      <c r="J103" t="s">
        <v>78</v>
      </c>
      <c r="K103" t="s">
        <v>103</v>
      </c>
    </row>
    <row r="104" spans="1:11" x14ac:dyDescent="0.25">
      <c r="A104" t="s">
        <v>297</v>
      </c>
      <c r="B104" t="s">
        <v>45</v>
      </c>
      <c r="C104" t="s">
        <v>298</v>
      </c>
      <c r="D104">
        <v>0</v>
      </c>
      <c r="E104" t="s">
        <v>264</v>
      </c>
      <c r="F104">
        <v>0</v>
      </c>
      <c r="G104">
        <v>4095</v>
      </c>
      <c r="H104" t="s">
        <v>76</v>
      </c>
      <c r="I104" t="s">
        <v>77</v>
      </c>
      <c r="J104" t="s">
        <v>78</v>
      </c>
      <c r="K104" t="s">
        <v>103</v>
      </c>
    </row>
    <row r="105" spans="1:11" x14ac:dyDescent="0.25">
      <c r="A105" t="s">
        <v>299</v>
      </c>
      <c r="B105" t="s">
        <v>45</v>
      </c>
      <c r="C105" t="s">
        <v>298</v>
      </c>
      <c r="D105">
        <v>0</v>
      </c>
      <c r="E105" t="s">
        <v>266</v>
      </c>
      <c r="F105">
        <v>0</v>
      </c>
      <c r="G105">
        <v>4095</v>
      </c>
      <c r="H105" t="s">
        <v>76</v>
      </c>
      <c r="I105" t="s">
        <v>77</v>
      </c>
      <c r="J105" t="s">
        <v>78</v>
      </c>
      <c r="K105" t="s">
        <v>103</v>
      </c>
    </row>
    <row r="106" spans="1:11" x14ac:dyDescent="0.25">
      <c r="A106" t="s">
        <v>300</v>
      </c>
      <c r="B106" t="s">
        <v>45</v>
      </c>
      <c r="C106" t="s">
        <v>298</v>
      </c>
      <c r="D106">
        <v>0</v>
      </c>
      <c r="E106" t="s">
        <v>264</v>
      </c>
      <c r="F106">
        <v>0</v>
      </c>
      <c r="G106">
        <v>4095</v>
      </c>
      <c r="H106" t="s">
        <v>76</v>
      </c>
      <c r="I106" t="s">
        <v>77</v>
      </c>
      <c r="J106" t="s">
        <v>78</v>
      </c>
      <c r="K106" t="s">
        <v>103</v>
      </c>
    </row>
    <row r="107" spans="1:11" x14ac:dyDescent="0.25">
      <c r="A107" t="s">
        <v>301</v>
      </c>
      <c r="B107" t="s">
        <v>45</v>
      </c>
      <c r="C107" t="s">
        <v>298</v>
      </c>
      <c r="D107">
        <v>0</v>
      </c>
      <c r="E107" t="s">
        <v>266</v>
      </c>
      <c r="F107">
        <v>0</v>
      </c>
      <c r="G107">
        <v>4095</v>
      </c>
      <c r="H107" t="s">
        <v>76</v>
      </c>
      <c r="I107" t="s">
        <v>77</v>
      </c>
      <c r="J107" t="s">
        <v>78</v>
      </c>
      <c r="K107" t="s">
        <v>103</v>
      </c>
    </row>
    <row r="108" spans="1:11" x14ac:dyDescent="0.25">
      <c r="A108" t="s">
        <v>302</v>
      </c>
      <c r="B108" t="s">
        <v>45</v>
      </c>
      <c r="C108" t="s">
        <v>298</v>
      </c>
      <c r="D108">
        <v>0</v>
      </c>
      <c r="E108" t="s">
        <v>264</v>
      </c>
      <c r="F108">
        <v>0</v>
      </c>
      <c r="G108">
        <v>4095</v>
      </c>
      <c r="H108" t="s">
        <v>76</v>
      </c>
      <c r="I108" t="s">
        <v>77</v>
      </c>
      <c r="J108" t="s">
        <v>78</v>
      </c>
      <c r="K108" t="s">
        <v>103</v>
      </c>
    </row>
    <row r="109" spans="1:11" x14ac:dyDescent="0.25">
      <c r="A109" t="s">
        <v>303</v>
      </c>
      <c r="B109" t="s">
        <v>45</v>
      </c>
      <c r="C109" t="s">
        <v>298</v>
      </c>
      <c r="D109">
        <v>0</v>
      </c>
      <c r="E109" t="s">
        <v>266</v>
      </c>
      <c r="F109">
        <v>0</v>
      </c>
      <c r="G109">
        <v>4095</v>
      </c>
      <c r="H109" t="s">
        <v>76</v>
      </c>
      <c r="I109" t="s">
        <v>77</v>
      </c>
      <c r="J109" t="s">
        <v>78</v>
      </c>
      <c r="K109" t="s">
        <v>103</v>
      </c>
    </row>
    <row r="110" spans="1:11" x14ac:dyDescent="0.25">
      <c r="A110" t="s">
        <v>304</v>
      </c>
      <c r="B110" t="s">
        <v>45</v>
      </c>
      <c r="C110" t="s">
        <v>298</v>
      </c>
      <c r="D110">
        <v>0</v>
      </c>
      <c r="E110" t="s">
        <v>264</v>
      </c>
      <c r="F110">
        <v>0</v>
      </c>
      <c r="G110">
        <v>4095</v>
      </c>
      <c r="H110" t="s">
        <v>76</v>
      </c>
      <c r="I110" t="s">
        <v>77</v>
      </c>
      <c r="J110" t="s">
        <v>78</v>
      </c>
      <c r="K110" t="s">
        <v>103</v>
      </c>
    </row>
    <row r="111" spans="1:11" x14ac:dyDescent="0.25">
      <c r="A111" t="s">
        <v>305</v>
      </c>
      <c r="B111" t="s">
        <v>45</v>
      </c>
      <c r="C111" t="s">
        <v>298</v>
      </c>
      <c r="D111">
        <v>0</v>
      </c>
      <c r="E111" t="s">
        <v>266</v>
      </c>
      <c r="F111">
        <v>0</v>
      </c>
      <c r="G111">
        <v>4095</v>
      </c>
      <c r="H111" t="s">
        <v>76</v>
      </c>
      <c r="I111" t="s">
        <v>77</v>
      </c>
      <c r="J111" t="s">
        <v>78</v>
      </c>
      <c r="K111" t="s">
        <v>103</v>
      </c>
    </row>
    <row r="112" spans="1:11" x14ac:dyDescent="0.25">
      <c r="A112" t="s">
        <v>306</v>
      </c>
      <c r="B112" t="s">
        <v>45</v>
      </c>
      <c r="C112" t="s">
        <v>298</v>
      </c>
      <c r="D112">
        <v>0</v>
      </c>
      <c r="E112" t="s">
        <v>264</v>
      </c>
      <c r="F112">
        <v>0</v>
      </c>
      <c r="G112">
        <v>4095</v>
      </c>
      <c r="H112" t="s">
        <v>76</v>
      </c>
      <c r="I112" t="s">
        <v>77</v>
      </c>
      <c r="J112" t="s">
        <v>78</v>
      </c>
      <c r="K112" t="s">
        <v>103</v>
      </c>
    </row>
    <row r="113" spans="1:12" x14ac:dyDescent="0.25">
      <c r="A113" t="s">
        <v>307</v>
      </c>
      <c r="B113" t="s">
        <v>45</v>
      </c>
      <c r="C113" t="s">
        <v>298</v>
      </c>
      <c r="D113">
        <v>0</v>
      </c>
      <c r="E113" t="s">
        <v>266</v>
      </c>
      <c r="F113">
        <v>0</v>
      </c>
      <c r="G113">
        <v>4095</v>
      </c>
      <c r="H113" t="s">
        <v>76</v>
      </c>
      <c r="I113" t="s">
        <v>77</v>
      </c>
      <c r="J113" t="s">
        <v>78</v>
      </c>
      <c r="K113" t="s">
        <v>103</v>
      </c>
    </row>
    <row r="114" spans="1:12" x14ac:dyDescent="0.25">
      <c r="A114" t="s">
        <v>308</v>
      </c>
      <c r="B114" t="s">
        <v>45</v>
      </c>
      <c r="C114" t="s">
        <v>298</v>
      </c>
      <c r="D114">
        <v>0</v>
      </c>
      <c r="E114" t="s">
        <v>264</v>
      </c>
      <c r="F114">
        <v>0</v>
      </c>
      <c r="G114">
        <v>4095</v>
      </c>
      <c r="H114" t="s">
        <v>76</v>
      </c>
      <c r="I114" t="s">
        <v>77</v>
      </c>
      <c r="J114" t="s">
        <v>78</v>
      </c>
      <c r="K114" t="s">
        <v>103</v>
      </c>
    </row>
    <row r="115" spans="1:12" x14ac:dyDescent="0.25">
      <c r="A115" t="s">
        <v>309</v>
      </c>
      <c r="B115" t="s">
        <v>45</v>
      </c>
      <c r="C115" t="s">
        <v>298</v>
      </c>
      <c r="D115">
        <v>0</v>
      </c>
      <c r="E115" t="s">
        <v>266</v>
      </c>
      <c r="F115">
        <v>0</v>
      </c>
      <c r="G115">
        <v>4095</v>
      </c>
      <c r="H115" t="s">
        <v>76</v>
      </c>
      <c r="I115" t="s">
        <v>77</v>
      </c>
      <c r="J115" t="s">
        <v>78</v>
      </c>
      <c r="K115" t="s">
        <v>103</v>
      </c>
    </row>
    <row r="116" spans="1:12" x14ac:dyDescent="0.25">
      <c r="A116" t="s">
        <v>310</v>
      </c>
      <c r="B116" t="s">
        <v>45</v>
      </c>
      <c r="C116" t="s">
        <v>298</v>
      </c>
      <c r="D116">
        <v>0</v>
      </c>
      <c r="E116" t="s">
        <v>264</v>
      </c>
      <c r="F116">
        <v>0</v>
      </c>
      <c r="G116">
        <v>4095</v>
      </c>
      <c r="H116" t="s">
        <v>76</v>
      </c>
      <c r="I116" t="s">
        <v>77</v>
      </c>
      <c r="J116" t="s">
        <v>78</v>
      </c>
      <c r="K116" t="s">
        <v>103</v>
      </c>
    </row>
    <row r="117" spans="1:12" x14ac:dyDescent="0.25">
      <c r="A117" t="s">
        <v>311</v>
      </c>
      <c r="B117" t="s">
        <v>45</v>
      </c>
      <c r="C117" t="s">
        <v>298</v>
      </c>
      <c r="D117">
        <v>0</v>
      </c>
      <c r="E117" t="s">
        <v>266</v>
      </c>
      <c r="F117">
        <v>0</v>
      </c>
      <c r="G117">
        <v>4095</v>
      </c>
      <c r="H117" t="s">
        <v>76</v>
      </c>
      <c r="I117" t="s">
        <v>77</v>
      </c>
      <c r="J117" t="s">
        <v>78</v>
      </c>
      <c r="K117" t="s">
        <v>103</v>
      </c>
    </row>
    <row r="118" spans="1:12" x14ac:dyDescent="0.25">
      <c r="A118" t="s">
        <v>312</v>
      </c>
      <c r="B118" t="s">
        <v>45</v>
      </c>
      <c r="C118" t="s">
        <v>298</v>
      </c>
      <c r="D118">
        <v>0</v>
      </c>
      <c r="E118" t="s">
        <v>264</v>
      </c>
      <c r="F118">
        <v>0</v>
      </c>
      <c r="G118">
        <v>4095</v>
      </c>
      <c r="H118" t="s">
        <v>76</v>
      </c>
      <c r="I118" t="s">
        <v>77</v>
      </c>
      <c r="J118" t="s">
        <v>78</v>
      </c>
      <c r="K118" t="s">
        <v>103</v>
      </c>
    </row>
    <row r="119" spans="1:12" x14ac:dyDescent="0.25">
      <c r="A119" t="s">
        <v>313</v>
      </c>
      <c r="B119" t="s">
        <v>45</v>
      </c>
      <c r="C119" t="s">
        <v>298</v>
      </c>
      <c r="D119">
        <v>0</v>
      </c>
      <c r="E119" t="s">
        <v>266</v>
      </c>
      <c r="F119">
        <v>0</v>
      </c>
      <c r="G119">
        <v>4095</v>
      </c>
      <c r="H119" t="s">
        <v>76</v>
      </c>
      <c r="I119" t="s">
        <v>77</v>
      </c>
      <c r="J119" t="s">
        <v>78</v>
      </c>
      <c r="K119" t="s">
        <v>103</v>
      </c>
    </row>
    <row r="120" spans="1:12" x14ac:dyDescent="0.25">
      <c r="A120" t="s">
        <v>314</v>
      </c>
      <c r="B120" t="s">
        <v>95</v>
      </c>
      <c r="C120" t="s">
        <v>115</v>
      </c>
      <c r="D120" t="s">
        <v>96</v>
      </c>
      <c r="E120" t="s">
        <v>315</v>
      </c>
      <c r="F120" t="s">
        <v>74</v>
      </c>
      <c r="G120" t="s">
        <v>75</v>
      </c>
      <c r="H120" t="s">
        <v>76</v>
      </c>
      <c r="I120" t="s">
        <v>77</v>
      </c>
      <c r="J120" t="s">
        <v>78</v>
      </c>
      <c r="K120" t="s">
        <v>189</v>
      </c>
    </row>
    <row r="121" spans="1:12" x14ac:dyDescent="0.25">
      <c r="A121" t="s">
        <v>316</v>
      </c>
      <c r="B121" t="s">
        <v>70</v>
      </c>
      <c r="C121" t="s">
        <v>317</v>
      </c>
      <c r="D121" t="s">
        <v>318</v>
      </c>
      <c r="E121" t="s">
        <v>319</v>
      </c>
      <c r="F121" t="s">
        <v>74</v>
      </c>
      <c r="G121" t="s">
        <v>75</v>
      </c>
      <c r="H121" t="s">
        <v>76</v>
      </c>
      <c r="I121" t="s">
        <v>77</v>
      </c>
      <c r="J121" t="s">
        <v>78</v>
      </c>
      <c r="K121" t="s">
        <v>189</v>
      </c>
      <c r="L121" t="s">
        <v>320</v>
      </c>
    </row>
    <row r="122" spans="1:12" x14ac:dyDescent="0.25">
      <c r="A122" t="s">
        <v>321</v>
      </c>
      <c r="B122" t="s">
        <v>36</v>
      </c>
      <c r="C122">
        <v>5</v>
      </c>
      <c r="D122">
        <v>0</v>
      </c>
      <c r="E122" t="s">
        <v>322</v>
      </c>
      <c r="F122">
        <v>0</v>
      </c>
      <c r="G122">
        <v>16777215</v>
      </c>
      <c r="H122" t="s">
        <v>76</v>
      </c>
      <c r="I122" t="s">
        <v>77</v>
      </c>
      <c r="J122" t="s">
        <v>78</v>
      </c>
      <c r="K122" t="s">
        <v>189</v>
      </c>
    </row>
    <row r="123" spans="1:12" x14ac:dyDescent="0.25">
      <c r="A123" t="s">
        <v>323</v>
      </c>
      <c r="B123" t="s">
        <v>36</v>
      </c>
      <c r="C123">
        <v>10</v>
      </c>
      <c r="D123">
        <v>0</v>
      </c>
      <c r="E123" t="s">
        <v>324</v>
      </c>
      <c r="F123">
        <v>0</v>
      </c>
      <c r="G123">
        <v>16777215</v>
      </c>
      <c r="H123" t="s">
        <v>76</v>
      </c>
      <c r="I123" t="s">
        <v>77</v>
      </c>
      <c r="J123" t="s">
        <v>78</v>
      </c>
      <c r="K123" t="s">
        <v>189</v>
      </c>
    </row>
    <row r="124" spans="1:12" x14ac:dyDescent="0.25">
      <c r="A124" t="s">
        <v>325</v>
      </c>
      <c r="B124" t="s">
        <v>36</v>
      </c>
      <c r="C124">
        <v>0</v>
      </c>
      <c r="D124">
        <v>0</v>
      </c>
      <c r="E124" t="s">
        <v>326</v>
      </c>
      <c r="F124">
        <v>0</v>
      </c>
      <c r="G124">
        <v>16777215</v>
      </c>
      <c r="H124" t="s">
        <v>76</v>
      </c>
      <c r="I124" t="s">
        <v>77</v>
      </c>
      <c r="J124" t="s">
        <v>78</v>
      </c>
      <c r="K124" t="s">
        <v>189</v>
      </c>
    </row>
    <row r="125" spans="1:12" x14ac:dyDescent="0.25">
      <c r="A125" t="s">
        <v>327</v>
      </c>
      <c r="B125" t="s">
        <v>95</v>
      </c>
      <c r="C125" t="s">
        <v>115</v>
      </c>
      <c r="D125" t="s">
        <v>96</v>
      </c>
      <c r="E125" t="s">
        <v>315</v>
      </c>
      <c r="F125" t="s">
        <v>74</v>
      </c>
      <c r="G125" t="s">
        <v>75</v>
      </c>
      <c r="H125" t="s">
        <v>76</v>
      </c>
      <c r="I125" t="s">
        <v>77</v>
      </c>
      <c r="J125" t="s">
        <v>78</v>
      </c>
      <c r="K125" t="s">
        <v>189</v>
      </c>
    </row>
    <row r="126" spans="1:12" x14ac:dyDescent="0.25">
      <c r="A126" t="s">
        <v>328</v>
      </c>
      <c r="B126" t="s">
        <v>70</v>
      </c>
      <c r="C126" t="s">
        <v>317</v>
      </c>
      <c r="D126" t="s">
        <v>318</v>
      </c>
      <c r="E126" t="s">
        <v>319</v>
      </c>
      <c r="F126" t="s">
        <v>74</v>
      </c>
      <c r="G126" t="s">
        <v>75</v>
      </c>
      <c r="H126" t="s">
        <v>76</v>
      </c>
      <c r="I126" t="s">
        <v>77</v>
      </c>
      <c r="J126" t="s">
        <v>78</v>
      </c>
      <c r="K126" t="s">
        <v>189</v>
      </c>
      <c r="L126" t="s">
        <v>320</v>
      </c>
    </row>
    <row r="127" spans="1:12" x14ac:dyDescent="0.25">
      <c r="A127" t="s">
        <v>329</v>
      </c>
      <c r="B127" t="s">
        <v>36</v>
      </c>
      <c r="C127">
        <v>5</v>
      </c>
      <c r="D127">
        <v>0</v>
      </c>
      <c r="E127" t="s">
        <v>322</v>
      </c>
      <c r="F127">
        <v>0</v>
      </c>
      <c r="G127">
        <v>16777215</v>
      </c>
      <c r="H127" t="s">
        <v>76</v>
      </c>
      <c r="I127" t="s">
        <v>77</v>
      </c>
      <c r="J127" t="s">
        <v>78</v>
      </c>
      <c r="K127" t="s">
        <v>189</v>
      </c>
    </row>
    <row r="128" spans="1:12" x14ac:dyDescent="0.25">
      <c r="A128" t="s">
        <v>330</v>
      </c>
      <c r="B128" t="s">
        <v>36</v>
      </c>
      <c r="C128">
        <v>10</v>
      </c>
      <c r="D128">
        <v>0</v>
      </c>
      <c r="E128" t="s">
        <v>324</v>
      </c>
      <c r="F128">
        <v>0</v>
      </c>
      <c r="G128">
        <v>16777215</v>
      </c>
      <c r="H128" t="s">
        <v>76</v>
      </c>
      <c r="I128" t="s">
        <v>77</v>
      </c>
      <c r="J128" t="s">
        <v>78</v>
      </c>
      <c r="K128" t="s">
        <v>189</v>
      </c>
    </row>
    <row r="129" spans="1:12" x14ac:dyDescent="0.25">
      <c r="A129" t="s">
        <v>331</v>
      </c>
      <c r="B129" t="s">
        <v>36</v>
      </c>
      <c r="C129">
        <v>0</v>
      </c>
      <c r="D129">
        <v>0</v>
      </c>
      <c r="E129" t="s">
        <v>326</v>
      </c>
      <c r="F129">
        <v>0</v>
      </c>
      <c r="G129">
        <v>16777215</v>
      </c>
      <c r="H129" t="s">
        <v>76</v>
      </c>
      <c r="I129" t="s">
        <v>77</v>
      </c>
      <c r="J129" t="s">
        <v>78</v>
      </c>
      <c r="K129" t="s">
        <v>189</v>
      </c>
    </row>
    <row r="130" spans="1:12" x14ac:dyDescent="0.25">
      <c r="A130" t="s">
        <v>332</v>
      </c>
      <c r="B130" t="s">
        <v>95</v>
      </c>
      <c r="C130" t="s">
        <v>115</v>
      </c>
      <c r="D130" t="s">
        <v>96</v>
      </c>
      <c r="E130" t="s">
        <v>315</v>
      </c>
      <c r="F130" t="s">
        <v>74</v>
      </c>
      <c r="G130" t="s">
        <v>75</v>
      </c>
      <c r="H130" t="s">
        <v>76</v>
      </c>
      <c r="I130" t="s">
        <v>77</v>
      </c>
      <c r="J130" t="s">
        <v>78</v>
      </c>
      <c r="K130" t="s">
        <v>189</v>
      </c>
    </row>
    <row r="131" spans="1:12" x14ac:dyDescent="0.25">
      <c r="A131" t="s">
        <v>333</v>
      </c>
      <c r="B131" t="s">
        <v>70</v>
      </c>
      <c r="C131" t="s">
        <v>317</v>
      </c>
      <c r="D131" t="s">
        <v>318</v>
      </c>
      <c r="E131" t="s">
        <v>319</v>
      </c>
      <c r="F131" t="s">
        <v>74</v>
      </c>
      <c r="G131" t="s">
        <v>75</v>
      </c>
      <c r="H131" t="s">
        <v>76</v>
      </c>
      <c r="I131" t="s">
        <v>77</v>
      </c>
      <c r="J131" t="s">
        <v>78</v>
      </c>
      <c r="K131" t="s">
        <v>189</v>
      </c>
      <c r="L131" t="s">
        <v>320</v>
      </c>
    </row>
    <row r="132" spans="1:12" x14ac:dyDescent="0.25">
      <c r="A132" t="s">
        <v>334</v>
      </c>
      <c r="B132" t="s">
        <v>36</v>
      </c>
      <c r="C132">
        <v>0</v>
      </c>
      <c r="D132">
        <v>0</v>
      </c>
      <c r="E132" t="s">
        <v>322</v>
      </c>
      <c r="F132">
        <v>0</v>
      </c>
      <c r="G132">
        <v>16777215</v>
      </c>
      <c r="H132" t="s">
        <v>76</v>
      </c>
      <c r="I132" t="s">
        <v>77</v>
      </c>
      <c r="J132" t="s">
        <v>78</v>
      </c>
      <c r="K132" t="s">
        <v>189</v>
      </c>
    </row>
    <row r="133" spans="1:12" x14ac:dyDescent="0.25">
      <c r="A133" t="s">
        <v>335</v>
      </c>
      <c r="B133" t="s">
        <v>36</v>
      </c>
      <c r="C133">
        <v>100</v>
      </c>
      <c r="D133">
        <v>0</v>
      </c>
      <c r="E133" t="s">
        <v>324</v>
      </c>
      <c r="F133">
        <v>0</v>
      </c>
      <c r="G133">
        <v>16777215</v>
      </c>
      <c r="H133" t="s">
        <v>76</v>
      </c>
      <c r="I133" t="s">
        <v>77</v>
      </c>
      <c r="J133" t="s">
        <v>78</v>
      </c>
      <c r="K133" t="s">
        <v>189</v>
      </c>
    </row>
    <row r="134" spans="1:12" x14ac:dyDescent="0.25">
      <c r="A134" t="s">
        <v>336</v>
      </c>
      <c r="B134" t="s">
        <v>36</v>
      </c>
      <c r="C134">
        <v>0</v>
      </c>
      <c r="D134">
        <v>0</v>
      </c>
      <c r="E134" t="s">
        <v>326</v>
      </c>
      <c r="F134">
        <v>0</v>
      </c>
      <c r="G134">
        <v>16777215</v>
      </c>
      <c r="H134" t="s">
        <v>76</v>
      </c>
      <c r="I134" t="s">
        <v>77</v>
      </c>
      <c r="J134" t="s">
        <v>78</v>
      </c>
      <c r="K134" t="s">
        <v>189</v>
      </c>
    </row>
    <row r="135" spans="1:12" x14ac:dyDescent="0.25">
      <c r="A135" t="s">
        <v>337</v>
      </c>
      <c r="B135" t="s">
        <v>95</v>
      </c>
      <c r="C135" t="s">
        <v>115</v>
      </c>
      <c r="D135" t="s">
        <v>96</v>
      </c>
      <c r="E135" t="s">
        <v>315</v>
      </c>
      <c r="F135" t="s">
        <v>74</v>
      </c>
      <c r="G135" t="s">
        <v>75</v>
      </c>
      <c r="H135" t="s">
        <v>76</v>
      </c>
      <c r="I135" t="s">
        <v>77</v>
      </c>
      <c r="J135" t="s">
        <v>78</v>
      </c>
      <c r="K135" t="s">
        <v>189</v>
      </c>
    </row>
    <row r="136" spans="1:12" x14ac:dyDescent="0.25">
      <c r="A136" t="s">
        <v>338</v>
      </c>
      <c r="B136" t="s">
        <v>70</v>
      </c>
      <c r="C136" t="s">
        <v>317</v>
      </c>
      <c r="D136" t="s">
        <v>318</v>
      </c>
      <c r="E136" t="s">
        <v>319</v>
      </c>
      <c r="F136" t="s">
        <v>74</v>
      </c>
      <c r="G136" t="s">
        <v>75</v>
      </c>
      <c r="H136" t="s">
        <v>76</v>
      </c>
      <c r="I136" t="s">
        <v>77</v>
      </c>
      <c r="J136" t="s">
        <v>78</v>
      </c>
      <c r="K136" t="s">
        <v>189</v>
      </c>
      <c r="L136" t="s">
        <v>320</v>
      </c>
    </row>
    <row r="137" spans="1:12" x14ac:dyDescent="0.25">
      <c r="A137" t="s">
        <v>339</v>
      </c>
      <c r="B137" t="s">
        <v>36</v>
      </c>
      <c r="C137">
        <v>0</v>
      </c>
      <c r="D137">
        <v>0</v>
      </c>
      <c r="E137" t="s">
        <v>322</v>
      </c>
      <c r="F137">
        <v>0</v>
      </c>
      <c r="G137">
        <v>16777215</v>
      </c>
      <c r="H137" t="s">
        <v>76</v>
      </c>
      <c r="I137" t="s">
        <v>77</v>
      </c>
      <c r="J137" t="s">
        <v>78</v>
      </c>
      <c r="K137" t="s">
        <v>189</v>
      </c>
    </row>
    <row r="138" spans="1:12" x14ac:dyDescent="0.25">
      <c r="A138" t="s">
        <v>340</v>
      </c>
      <c r="B138" t="s">
        <v>36</v>
      </c>
      <c r="C138">
        <v>10</v>
      </c>
      <c r="D138">
        <v>0</v>
      </c>
      <c r="E138" t="s">
        <v>324</v>
      </c>
      <c r="F138">
        <v>0</v>
      </c>
      <c r="G138">
        <v>16777215</v>
      </c>
      <c r="H138" t="s">
        <v>76</v>
      </c>
      <c r="I138" t="s">
        <v>77</v>
      </c>
      <c r="J138" t="s">
        <v>78</v>
      </c>
      <c r="K138" t="s">
        <v>189</v>
      </c>
    </row>
    <row r="139" spans="1:12" x14ac:dyDescent="0.25">
      <c r="A139" t="s">
        <v>341</v>
      </c>
      <c r="B139" t="s">
        <v>36</v>
      </c>
      <c r="C139">
        <v>0</v>
      </c>
      <c r="D139">
        <v>0</v>
      </c>
      <c r="E139" t="s">
        <v>326</v>
      </c>
      <c r="F139">
        <v>0</v>
      </c>
      <c r="G139">
        <v>16777215</v>
      </c>
      <c r="H139" t="s">
        <v>76</v>
      </c>
      <c r="I139" t="s">
        <v>77</v>
      </c>
      <c r="J139" t="s">
        <v>78</v>
      </c>
      <c r="K139" t="s">
        <v>189</v>
      </c>
    </row>
    <row r="140" spans="1:12" x14ac:dyDescent="0.25">
      <c r="A140" t="s">
        <v>342</v>
      </c>
      <c r="B140" t="s">
        <v>95</v>
      </c>
      <c r="C140" t="s">
        <v>96</v>
      </c>
      <c r="D140" t="s">
        <v>96</v>
      </c>
      <c r="E140" t="s">
        <v>343</v>
      </c>
      <c r="F140" t="s">
        <v>74</v>
      </c>
      <c r="G140" t="s">
        <v>75</v>
      </c>
      <c r="H140" t="s">
        <v>76</v>
      </c>
      <c r="I140" t="s">
        <v>77</v>
      </c>
      <c r="J140" t="s">
        <v>78</v>
      </c>
      <c r="K140" t="s">
        <v>189</v>
      </c>
    </row>
    <row r="141" spans="1:12" x14ac:dyDescent="0.25">
      <c r="A141" t="s">
        <v>344</v>
      </c>
      <c r="B141" t="s">
        <v>95</v>
      </c>
      <c r="C141" t="s">
        <v>115</v>
      </c>
      <c r="D141" t="s">
        <v>96</v>
      </c>
      <c r="E141" t="s">
        <v>345</v>
      </c>
      <c r="F141" t="s">
        <v>74</v>
      </c>
      <c r="G141" t="s">
        <v>75</v>
      </c>
      <c r="H141" t="s">
        <v>76</v>
      </c>
      <c r="I141" t="s">
        <v>77</v>
      </c>
      <c r="J141" t="s">
        <v>78</v>
      </c>
      <c r="K141" t="s">
        <v>189</v>
      </c>
    </row>
    <row r="142" spans="1:12" x14ac:dyDescent="0.25">
      <c r="A142" t="s">
        <v>346</v>
      </c>
      <c r="B142" t="s">
        <v>95</v>
      </c>
      <c r="C142" t="s">
        <v>115</v>
      </c>
      <c r="D142" t="s">
        <v>96</v>
      </c>
      <c r="E142" t="s">
        <v>347</v>
      </c>
      <c r="F142" t="s">
        <v>74</v>
      </c>
      <c r="G142" t="s">
        <v>75</v>
      </c>
      <c r="H142" t="s">
        <v>76</v>
      </c>
      <c r="I142" t="s">
        <v>77</v>
      </c>
      <c r="J142" t="s">
        <v>78</v>
      </c>
      <c r="K142" t="s">
        <v>189</v>
      </c>
    </row>
    <row r="143" spans="1:12" x14ac:dyDescent="0.25">
      <c r="A143" t="s">
        <v>348</v>
      </c>
      <c r="B143" t="s">
        <v>36</v>
      </c>
      <c r="C143">
        <v>4</v>
      </c>
      <c r="D143" t="s">
        <v>99</v>
      </c>
      <c r="E143" t="s">
        <v>349</v>
      </c>
      <c r="F143" t="s">
        <v>74</v>
      </c>
      <c r="G143" t="s">
        <v>75</v>
      </c>
      <c r="H143" t="s">
        <v>76</v>
      </c>
      <c r="I143" t="s">
        <v>77</v>
      </c>
      <c r="J143" t="s">
        <v>102</v>
      </c>
      <c r="K143" t="s">
        <v>189</v>
      </c>
    </row>
  </sheetData>
  <autoFilter ref="A2:L144"/>
  <customSheetViews>
    <customSheetView guid="{2E790F67-B1CF-4589-8EE3-FDE1E951836B}" topLeftCell="A2">
      <selection activeCell="D14" sqref="D14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</vt:i4>
      </vt:variant>
    </vt:vector>
  </HeadingPairs>
  <TitlesOfParts>
    <vt:vector size="48" baseType="lpstr">
      <vt:lpstr>Interface</vt:lpstr>
      <vt:lpstr>Presets</vt:lpstr>
      <vt:lpstr>Definitions</vt:lpstr>
      <vt:lpstr>CS</vt:lpstr>
      <vt:lpstr>FalconX</vt:lpstr>
      <vt:lpstr>y_ArchiverCode_c</vt:lpstr>
      <vt:lpstr>y_archiverXML</vt:lpstr>
      <vt:lpstr>y_ArchiverXMLFile</vt:lpstr>
      <vt:lpstr>y_CtrlUI_code</vt:lpstr>
      <vt:lpstr>y_CtrlUI_file</vt:lpstr>
      <vt:lpstr>y_CtrlUI_ref</vt:lpstr>
      <vt:lpstr>y_dbUpdateMsg</vt:lpstr>
      <vt:lpstr>y_dev_Code_c</vt:lpstr>
      <vt:lpstr>y_DeviceKey_c</vt:lpstr>
      <vt:lpstr>y_devMapDbFile</vt:lpstr>
      <vt:lpstr>y_devVarDefFile</vt:lpstr>
      <vt:lpstr>y_DTYPE</vt:lpstr>
      <vt:lpstr>y_EPICS_DB_c</vt:lpstr>
      <vt:lpstr>y_EPICS_Formats</vt:lpstr>
      <vt:lpstr>y_EPICS_Template</vt:lpstr>
      <vt:lpstr>y_FindReplace_c</vt:lpstr>
      <vt:lpstr>y_FindReplace_file</vt:lpstr>
      <vt:lpstr>y_FindReplace_template</vt:lpstr>
      <vt:lpstr>y_getVarProto</vt:lpstr>
      <vt:lpstr>y_InterfacePMCScript</vt:lpstr>
      <vt:lpstr>y_LoadSavepcf_c</vt:lpstr>
      <vt:lpstr>y_mapVar_Path</vt:lpstr>
      <vt:lpstr>y_mapVarAnalog</vt:lpstr>
      <vt:lpstr>y_mapVarBool</vt:lpstr>
      <vt:lpstr>y_mapVarLongint</vt:lpstr>
      <vt:lpstr>y_mapVarOption</vt:lpstr>
      <vt:lpstr>y_mapVarString</vt:lpstr>
      <vt:lpstr>Interface!y_MaxPmacInt</vt:lpstr>
      <vt:lpstr>y_MaxPmacInt</vt:lpstr>
      <vt:lpstr>y_mbbioEnum_c</vt:lpstr>
      <vt:lpstr>y_MonUI_code</vt:lpstr>
      <vt:lpstr>y_MonUI_file</vt:lpstr>
      <vt:lpstr>y_MonUI_ref</vt:lpstr>
      <vt:lpstr>y_nonMappedAnalog</vt:lpstr>
      <vt:lpstr>y_paramOptions_c</vt:lpstr>
      <vt:lpstr>y_paramType_c</vt:lpstr>
      <vt:lpstr>y_pmacRascanGSVar</vt:lpstr>
      <vt:lpstr>y_Prefix</vt:lpstr>
      <vt:lpstr>y_PVNames_c</vt:lpstr>
      <vt:lpstr>y_QELabel</vt:lpstr>
      <vt:lpstr>y_QELineEdit</vt:lpstr>
      <vt:lpstr>y_QLabel</vt:lpstr>
      <vt:lpstr>y_setVarProto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afsharn</dc:creator>
  <cp:lastModifiedBy>afsharn</cp:lastModifiedBy>
  <dcterms:created xsi:type="dcterms:W3CDTF">2015-12-02T04:45:22Z</dcterms:created>
  <dcterms:modified xsi:type="dcterms:W3CDTF">2018-03-22T03:34:40Z</dcterms:modified>
</cp:coreProperties>
</file>